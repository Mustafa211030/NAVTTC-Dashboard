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Sheet" sheetId="1" state="visible" r:id="rId3"/>
    <sheet name="Scoring Criteria" sheetId="2" state="visible" r:id="rId4"/>
    <sheet name="Change Log" sheetId="3" state="visible" r:id="rId5"/>
  </sheets>
  <definedNames>
    <definedName function="false" hidden="true" localSheetId="2" name="_xlnm._FilterDatabase" vbProcedure="false">'Change Log'!$A$3:$H$4</definedName>
    <definedName function="false" hidden="true" localSheetId="0" name="_xlnm._FilterDatabase" vbProcedure="false">'Combined Sheet'!$A$1:$AQ$13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<sst xmlns="http://schemas.openxmlformats.org/spreadsheetml/2006/main" count="311" uniqueCount="174">
  <si>
    <t xml:space="preserve">Sr No</t>
  </si>
  <si>
    <t xml:space="preserve">Package</t>
  </si>
  <si>
    <t xml:space="preserve">Program Name</t>
  </si>
  <si>
    <t xml:space="preserve">Region Name</t>
  </si>
  <si>
    <t xml:space="preserve">District Name</t>
  </si>
  <si>
    <t xml:space="preserve">Institute ID</t>
  </si>
  <si>
    <t xml:space="preserve">Institute Name</t>
  </si>
  <si>
    <t xml:space="preserve">TradeName</t>
  </si>
  <si>
    <t xml:space="preserve">Batches</t>
  </si>
  <si>
    <t xml:space="preserve">Institute Trade Code</t>
  </si>
  <si>
    <t xml:space="preserve">Trade Code</t>
  </si>
  <si>
    <t xml:space="preserve">Approved 
Capacity</t>
  </si>
  <si>
    <t xml:space="preserve">Enrolled 
Students</t>
  </si>
  <si>
    <t xml:space="preserve">Dropped 
Out</t>
  </si>
  <si>
    <t xml:space="preserve">Present</t>
  </si>
  <si>
    <t xml:space="preserve">Absent</t>
  </si>
  <si>
    <t xml:space="preserve">CNIC 
Verified</t>
  </si>
  <si>
    <t xml:space="preserve">Attendance %
</t>
  </si>
  <si>
    <t xml:space="preserve">All PMS Students Registered in the
 Biometric Machine (10), Not Registered (0)</t>
  </si>
  <si>
    <t xml:space="preserve">Attendance Score
80-100%(50),50-79%(30),
01-49%(10), 0%(0)</t>
  </si>
  <si>
    <t xml:space="preserve">Trainer Registered on PMS Portal(5)
 Not Registered (0)</t>
  </si>
  <si>
    <t xml:space="preserve">Trainer Relevant Degree(5),
 Irrelevant (0)</t>
  </si>
  <si>
    <t xml:space="preserve">Trainer Relevant 
Experience (5),
 Irrelevant (0)</t>
  </si>
  <si>
    <t xml:space="preserve">Tools &amp; Equipments Fully Available (2.5), Partially Available (1.5), Not Available (0), Not Required (2.5)</t>
  </si>
  <si>
    <t xml:space="preserve">Consumable Items Fully Available (2.5), Partially Available (1.5), Not Available (0), Not Required (2.5)</t>
  </si>
  <si>
    <t xml:space="preserve">TLMs
Full Provision (2.5), Partial Provision (1), Not Provided(0)</t>
  </si>
  <si>
    <t xml:space="preserve">Assessment,
Fully Conducted(2.5), Partially Conducted (1), Not Conducted (0)</t>
  </si>
  <si>
    <t xml:space="preserve">Biometric 
Installed &amp; Functional (2.5),
Not Installed (0)</t>
  </si>
  <si>
    <t xml:space="preserve">CCTV
Installed &amp; Functional(2.5),
Not Installed (0)</t>
  </si>
  <si>
    <t xml:space="preserve">Industrial Linkages
MOU Signed with Relevant Industry (2.5), No (0)</t>
  </si>
  <si>
    <t xml:space="preserve">Job Fair /
Engagement Plan(2.5), No(0)</t>
  </si>
  <si>
    <t xml:space="preserve">OJT (2.5), No (0)</t>
  </si>
  <si>
    <t xml:space="preserve">Students Feedback (0-2.5)
Excellent (2.5), Good(1.5), Average (1), Poor(0)</t>
  </si>
  <si>
    <t xml:space="preserve">Trade Wise Score</t>
  </si>
  <si>
    <t xml:space="preserve">Total Score</t>
  </si>
  <si>
    <t xml:space="preserve">Grading</t>
  </si>
  <si>
    <t xml:space="preserve">Remarks</t>
  </si>
  <si>
    <t xml:space="preserve">Grade Override</t>
  </si>
  <si>
    <t xml:space="preserve">Firm Name</t>
  </si>
  <si>
    <t xml:space="preserve">Batch ID</t>
  </si>
  <si>
    <t xml:space="preserve">Trade Category</t>
  </si>
  <si>
    <t xml:space="preserve">Course Duration</t>
  </si>
  <si>
    <t xml:space="preserve">Source Region (as recorded)</t>
  </si>
  <si>
    <t xml:space="preserve">Package-02</t>
  </si>
  <si>
    <t xml:space="preserve">NSIS Industrial Cluster Batch-II (Cluster Based Batch II)</t>
  </si>
  <si>
    <t xml:space="preserve">AJK</t>
  </si>
  <si>
    <t xml:space="preserve">Bagh</t>
  </si>
  <si>
    <t xml:space="preserve">Ihsas e Insanait vocational and computer institude</t>
  </si>
  <si>
    <t xml:space="preserve">Hand and Machine Embroidery</t>
  </si>
  <si>
    <t xml:space="preserve">VTT Global</t>
  </si>
  <si>
    <t xml:space="preserve">Conventional</t>
  </si>
  <si>
    <t xml:space="preserve">3 Months</t>
  </si>
  <si>
    <t xml:space="preserve">ICT</t>
  </si>
  <si>
    <t xml:space="preserve">Mirpur</t>
  </si>
  <si>
    <t xml:space="preserve">Azad Mega Mart</t>
  </si>
  <si>
    <t xml:space="preserve">Azad Motors Training Centre</t>
  </si>
  <si>
    <t xml:space="preserve">Muzaffarabad</t>
  </si>
  <si>
    <t xml:space="preserve">FABILIX Academy</t>
  </si>
  <si>
    <t xml:space="preserve">Itehad Welfare Organization Muzaffarabad</t>
  </si>
  <si>
    <t xml:space="preserve">Mammta Collections</t>
  </si>
  <si>
    <t xml:space="preserve">SAKEENA IT &amp; TVET SECTOR INSTITUTE</t>
  </si>
  <si>
    <t xml:space="preserve">Honey Bee Farm Manager / Bee Farming</t>
  </si>
  <si>
    <t xml:space="preserve">Ujala Institute of Science and Technology Muzaffarabad</t>
  </si>
  <si>
    <t xml:space="preserve">Rawalakot</t>
  </si>
  <si>
    <t xml:space="preserve">Skill Development Center Rawalakot</t>
  </si>
  <si>
    <t xml:space="preserve">Closed due to Law and Order Situation</t>
  </si>
  <si>
    <t xml:space="preserve">Closed</t>
  </si>
  <si>
    <t xml:space="preserve">zouqekashmir</t>
  </si>
  <si>
    <t xml:space="preserve">NSIS Industrial Cluster Batch-II (AJK) - Scoring Criteria</t>
  </si>
  <si>
    <t xml:space="preserve">Layout follows the NAVTTC PMYSDP template (Combined Sheet). Blue cells are monitor inputs; black cells are formulas. Every criterion is a separate column; the 15 maxima total 100.</t>
  </si>
  <si>
    <t xml:space="preserve">Column</t>
  </si>
  <si>
    <t xml:space="preserve">Criterion</t>
  </si>
  <si>
    <t xml:space="preserve">Scoring rule</t>
  </si>
  <si>
    <t xml:space="preserve">Max</t>
  </si>
  <si>
    <t xml:space="preserve">Type</t>
  </si>
  <si>
    <t xml:space="preserve">Taken from (source file)</t>
  </si>
  <si>
    <t xml:space="preserve">S</t>
  </si>
  <si>
    <t xml:space="preserve">All PMS Students Registered in the</t>
  </si>
  <si>
    <t xml:space="preserve">All PMS Students Registered in the  Biometric Machine (10), Not Registered (0)</t>
  </si>
  <si>
    <t xml:space="preserve">Input (list)</t>
  </si>
  <si>
    <t xml:space="preserve">T</t>
  </si>
  <si>
    <t xml:space="preserve">Attendance Score</t>
  </si>
  <si>
    <t xml:space="preserve">Formula:  =IF(R&gt;=80%,50,IF(R&gt;=50%,30,IF(R&gt;=1%,10,0)))  — computed from Attendance % (col R)</t>
  </si>
  <si>
    <t xml:space="preserve">Formula</t>
  </si>
  <si>
    <t xml:space="preserve">U (now formula)</t>
  </si>
  <si>
    <t xml:space="preserve">U</t>
  </si>
  <si>
    <t xml:space="preserve">Trainer Registered on PMS Portal</t>
  </si>
  <si>
    <t xml:space="preserve">Trainer Registered on PMS Portal(5)  Not Registered (0)</t>
  </si>
  <si>
    <t xml:space="preserve">V</t>
  </si>
  <si>
    <t xml:space="preserve">Trainer Relevant Degree</t>
  </si>
  <si>
    <t xml:space="preserve">Trainer Relevant Degree(5),  Irrelevant (0)</t>
  </si>
  <si>
    <t xml:space="preserve">W</t>
  </si>
  <si>
    <t xml:space="preserve">Trainer Relevant</t>
  </si>
  <si>
    <t xml:space="preserve">Trainer Relevant  Experience (5),  Irrelevant (0)</t>
  </si>
  <si>
    <t xml:space="preserve">X</t>
  </si>
  <si>
    <t xml:space="preserve">Tools &amp; Equipments Fully Available</t>
  </si>
  <si>
    <t xml:space="preserve">Y</t>
  </si>
  <si>
    <t xml:space="preserve">Consumable Items Fully Available</t>
  </si>
  <si>
    <t xml:space="preserve">Z</t>
  </si>
  <si>
    <t xml:space="preserve">TLMs</t>
  </si>
  <si>
    <t xml:space="preserve">TLMs Full Provision (2.5), Partial Provision (1), Not Provided(0)</t>
  </si>
  <si>
    <t xml:space="preserve">AA</t>
  </si>
  <si>
    <t xml:space="preserve">Assessment,</t>
  </si>
  <si>
    <t xml:space="preserve">Assessment, Fully Conducted(2.5), Partially Conducted (1), Not Conducted (0)</t>
  </si>
  <si>
    <t xml:space="preserve">AB</t>
  </si>
  <si>
    <t xml:space="preserve">Biometric</t>
  </si>
  <si>
    <t xml:space="preserve">Biometric  Installed &amp; Functional (2.5), Not Installed (0)</t>
  </si>
  <si>
    <t xml:space="preserve">AC</t>
  </si>
  <si>
    <t xml:space="preserve">CCTV</t>
  </si>
  <si>
    <t xml:space="preserve">CCTV Installed &amp; Functional(2.5), Not Installed (0)</t>
  </si>
  <si>
    <t xml:space="preserve">AD</t>
  </si>
  <si>
    <t xml:space="preserve">Industrial Linkages</t>
  </si>
  <si>
    <t xml:space="preserve">Industrial Linkages MOU Signed with Relevant Industry (2.5), No (0)</t>
  </si>
  <si>
    <t xml:space="preserve">AE</t>
  </si>
  <si>
    <t xml:space="preserve">Job Fair /</t>
  </si>
  <si>
    <t xml:space="preserve">Job Fair / Engagement Plan(2.5), No(0)</t>
  </si>
  <si>
    <t xml:space="preserve">AF</t>
  </si>
  <si>
    <t xml:space="preserve">OJT</t>
  </si>
  <si>
    <t xml:space="preserve">AG</t>
  </si>
  <si>
    <t xml:space="preserve">Students Feedback</t>
  </si>
  <si>
    <t xml:space="preserve">Students Feedback (0-2.5) Excellent (2.5), Good(1.5), Average (1), Poor(0)</t>
  </si>
  <si>
    <t xml:space="preserve">Input (0 - 2.5)</t>
  </si>
  <si>
    <t xml:space="preserve">AH</t>
  </si>
  <si>
    <t xml:space="preserve">TOTAL</t>
  </si>
  <si>
    <t xml:space="preserve">Result field</t>
  </si>
  <si>
    <t xml:space="preserve">Formula (row 2 shown)</t>
  </si>
  <si>
    <t xml:space="preserve">Notes</t>
  </si>
  <si>
    <t xml:space="preserve">R</t>
  </si>
  <si>
    <t xml:space="preserve">Attendance %</t>
  </si>
  <si>
    <t xml:space="preserve">Formula:  =IF(N(M2)=0,0,Q2/M2)</t>
  </si>
  <si>
    <t xml:space="preserve">CNIC Verified ÷ Enrolled Students (this program's rule, as in the source sheet S = R/N).</t>
  </si>
  <si>
    <t xml:space="preserve">Formula:  =IF(COUNT(S2:AG2)=0,"",SUM(S2:AG2))</t>
  </si>
  <si>
    <t xml:space="preserve">Sum of the 15 criteria for that trade / batch row.</t>
  </si>
  <si>
    <t xml:space="preserve">AI</t>
  </si>
  <si>
    <t xml:space="preserve">Formula:  =IF(COUNTIF($F$2:F2,F2)=1,IFERROR(AVERAGEIF($F:$F,F2,$AH:$AH),""),"")</t>
  </si>
  <si>
    <t xml:space="preserve">Average of the institute's Trade Wise Scores, matched on Institute ID (col F). Written on the institute's first row and merged over its rows.</t>
  </si>
  <si>
    <t xml:space="preserve">AJ</t>
  </si>
  <si>
    <t xml:space="preserve">Formula:  =IF(AL2&lt;&gt;"",AL2,IF(AI2="","",IF(AI2&gt;=80,"Excellent",IF(AI2&gt;=70,"Very Good",IF(AI2&gt;=60,"Good",IF(AI2&gt;=50,"Average","Poor"))))))</t>
  </si>
  <si>
    <t xml:space="preserve">Grade bands from the template. A value typed in Grade Override (AL) replaces the formula grade.</t>
  </si>
  <si>
    <t xml:space="preserve">AK</t>
  </si>
  <si>
    <t xml:space="preserve">Input</t>
  </si>
  <si>
    <t xml:space="preserve">Monitor remarks (moved out of the grade cell so the grade stays a clean category).</t>
  </si>
  <si>
    <t xml:space="preserve">AL</t>
  </si>
  <si>
    <t xml:space="preserve">Only for institutes that are Fake / Non-functional / Closed. Leave blank otherwise.</t>
  </si>
  <si>
    <t xml:space="preserve">Grade</t>
  </si>
  <si>
    <t xml:space="preserve">Total Score range</t>
  </si>
  <si>
    <t xml:space="preserve">Excellent</t>
  </si>
  <si>
    <t xml:space="preserve">80 - 100</t>
  </si>
  <si>
    <t xml:space="preserve">Very Good</t>
  </si>
  <si>
    <t xml:space="preserve">70 - 79.99</t>
  </si>
  <si>
    <t xml:space="preserve">Good</t>
  </si>
  <si>
    <t xml:space="preserve">60 - 69.99</t>
  </si>
  <si>
    <t xml:space="preserve">Average</t>
  </si>
  <si>
    <t xml:space="preserve">50 - 59.99</t>
  </si>
  <si>
    <t xml:space="preserve">Poor</t>
  </si>
  <si>
    <t xml:space="preserve">Below 50</t>
  </si>
  <si>
    <t xml:space="preserve">#</t>
  </si>
  <si>
    <t xml:space="preserve">Program-specific notes / exceptions</t>
  </si>
  <si>
    <t xml:space="preserve">Source sheet 'Trade Wise' already used this 15-criteria rubric; columns were re-ordered into the template layout (Biometric Installed and CCTV now sit after Assessment, exactly as in the source).</t>
  </si>
  <si>
    <t xml:space="preserve">Approved Capacity = TotalBatchCandidates; 'Batches' = batch number within the same Institute Trade Code (Ujala Institute has 2 batches); the NAVTTC Batch ID is kept in the extra columns.</t>
  </si>
  <si>
    <t xml:space="preserve">Trade Code (K) is not provided in the source file and is left blank.</t>
  </si>
  <si>
    <t xml:space="preserve">Skill Development Center Rawalakot was not scored ('Closed due to Law and Order Situation'): scores left blank, Grade Override = Closed.</t>
  </si>
  <si>
    <t xml:space="preserve">Students Feedback is an average of student ratings, so decimals (e.g. 2.0) are valid between 0 and 2.5.</t>
  </si>
  <si>
    <t xml:space="preserve">Change Log - every value that differs from the source file, and why</t>
  </si>
  <si>
    <t xml:space="preserve">Combined Sheet row</t>
  </si>
  <si>
    <t xml:space="preserve">Institute</t>
  </si>
  <si>
    <t xml:space="preserve">Trade</t>
  </si>
  <si>
    <t xml:space="preserve">Field</t>
  </si>
  <si>
    <t xml:space="preserve">Source value</t>
  </si>
  <si>
    <t xml:space="preserve">New value</t>
  </si>
  <si>
    <t xml:space="preserve">Reason</t>
  </si>
  <si>
    <t xml:space="preserve">all</t>
  </si>
  <si>
    <t xml:space="preserve">All institutes</t>
  </si>
  <si>
    <t xml:space="preserve">Districts (Bagh, Mirpur, Muzaffarabad, Rawalakot) are in AJK; template uses the province/region of the district. Original kept in 'Source Region' column.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</si>
</sst>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Gill Sans MT"/>
      <family val="0"/>
      <charset val="1"/>
    </font>
    <font>
      <sz val="11"/>
      <name val="Gill Sans MT"/>
      <family val="0"/>
      <charset val="1"/>
    </font>
    <font>
      <sz val="11"/>
      <color rgb="FF0000FF"/>
      <name val="Gill Sans MT"/>
      <family val="0"/>
      <charset val="1"/>
    </font>
    <font>
      <b val="true"/>
      <sz val="11"/>
      <name val="Gill Sans MT"/>
      <family val="0"/>
      <charset val="1"/>
    </font>
    <font>
      <b val="true"/>
      <sz val="14"/>
      <color rgb="FF002060"/>
      <name val="Gill Sans MT"/>
      <family val="0"/>
      <charset val="1"/>
    </font>
    <font>
      <i val="true"/>
      <sz val="10"/>
      <name val="Gill Sans MT"/>
      <family val="0"/>
      <charset val="1"/>
    </font>
    <font>
      <b val="true"/>
      <sz val="10"/>
      <color rgb="FFFFFFFF"/>
      <name val="Gill Sans MT"/>
      <family val="0"/>
      <charset val="1"/>
    </font>
    <font>
      <sz val="10"/>
      <name val="Gill Sans MT"/>
      <family val="0"/>
      <charset val="1"/>
    </font>
    <font>
      <b val="true"/>
      <sz val="10"/>
      <name val="Gill Sans MT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002060"/>
        <bgColor rgb="FF000080"/>
      </patternFill>
    </fill>
    <fill>
      <patternFill patternType="solid">
        <fgColor rgb="FF7F7F7F"/>
        <bgColor rgb="FF969696"/>
      </patternFill>
    </fill>
    <fill>
      <patternFill patternType="solid">
        <fgColor rgb="FFE7E6E6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4454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I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45"/>
    <col collapsed="false" customWidth="true" hidden="false" outlineLevel="0" max="8" min="8" style="0" width="3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7" min="14" style="0" width="9"/>
    <col collapsed="false" customWidth="true" hidden="false" outlineLevel="0" max="18" min="18" style="0" width="11"/>
    <col collapsed="false" customWidth="true" hidden="false" outlineLevel="0" max="33" min="19" style="0" width="18"/>
    <col collapsed="false" customWidth="true" hidden="false" outlineLevel="0" max="35" min="34" style="0" width="11"/>
    <col collapsed="false" customWidth="true" hidden="false" outlineLevel="0" max="36" min="36" style="0" width="13"/>
    <col collapsed="false" customWidth="true" hidden="false" outlineLevel="0" max="37" min="37" style="0" width="32"/>
    <col collapsed="false" customWidth="true" hidden="false" outlineLevel="0" max="38" min="38" style="0" width="12"/>
    <col collapsed="false" customWidth="true" hidden="false" outlineLevel="0" max="43" min="39" style="0" width="16"/>
  </cols>
  <sheetData>
    <row r="1" customFormat="false" ht="7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customFormat="false" ht="58.2" hidden="false" customHeight="false" outlineLevel="0" collapsed="false">
      <c r="A2" s="4" t="n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4" t="n">
        <v>5860</v>
      </c>
      <c r="G2" s="5" t="s">
        <v>47</v>
      </c>
      <c r="H2" s="5" t="s">
        <v>48</v>
      </c>
      <c r="I2" s="4" t="n">
        <v>1</v>
      </c>
      <c r="J2" s="4" t="n">
        <v>183392</v>
      </c>
      <c r="K2" s="4"/>
      <c r="L2" s="4" t="n">
        <v>10</v>
      </c>
      <c r="M2" s="4" t="n">
        <v>10</v>
      </c>
      <c r="N2" s="4" t="n">
        <v>0</v>
      </c>
      <c r="O2" s="4" t="n">
        <v>9</v>
      </c>
      <c r="P2" s="4" t="n">
        <v>1</v>
      </c>
      <c r="Q2" s="4" t="n">
        <v>9</v>
      </c>
      <c r="R2" s="6" t="n">
        <f aca="false">IF(N(M2)=0,0,Q2/M2)</f>
        <v>0.9</v>
      </c>
      <c r="S2" s="7" t="n">
        <v>0</v>
      </c>
      <c r="T2" s="4" t="n">
        <f aca="false">IF(R2="","",IF(R2&gt;=0.8,50,IF(R2&gt;=0.5,30,IF(R2&gt;=0.01,10,0))))</f>
        <v>50</v>
      </c>
      <c r="U2" s="7" t="n">
        <v>0</v>
      </c>
      <c r="V2" s="7" t="n">
        <v>5</v>
      </c>
      <c r="W2" s="7" t="n">
        <v>5</v>
      </c>
      <c r="X2" s="7" t="n">
        <v>1.5</v>
      </c>
      <c r="Y2" s="7" t="n">
        <v>1.5</v>
      </c>
      <c r="Z2" s="7" t="n">
        <v>1</v>
      </c>
      <c r="AA2" s="7" t="n">
        <v>1</v>
      </c>
      <c r="AB2" s="7" t="n">
        <v>2.5</v>
      </c>
      <c r="AC2" s="7" t="n">
        <v>2.5</v>
      </c>
      <c r="AD2" s="7" t="n">
        <v>2.5</v>
      </c>
      <c r="AE2" s="7" t="n">
        <v>0</v>
      </c>
      <c r="AF2" s="7" t="n">
        <v>0</v>
      </c>
      <c r="AG2" s="8" t="n">
        <v>1.5</v>
      </c>
      <c r="AH2" s="9" t="n">
        <f aca="false">IF(COUNT(S2:AG2)=0,"",SUM(S2:AG2))</f>
        <v>74</v>
      </c>
      <c r="AI2" s="9" t="n">
        <f aca="false">IF(COUNTIF($F$2:F2,F2)=1,IFERROR(AVERAGEIF($F:$F,F2,$AH:$AH),""),"")</f>
        <v>74</v>
      </c>
      <c r="AJ2" s="10" t="str">
        <f aca="false">IF(AL2&lt;&gt;"",AL2,IF(AI2="","",IF(AI2&gt;=80,"Excellent",IF(AI2&gt;=70,"Very Good",IF(AI2&gt;=60,"Good",IF(AI2&gt;=50,"Average","Poor"))))))</f>
        <v>Very Good</v>
      </c>
      <c r="AK2" s="5"/>
      <c r="AL2" s="4"/>
      <c r="AM2" s="4" t="s">
        <v>49</v>
      </c>
      <c r="AN2" s="4" t="n">
        <v>44902</v>
      </c>
      <c r="AO2" s="4" t="s">
        <v>50</v>
      </c>
      <c r="AP2" s="4" t="s">
        <v>51</v>
      </c>
      <c r="AQ2" s="4" t="s">
        <v>52</v>
      </c>
    </row>
    <row r="3" customFormat="false" ht="58.2" hidden="false" customHeight="false" outlineLevel="0" collapsed="false">
      <c r="A3" s="4" t="n">
        <v>2</v>
      </c>
      <c r="B3" s="4" t="s">
        <v>43</v>
      </c>
      <c r="C3" s="4" t="s">
        <v>44</v>
      </c>
      <c r="D3" s="4" t="s">
        <v>45</v>
      </c>
      <c r="E3" s="4" t="s">
        <v>53</v>
      </c>
      <c r="F3" s="4" t="n">
        <v>21676</v>
      </c>
      <c r="G3" s="5" t="s">
        <v>54</v>
      </c>
      <c r="H3" s="5" t="s">
        <v>48</v>
      </c>
      <c r="I3" s="4" t="n">
        <v>1</v>
      </c>
      <c r="J3" s="4" t="n">
        <v>183359</v>
      </c>
      <c r="K3" s="4"/>
      <c r="L3" s="4" t="n">
        <v>25</v>
      </c>
      <c r="M3" s="4" t="n">
        <v>25</v>
      </c>
      <c r="N3" s="4" t="n">
        <v>0</v>
      </c>
      <c r="O3" s="4" t="n">
        <v>17</v>
      </c>
      <c r="P3" s="4" t="n">
        <v>8</v>
      </c>
      <c r="Q3" s="4" t="n">
        <v>17</v>
      </c>
      <c r="R3" s="6" t="n">
        <f aca="false">IF(N(M3)=0,0,Q3/M3)</f>
        <v>0.68</v>
      </c>
      <c r="S3" s="7" t="n">
        <v>0</v>
      </c>
      <c r="T3" s="4" t="n">
        <f aca="false">IF(R3="","",IF(R3&gt;=0.8,50,IF(R3&gt;=0.5,30,IF(R3&gt;=0.01,10,0))))</f>
        <v>30</v>
      </c>
      <c r="U3" s="7" t="n">
        <v>0</v>
      </c>
      <c r="V3" s="7" t="n">
        <v>5</v>
      </c>
      <c r="W3" s="7" t="n">
        <v>5</v>
      </c>
      <c r="X3" s="7" t="n">
        <v>1.5</v>
      </c>
      <c r="Y3" s="7" t="n">
        <v>1.5</v>
      </c>
      <c r="Z3" s="7" t="n">
        <v>1</v>
      </c>
      <c r="AA3" s="7" t="n">
        <v>1</v>
      </c>
      <c r="AB3" s="7" t="n">
        <v>2.5</v>
      </c>
      <c r="AC3" s="7" t="n">
        <v>0</v>
      </c>
      <c r="AD3" s="7" t="n">
        <v>2.5</v>
      </c>
      <c r="AE3" s="7" t="n">
        <v>0</v>
      </c>
      <c r="AF3" s="7" t="n">
        <v>0</v>
      </c>
      <c r="AG3" s="8" t="n">
        <v>2</v>
      </c>
      <c r="AH3" s="9" t="n">
        <f aca="false">IF(COUNT(S3:AG3)=0,"",SUM(S3:AG3))</f>
        <v>52</v>
      </c>
      <c r="AI3" s="9" t="n">
        <f aca="false">IF(COUNTIF($F$2:F3,F3)=1,IFERROR(AVERAGEIF($F:$F,F3,$AH:$AH),""),"")</f>
        <v>52</v>
      </c>
      <c r="AJ3" s="10" t="str">
        <f aca="false">IF(AL3&lt;&gt;"",AL3,IF(AI3="","",IF(AI3&gt;=80,"Excellent",IF(AI3&gt;=70,"Very Good",IF(AI3&gt;=60,"Good",IF(AI3&gt;=50,"Average","Poor"))))))</f>
        <v>Average</v>
      </c>
      <c r="AK3" s="5"/>
      <c r="AL3" s="4"/>
      <c r="AM3" s="4" t="s">
        <v>49</v>
      </c>
      <c r="AN3" s="4" t="n">
        <v>44898</v>
      </c>
      <c r="AO3" s="4" t="s">
        <v>50</v>
      </c>
      <c r="AP3" s="4" t="s">
        <v>51</v>
      </c>
      <c r="AQ3" s="4" t="s">
        <v>52</v>
      </c>
    </row>
    <row r="4" customFormat="false" ht="58.2" hidden="false" customHeight="false" outlineLevel="0" collapsed="false">
      <c r="A4" s="4" t="n">
        <v>3</v>
      </c>
      <c r="B4" s="4" t="s">
        <v>43</v>
      </c>
      <c r="C4" s="4" t="s">
        <v>44</v>
      </c>
      <c r="D4" s="4" t="s">
        <v>45</v>
      </c>
      <c r="E4" s="4" t="s">
        <v>53</v>
      </c>
      <c r="F4" s="4" t="n">
        <v>25415</v>
      </c>
      <c r="G4" s="5" t="s">
        <v>55</v>
      </c>
      <c r="H4" s="5" t="s">
        <v>48</v>
      </c>
      <c r="I4" s="4" t="n">
        <v>1</v>
      </c>
      <c r="J4" s="4" t="n">
        <v>183358</v>
      </c>
      <c r="K4" s="4"/>
      <c r="L4" s="4" t="n">
        <v>25</v>
      </c>
      <c r="M4" s="4" t="n">
        <v>25</v>
      </c>
      <c r="N4" s="4" t="n">
        <v>0</v>
      </c>
      <c r="O4" s="4" t="n">
        <v>23</v>
      </c>
      <c r="P4" s="4" t="n">
        <v>2</v>
      </c>
      <c r="Q4" s="4" t="n">
        <v>23</v>
      </c>
      <c r="R4" s="6" t="n">
        <f aca="false">IF(N(M4)=0,0,Q4/M4)</f>
        <v>0.92</v>
      </c>
      <c r="S4" s="7" t="n">
        <v>0</v>
      </c>
      <c r="T4" s="4" t="n">
        <f aca="false">IF(R4="","",IF(R4&gt;=0.8,50,IF(R4&gt;=0.5,30,IF(R4&gt;=0.01,10,0))))</f>
        <v>50</v>
      </c>
      <c r="U4" s="7" t="n">
        <v>0</v>
      </c>
      <c r="V4" s="7" t="n">
        <v>5</v>
      </c>
      <c r="W4" s="7" t="n">
        <v>5</v>
      </c>
      <c r="X4" s="7" t="n">
        <v>1.5</v>
      </c>
      <c r="Y4" s="7" t="n">
        <v>1.5</v>
      </c>
      <c r="Z4" s="7" t="n">
        <v>1</v>
      </c>
      <c r="AA4" s="7" t="n">
        <v>1</v>
      </c>
      <c r="AB4" s="7" t="n">
        <v>2.5</v>
      </c>
      <c r="AC4" s="7" t="n">
        <v>0</v>
      </c>
      <c r="AD4" s="7" t="n">
        <v>2.5</v>
      </c>
      <c r="AE4" s="7" t="n">
        <v>0</v>
      </c>
      <c r="AF4" s="7" t="n">
        <v>0</v>
      </c>
      <c r="AG4" s="8" t="n">
        <v>2</v>
      </c>
      <c r="AH4" s="9" t="n">
        <f aca="false">IF(COUNT(S4:AG4)=0,"",SUM(S4:AG4))</f>
        <v>72</v>
      </c>
      <c r="AI4" s="9" t="n">
        <f aca="false">IF(COUNTIF($F$2:F4,F4)=1,IFERROR(AVERAGEIF($F:$F,F4,$AH:$AH),""),"")</f>
        <v>72</v>
      </c>
      <c r="AJ4" s="10" t="str">
        <f aca="false">IF(AL4&lt;&gt;"",AL4,IF(AI4="","",IF(AI4&gt;=80,"Excellent",IF(AI4&gt;=70,"Very Good",IF(AI4&gt;=60,"Good",IF(AI4&gt;=50,"Average","Poor"))))))</f>
        <v>Very Good</v>
      </c>
      <c r="AK4" s="5"/>
      <c r="AL4" s="4"/>
      <c r="AM4" s="4" t="s">
        <v>49</v>
      </c>
      <c r="AN4" s="4" t="n">
        <v>44894</v>
      </c>
      <c r="AO4" s="4" t="s">
        <v>50</v>
      </c>
      <c r="AP4" s="4" t="s">
        <v>51</v>
      </c>
      <c r="AQ4" s="4" t="s">
        <v>52</v>
      </c>
    </row>
    <row r="5" customFormat="false" ht="58.2" hidden="false" customHeight="false" outlineLevel="0" collapsed="false">
      <c r="A5" s="4" t="n">
        <v>4</v>
      </c>
      <c r="B5" s="4" t="s">
        <v>43</v>
      </c>
      <c r="C5" s="4" t="s">
        <v>44</v>
      </c>
      <c r="D5" s="4" t="s">
        <v>45</v>
      </c>
      <c r="E5" s="4" t="s">
        <v>56</v>
      </c>
      <c r="F5" s="4" t="n">
        <v>24544</v>
      </c>
      <c r="G5" s="5" t="s">
        <v>57</v>
      </c>
      <c r="H5" s="5" t="s">
        <v>48</v>
      </c>
      <c r="I5" s="4" t="n">
        <v>1</v>
      </c>
      <c r="J5" s="4" t="n">
        <v>183363</v>
      </c>
      <c r="K5" s="4"/>
      <c r="L5" s="4" t="n">
        <v>20</v>
      </c>
      <c r="M5" s="4" t="n">
        <v>20</v>
      </c>
      <c r="N5" s="4" t="n">
        <v>0</v>
      </c>
      <c r="O5" s="4" t="n">
        <v>20</v>
      </c>
      <c r="P5" s="4" t="n">
        <v>0</v>
      </c>
      <c r="Q5" s="4" t="n">
        <v>20</v>
      </c>
      <c r="R5" s="6" t="n">
        <f aca="false">IF(N(M5)=0,0,Q5/M5)</f>
        <v>1</v>
      </c>
      <c r="S5" s="7" t="n">
        <v>0</v>
      </c>
      <c r="T5" s="4" t="n">
        <f aca="false">IF(R5="","",IF(R5&gt;=0.8,50,IF(R5&gt;=0.5,30,IF(R5&gt;=0.01,10,0))))</f>
        <v>50</v>
      </c>
      <c r="U5" s="7" t="n">
        <v>0</v>
      </c>
      <c r="V5" s="7" t="n">
        <v>5</v>
      </c>
      <c r="W5" s="7" t="n">
        <v>5</v>
      </c>
      <c r="X5" s="7" t="n">
        <v>0</v>
      </c>
      <c r="Y5" s="7" t="n">
        <v>2.5</v>
      </c>
      <c r="Z5" s="7" t="n">
        <v>1</v>
      </c>
      <c r="AA5" s="7" t="n">
        <v>1</v>
      </c>
      <c r="AB5" s="7" t="n">
        <v>2.5</v>
      </c>
      <c r="AC5" s="7" t="n">
        <v>0</v>
      </c>
      <c r="AD5" s="7" t="n">
        <v>2.5</v>
      </c>
      <c r="AE5" s="7" t="n">
        <v>0</v>
      </c>
      <c r="AF5" s="7" t="n">
        <v>0</v>
      </c>
      <c r="AG5" s="8" t="n">
        <v>2</v>
      </c>
      <c r="AH5" s="9" t="n">
        <f aca="false">IF(COUNT(S5:AG5)=0,"",SUM(S5:AG5))</f>
        <v>71.5</v>
      </c>
      <c r="AI5" s="9" t="n">
        <f aca="false">IF(COUNTIF($F$2:F5,F5)=1,IFERROR(AVERAGEIF($F:$F,F5,$AH:$AH),""),"")</f>
        <v>71.5</v>
      </c>
      <c r="AJ5" s="10" t="str">
        <f aca="false">IF(AL5&lt;&gt;"",AL5,IF(AI5="","",IF(AI5&gt;=80,"Excellent",IF(AI5&gt;=70,"Very Good",IF(AI5&gt;=60,"Good",IF(AI5&gt;=50,"Average","Poor"))))))</f>
        <v>Very Good</v>
      </c>
      <c r="AK5" s="5"/>
      <c r="AL5" s="4"/>
      <c r="AM5" s="4" t="s">
        <v>49</v>
      </c>
      <c r="AN5" s="4" t="n">
        <v>44900</v>
      </c>
      <c r="AO5" s="4" t="s">
        <v>50</v>
      </c>
      <c r="AP5" s="4" t="s">
        <v>51</v>
      </c>
      <c r="AQ5" s="4" t="s">
        <v>52</v>
      </c>
    </row>
    <row r="6" customFormat="false" ht="58.2" hidden="false" customHeight="false" outlineLevel="0" collapsed="false">
      <c r="A6" s="4" t="n">
        <v>5</v>
      </c>
      <c r="B6" s="4" t="s">
        <v>43</v>
      </c>
      <c r="C6" s="4" t="s">
        <v>44</v>
      </c>
      <c r="D6" s="4" t="s">
        <v>45</v>
      </c>
      <c r="E6" s="4" t="s">
        <v>56</v>
      </c>
      <c r="F6" s="4" t="n">
        <v>21670</v>
      </c>
      <c r="G6" s="5" t="s">
        <v>58</v>
      </c>
      <c r="H6" s="5" t="s">
        <v>48</v>
      </c>
      <c r="I6" s="4" t="n">
        <v>1</v>
      </c>
      <c r="J6" s="4" t="n">
        <v>183364</v>
      </c>
      <c r="K6" s="4"/>
      <c r="L6" s="4" t="n">
        <v>20</v>
      </c>
      <c r="M6" s="4" t="n">
        <v>20</v>
      </c>
      <c r="N6" s="4" t="n">
        <v>0</v>
      </c>
      <c r="O6" s="4" t="n">
        <v>16</v>
      </c>
      <c r="P6" s="4" t="n">
        <v>4</v>
      </c>
      <c r="Q6" s="4" t="n">
        <v>16</v>
      </c>
      <c r="R6" s="6" t="n">
        <f aca="false">IF(N(M6)=0,0,Q6/M6)</f>
        <v>0.8</v>
      </c>
      <c r="S6" s="7" t="n">
        <v>0</v>
      </c>
      <c r="T6" s="4" t="n">
        <f aca="false">IF(R6="","",IF(R6&gt;=0.8,50,IF(R6&gt;=0.5,30,IF(R6&gt;=0.01,10,0))))</f>
        <v>50</v>
      </c>
      <c r="U6" s="7" t="n">
        <v>0</v>
      </c>
      <c r="V6" s="7" t="n">
        <v>5</v>
      </c>
      <c r="W6" s="7" t="n">
        <v>5</v>
      </c>
      <c r="X6" s="7" t="n">
        <v>0</v>
      </c>
      <c r="Y6" s="7" t="n">
        <v>0</v>
      </c>
      <c r="Z6" s="7" t="n">
        <v>1</v>
      </c>
      <c r="AA6" s="7" t="n">
        <v>1</v>
      </c>
      <c r="AB6" s="7" t="n">
        <v>0</v>
      </c>
      <c r="AC6" s="7" t="n">
        <v>0</v>
      </c>
      <c r="AD6" s="7" t="n">
        <v>2.5</v>
      </c>
      <c r="AE6" s="7" t="n">
        <v>0</v>
      </c>
      <c r="AF6" s="7" t="n">
        <v>0</v>
      </c>
      <c r="AG6" s="8" t="n">
        <v>1</v>
      </c>
      <c r="AH6" s="9" t="n">
        <f aca="false">IF(COUNT(S6:AG6)=0,"",SUM(S6:AG6))</f>
        <v>65.5</v>
      </c>
      <c r="AI6" s="9" t="n">
        <f aca="false">IF(COUNTIF($F$2:F6,F6)=1,IFERROR(AVERAGEIF($F:$F,F6,$AH:$AH),""),"")</f>
        <v>65.5</v>
      </c>
      <c r="AJ6" s="10" t="str">
        <f aca="false">IF(AL6&lt;&gt;"",AL6,IF(AI6="","",IF(AI6&gt;=80,"Excellent",IF(AI6&gt;=70,"Very Good",IF(AI6&gt;=60,"Good",IF(AI6&gt;=50,"Average","Poor"))))))</f>
        <v>Good</v>
      </c>
      <c r="AK6" s="5"/>
      <c r="AL6" s="4"/>
      <c r="AM6" s="4" t="s">
        <v>49</v>
      </c>
      <c r="AN6" s="4" t="n">
        <v>44906</v>
      </c>
      <c r="AO6" s="4" t="s">
        <v>50</v>
      </c>
      <c r="AP6" s="4" t="s">
        <v>51</v>
      </c>
      <c r="AQ6" s="4" t="s">
        <v>52</v>
      </c>
    </row>
    <row r="7" customFormat="false" ht="58.2" hidden="false" customHeight="false" outlineLevel="0" collapsed="false">
      <c r="A7" s="4" t="n">
        <v>6</v>
      </c>
      <c r="B7" s="4" t="s">
        <v>43</v>
      </c>
      <c r="C7" s="4" t="s">
        <v>44</v>
      </c>
      <c r="D7" s="4" t="s">
        <v>45</v>
      </c>
      <c r="E7" s="4" t="s">
        <v>56</v>
      </c>
      <c r="F7" s="4" t="n">
        <v>21669</v>
      </c>
      <c r="G7" s="5" t="s">
        <v>59</v>
      </c>
      <c r="H7" s="5" t="s">
        <v>48</v>
      </c>
      <c r="I7" s="4" t="n">
        <v>1</v>
      </c>
      <c r="J7" s="4" t="n">
        <v>183366</v>
      </c>
      <c r="K7" s="4"/>
      <c r="L7" s="4" t="n">
        <v>30</v>
      </c>
      <c r="M7" s="4" t="n">
        <v>30</v>
      </c>
      <c r="N7" s="4" t="n">
        <v>0</v>
      </c>
      <c r="O7" s="4" t="n">
        <v>26</v>
      </c>
      <c r="P7" s="4" t="n">
        <v>4</v>
      </c>
      <c r="Q7" s="4" t="n">
        <v>26</v>
      </c>
      <c r="R7" s="6" t="n">
        <f aca="false">IF(N(M7)=0,0,Q7/M7)</f>
        <v>0.866666666666667</v>
      </c>
      <c r="S7" s="7" t="n">
        <v>0</v>
      </c>
      <c r="T7" s="4" t="n">
        <f aca="false">IF(R7="","",IF(R7&gt;=0.8,50,IF(R7&gt;=0.5,30,IF(R7&gt;=0.01,10,0))))</f>
        <v>50</v>
      </c>
      <c r="U7" s="7" t="n">
        <v>0</v>
      </c>
      <c r="V7" s="7" t="n">
        <v>5</v>
      </c>
      <c r="W7" s="7" t="n">
        <v>5</v>
      </c>
      <c r="X7" s="7" t="n">
        <v>1.5</v>
      </c>
      <c r="Y7" s="7" t="n">
        <v>2.5</v>
      </c>
      <c r="Z7" s="7" t="n">
        <v>1</v>
      </c>
      <c r="AA7" s="7" t="n">
        <v>1</v>
      </c>
      <c r="AB7" s="7" t="n">
        <v>2.5</v>
      </c>
      <c r="AC7" s="7" t="n">
        <v>0</v>
      </c>
      <c r="AD7" s="7" t="n">
        <v>2.5</v>
      </c>
      <c r="AE7" s="7" t="n">
        <v>0</v>
      </c>
      <c r="AF7" s="7" t="n">
        <v>0</v>
      </c>
      <c r="AG7" s="8" t="n">
        <v>2</v>
      </c>
      <c r="AH7" s="9" t="n">
        <f aca="false">IF(COUNT(S7:AG7)=0,"",SUM(S7:AG7))</f>
        <v>73</v>
      </c>
      <c r="AI7" s="9" t="n">
        <f aca="false">IF(COUNTIF($F$2:F7,F7)=1,IFERROR(AVERAGEIF($F:$F,F7,$AH:$AH),""),"")</f>
        <v>73</v>
      </c>
      <c r="AJ7" s="10" t="str">
        <f aca="false">IF(AL7&lt;&gt;"",AL7,IF(AI7="","",IF(AI7&gt;=80,"Excellent",IF(AI7&gt;=70,"Very Good",IF(AI7&gt;=60,"Good",IF(AI7&gt;=50,"Average","Poor"))))))</f>
        <v>Very Good</v>
      </c>
      <c r="AK7" s="5"/>
      <c r="AL7" s="4"/>
      <c r="AM7" s="4" t="s">
        <v>49</v>
      </c>
      <c r="AN7" s="4" t="n">
        <v>44905</v>
      </c>
      <c r="AO7" s="4" t="s">
        <v>50</v>
      </c>
      <c r="AP7" s="4" t="s">
        <v>51</v>
      </c>
      <c r="AQ7" s="4" t="s">
        <v>52</v>
      </c>
    </row>
    <row r="8" customFormat="false" ht="58.2" hidden="false" customHeight="false" outlineLevel="0" collapsed="false">
      <c r="A8" s="4" t="n">
        <v>7</v>
      </c>
      <c r="B8" s="4" t="s">
        <v>43</v>
      </c>
      <c r="C8" s="4" t="s">
        <v>44</v>
      </c>
      <c r="D8" s="4" t="s">
        <v>45</v>
      </c>
      <c r="E8" s="4" t="s">
        <v>56</v>
      </c>
      <c r="F8" s="4" t="n">
        <v>10807</v>
      </c>
      <c r="G8" s="5" t="s">
        <v>60</v>
      </c>
      <c r="H8" s="5" t="s">
        <v>48</v>
      </c>
      <c r="I8" s="4" t="n">
        <v>1</v>
      </c>
      <c r="J8" s="4" t="n">
        <v>183361</v>
      </c>
      <c r="K8" s="4"/>
      <c r="L8" s="4" t="n">
        <v>40</v>
      </c>
      <c r="M8" s="4" t="n">
        <v>40</v>
      </c>
      <c r="N8" s="4" t="n">
        <v>0</v>
      </c>
      <c r="O8" s="4" t="n">
        <v>29</v>
      </c>
      <c r="P8" s="4" t="n">
        <v>11</v>
      </c>
      <c r="Q8" s="4" t="n">
        <v>29</v>
      </c>
      <c r="R8" s="6" t="n">
        <f aca="false">IF(N(M8)=0,0,Q8/M8)</f>
        <v>0.725</v>
      </c>
      <c r="S8" s="7" t="n">
        <v>10</v>
      </c>
      <c r="T8" s="4" t="n">
        <f aca="false">IF(R8="","",IF(R8&gt;=0.8,50,IF(R8&gt;=0.5,30,IF(R8&gt;=0.01,10,0))))</f>
        <v>30</v>
      </c>
      <c r="U8" s="7" t="n">
        <v>0</v>
      </c>
      <c r="V8" s="7" t="n">
        <v>5</v>
      </c>
      <c r="W8" s="7" t="n">
        <v>5</v>
      </c>
      <c r="X8" s="7" t="n">
        <v>1.5</v>
      </c>
      <c r="Y8" s="7" t="n">
        <v>1.5</v>
      </c>
      <c r="Z8" s="7" t="n">
        <v>1</v>
      </c>
      <c r="AA8" s="7" t="n">
        <v>1</v>
      </c>
      <c r="AB8" s="7" t="n">
        <v>2.5</v>
      </c>
      <c r="AC8" s="7" t="n">
        <v>2.5</v>
      </c>
      <c r="AD8" s="7" t="n">
        <v>2.5</v>
      </c>
      <c r="AE8" s="7" t="n">
        <v>0</v>
      </c>
      <c r="AF8" s="7" t="n">
        <v>0</v>
      </c>
      <c r="AG8" s="8" t="n">
        <v>2</v>
      </c>
      <c r="AH8" s="9" t="n">
        <f aca="false">IF(COUNT(S8:AG8)=0,"",SUM(S8:AG8))</f>
        <v>64.5</v>
      </c>
      <c r="AI8" s="9" t="n">
        <f aca="false">IF(COUNTIF($F$2:F8,F8)=1,IFERROR(AVERAGEIF($F:$F,F8,$AH:$AH),""),"")</f>
        <v>65.5</v>
      </c>
      <c r="AJ8" s="10" t="str">
        <f aca="false">IF(AL8&lt;&gt;"",AL8,IF(AI8="","",IF(AI8&gt;=80,"Excellent",IF(AI8&gt;=70,"Very Good",IF(AI8&gt;=60,"Good",IF(AI8&gt;=50,"Average","Poor"))))))</f>
        <v>Good</v>
      </c>
      <c r="AK8" s="5"/>
      <c r="AL8" s="4"/>
      <c r="AM8" s="4" t="s">
        <v>49</v>
      </c>
      <c r="AN8" s="4" t="n">
        <v>44903</v>
      </c>
      <c r="AO8" s="4" t="s">
        <v>50</v>
      </c>
      <c r="AP8" s="4" t="s">
        <v>51</v>
      </c>
      <c r="AQ8" s="4" t="s">
        <v>52</v>
      </c>
    </row>
    <row r="9" customFormat="false" ht="58.2" hidden="false" customHeight="false" outlineLevel="0" collapsed="false">
      <c r="A9" s="4"/>
      <c r="B9" s="4" t="s">
        <v>43</v>
      </c>
      <c r="C9" s="4" t="s">
        <v>44</v>
      </c>
      <c r="D9" s="4" t="s">
        <v>45</v>
      </c>
      <c r="E9" s="4" t="s">
        <v>56</v>
      </c>
      <c r="F9" s="4" t="n">
        <v>10807</v>
      </c>
      <c r="G9" s="5" t="s">
        <v>60</v>
      </c>
      <c r="H9" s="5" t="s">
        <v>61</v>
      </c>
      <c r="I9" s="4" t="n">
        <v>1</v>
      </c>
      <c r="J9" s="4" t="n">
        <v>183362</v>
      </c>
      <c r="K9" s="4"/>
      <c r="L9" s="4" t="n">
        <v>20</v>
      </c>
      <c r="M9" s="4" t="n">
        <v>20</v>
      </c>
      <c r="N9" s="4" t="n">
        <v>0</v>
      </c>
      <c r="O9" s="4" t="n">
        <v>14</v>
      </c>
      <c r="P9" s="4" t="n">
        <v>6</v>
      </c>
      <c r="Q9" s="4" t="n">
        <v>14</v>
      </c>
      <c r="R9" s="6" t="n">
        <f aca="false">IF(N(M9)=0,0,Q9/M9)</f>
        <v>0.7</v>
      </c>
      <c r="S9" s="7" t="n">
        <v>10</v>
      </c>
      <c r="T9" s="4" t="n">
        <f aca="false">IF(R9="","",IF(R9&gt;=0.8,50,IF(R9&gt;=0.5,30,IF(R9&gt;=0.01,10,0))))</f>
        <v>30</v>
      </c>
      <c r="U9" s="7" t="n">
        <v>0</v>
      </c>
      <c r="V9" s="7" t="n">
        <v>5</v>
      </c>
      <c r="W9" s="7" t="n">
        <v>5</v>
      </c>
      <c r="X9" s="7" t="n">
        <v>2.5</v>
      </c>
      <c r="Y9" s="7" t="n">
        <v>2.5</v>
      </c>
      <c r="Z9" s="7" t="n">
        <v>1</v>
      </c>
      <c r="AA9" s="7" t="n">
        <v>1</v>
      </c>
      <c r="AB9" s="7" t="n">
        <v>2.5</v>
      </c>
      <c r="AC9" s="7" t="n">
        <v>2.5</v>
      </c>
      <c r="AD9" s="7" t="n">
        <v>2.5</v>
      </c>
      <c r="AE9" s="7" t="n">
        <v>0</v>
      </c>
      <c r="AF9" s="7" t="n">
        <v>0</v>
      </c>
      <c r="AG9" s="8" t="n">
        <v>2</v>
      </c>
      <c r="AH9" s="9" t="n">
        <f aca="false">IF(COUNT(S9:AG9)=0,"",SUM(S9:AG9))</f>
        <v>66.5</v>
      </c>
      <c r="AI9" s="9"/>
      <c r="AJ9" s="10"/>
      <c r="AK9" s="5"/>
      <c r="AL9" s="4"/>
      <c r="AM9" s="4" t="s">
        <v>49</v>
      </c>
      <c r="AN9" s="4" t="n">
        <v>44904</v>
      </c>
      <c r="AO9" s="4" t="s">
        <v>50</v>
      </c>
      <c r="AP9" s="4" t="s">
        <v>51</v>
      </c>
      <c r="AQ9" s="4" t="s">
        <v>52</v>
      </c>
    </row>
    <row r="10" customFormat="false" ht="58.2" hidden="false" customHeight="false" outlineLevel="0" collapsed="false">
      <c r="A10" s="4" t="n">
        <v>8</v>
      </c>
      <c r="B10" s="4" t="s">
        <v>43</v>
      </c>
      <c r="C10" s="4" t="s">
        <v>44</v>
      </c>
      <c r="D10" s="4" t="s">
        <v>45</v>
      </c>
      <c r="E10" s="4" t="s">
        <v>56</v>
      </c>
      <c r="F10" s="4" t="n">
        <v>6138</v>
      </c>
      <c r="G10" s="5" t="s">
        <v>62</v>
      </c>
      <c r="H10" s="5" t="s">
        <v>48</v>
      </c>
      <c r="I10" s="4" t="n">
        <v>1</v>
      </c>
      <c r="J10" s="4" t="n">
        <v>183365</v>
      </c>
      <c r="K10" s="4"/>
      <c r="L10" s="4" t="n">
        <v>30</v>
      </c>
      <c r="M10" s="4" t="n">
        <v>30</v>
      </c>
      <c r="N10" s="4" t="n">
        <v>0</v>
      </c>
      <c r="O10" s="4" t="n">
        <v>30</v>
      </c>
      <c r="P10" s="4" t="n">
        <v>0</v>
      </c>
      <c r="Q10" s="4" t="n">
        <v>30</v>
      </c>
      <c r="R10" s="6" t="n">
        <f aca="false">IF(N(M10)=0,0,Q10/M10)</f>
        <v>1</v>
      </c>
      <c r="S10" s="7" t="n">
        <v>0</v>
      </c>
      <c r="T10" s="4" t="n">
        <f aca="false">IF(R10="","",IF(R10&gt;=0.8,50,IF(R10&gt;=0.5,30,IF(R10&gt;=0.01,10,0))))</f>
        <v>50</v>
      </c>
      <c r="U10" s="7" t="n">
        <v>0</v>
      </c>
      <c r="V10" s="7" t="n">
        <v>5</v>
      </c>
      <c r="W10" s="7" t="n">
        <v>5</v>
      </c>
      <c r="X10" s="7" t="n">
        <v>2.5</v>
      </c>
      <c r="Y10" s="7" t="n">
        <v>1.5</v>
      </c>
      <c r="Z10" s="7" t="n">
        <v>1</v>
      </c>
      <c r="AA10" s="7" t="n">
        <v>1</v>
      </c>
      <c r="AB10" s="7" t="n">
        <v>2.5</v>
      </c>
      <c r="AC10" s="7" t="n">
        <v>2.5</v>
      </c>
      <c r="AD10" s="7" t="n">
        <v>2.5</v>
      </c>
      <c r="AE10" s="7" t="n">
        <v>0</v>
      </c>
      <c r="AF10" s="7" t="n">
        <v>0</v>
      </c>
      <c r="AG10" s="8" t="n">
        <v>2</v>
      </c>
      <c r="AH10" s="9" t="n">
        <f aca="false">IF(COUNT(S10:AG10)=0,"",SUM(S10:AG10))</f>
        <v>75.5</v>
      </c>
      <c r="AI10" s="9" t="n">
        <f aca="false">IF(COUNTIF($F$2:F10,F10)=1,IFERROR(AVERAGEIF($F:$F,F10,$AH:$AH),""),"")</f>
        <v>75.5</v>
      </c>
      <c r="AJ10" s="10" t="str">
        <f aca="false">IF(AL10&lt;&gt;"",AL10,IF(AI10="","",IF(AI10&gt;=80,"Excellent",IF(AI10&gt;=70,"Very Good",IF(AI10&gt;=60,"Good",IF(AI10&gt;=50,"Average","Poor"))))))</f>
        <v>Very Good</v>
      </c>
      <c r="AK10" s="5"/>
      <c r="AL10" s="4"/>
      <c r="AM10" s="4" t="s">
        <v>49</v>
      </c>
      <c r="AN10" s="4" t="n">
        <v>44895</v>
      </c>
      <c r="AO10" s="4" t="s">
        <v>50</v>
      </c>
      <c r="AP10" s="4" t="s">
        <v>51</v>
      </c>
      <c r="AQ10" s="4" t="s">
        <v>52</v>
      </c>
    </row>
    <row r="11" customFormat="false" ht="58.2" hidden="false" customHeight="false" outlineLevel="0" collapsed="false">
      <c r="A11" s="4"/>
      <c r="B11" s="4" t="s">
        <v>43</v>
      </c>
      <c r="C11" s="4" t="s">
        <v>44</v>
      </c>
      <c r="D11" s="4" t="s">
        <v>45</v>
      </c>
      <c r="E11" s="4" t="s">
        <v>56</v>
      </c>
      <c r="F11" s="4" t="n">
        <v>6138</v>
      </c>
      <c r="G11" s="5" t="s">
        <v>62</v>
      </c>
      <c r="H11" s="5" t="s">
        <v>48</v>
      </c>
      <c r="I11" s="4" t="n">
        <v>2</v>
      </c>
      <c r="J11" s="4" t="n">
        <v>183365</v>
      </c>
      <c r="K11" s="4"/>
      <c r="L11" s="4" t="n">
        <v>30</v>
      </c>
      <c r="M11" s="4" t="n">
        <v>30</v>
      </c>
      <c r="N11" s="4" t="n">
        <v>0</v>
      </c>
      <c r="O11" s="4" t="n">
        <v>28</v>
      </c>
      <c r="P11" s="4" t="n">
        <v>2</v>
      </c>
      <c r="Q11" s="4" t="n">
        <v>28</v>
      </c>
      <c r="R11" s="6" t="n">
        <f aca="false">IF(N(M11)=0,0,Q11/M11)</f>
        <v>0.933333333333333</v>
      </c>
      <c r="S11" s="7" t="n">
        <v>0</v>
      </c>
      <c r="T11" s="4" t="n">
        <f aca="false">IF(R11="","",IF(R11&gt;=0.8,50,IF(R11&gt;=0.5,30,IF(R11&gt;=0.01,10,0))))</f>
        <v>50</v>
      </c>
      <c r="U11" s="7" t="n">
        <v>0</v>
      </c>
      <c r="V11" s="7" t="n">
        <v>5</v>
      </c>
      <c r="W11" s="7" t="n">
        <v>5</v>
      </c>
      <c r="X11" s="7" t="n">
        <v>2.5</v>
      </c>
      <c r="Y11" s="7" t="n">
        <v>1.5</v>
      </c>
      <c r="Z11" s="7" t="n">
        <v>1</v>
      </c>
      <c r="AA11" s="7" t="n">
        <v>1</v>
      </c>
      <c r="AB11" s="7" t="n">
        <v>2.5</v>
      </c>
      <c r="AC11" s="7" t="n">
        <v>2.5</v>
      </c>
      <c r="AD11" s="7" t="n">
        <v>2.5</v>
      </c>
      <c r="AE11" s="7" t="n">
        <v>0</v>
      </c>
      <c r="AF11" s="7" t="n">
        <v>0</v>
      </c>
      <c r="AG11" s="8" t="n">
        <v>2</v>
      </c>
      <c r="AH11" s="9" t="n">
        <f aca="false">IF(COUNT(S11:AG11)=0,"",SUM(S11:AG11))</f>
        <v>75.5</v>
      </c>
      <c r="AI11" s="9"/>
      <c r="AJ11" s="10"/>
      <c r="AK11" s="5"/>
      <c r="AL11" s="4"/>
      <c r="AM11" s="4" t="s">
        <v>49</v>
      </c>
      <c r="AN11" s="4" t="n">
        <v>44896</v>
      </c>
      <c r="AO11" s="4" t="s">
        <v>50</v>
      </c>
      <c r="AP11" s="4" t="s">
        <v>51</v>
      </c>
      <c r="AQ11" s="4" t="s">
        <v>52</v>
      </c>
    </row>
    <row r="12" customFormat="false" ht="58.2" hidden="false" customHeight="false" outlineLevel="0" collapsed="false">
      <c r="A12" s="4" t="n">
        <v>9</v>
      </c>
      <c r="B12" s="4" t="s">
        <v>43</v>
      </c>
      <c r="C12" s="4" t="s">
        <v>44</v>
      </c>
      <c r="D12" s="4" t="s">
        <v>45</v>
      </c>
      <c r="E12" s="4" t="s">
        <v>63</v>
      </c>
      <c r="F12" s="4" t="n">
        <v>30432</v>
      </c>
      <c r="G12" s="5" t="s">
        <v>64</v>
      </c>
      <c r="H12" s="5" t="s">
        <v>48</v>
      </c>
      <c r="I12" s="4" t="n">
        <v>1</v>
      </c>
      <c r="J12" s="4" t="n">
        <v>183360</v>
      </c>
      <c r="K12" s="4"/>
      <c r="L12" s="4" t="n">
        <v>25</v>
      </c>
      <c r="M12" s="4"/>
      <c r="N12" s="4"/>
      <c r="O12" s="4"/>
      <c r="P12" s="4"/>
      <c r="Q12" s="4"/>
      <c r="R12" s="6"/>
      <c r="S12" s="7"/>
      <c r="T12" s="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8"/>
      <c r="AH12" s="9" t="str">
        <f aca="false">IF(COUNT(S12:AG12)=0,"",SUM(S12:AG12))</f>
        <v/>
      </c>
      <c r="AI12" s="9" t="str">
        <f aca="false">IF(COUNTIF($F$2:F12,F12)=1,IFERROR(AVERAGEIF($F:$F,F12,$AH:$AH),""),"")</f>
        <v/>
      </c>
      <c r="AJ12" s="10" t="str">
        <f aca="false">IF(AL12&lt;&gt;"",AL12,IF(AI12="","",IF(AI12&gt;=80,"Excellent",IF(AI12&gt;=70,"Very Good",IF(AI12&gt;=60,"Good",IF(AI12&gt;=50,"Average","Poor"))))))</f>
        <v>Closed</v>
      </c>
      <c r="AK12" s="5" t="s">
        <v>65</v>
      </c>
      <c r="AL12" s="4" t="s">
        <v>66</v>
      </c>
      <c r="AM12" s="4" t="s">
        <v>49</v>
      </c>
      <c r="AN12" s="4" t="n">
        <v>44897</v>
      </c>
      <c r="AO12" s="4" t="s">
        <v>50</v>
      </c>
      <c r="AP12" s="4" t="s">
        <v>51</v>
      </c>
      <c r="AQ12" s="4" t="s">
        <v>52</v>
      </c>
    </row>
    <row r="13" customFormat="false" ht="58.2" hidden="false" customHeight="false" outlineLevel="0" collapsed="false">
      <c r="A13" s="4" t="n">
        <v>10</v>
      </c>
      <c r="B13" s="4" t="s">
        <v>43</v>
      </c>
      <c r="C13" s="4" t="s">
        <v>44</v>
      </c>
      <c r="D13" s="4" t="s">
        <v>45</v>
      </c>
      <c r="E13" s="4" t="s">
        <v>56</v>
      </c>
      <c r="F13" s="4" t="n">
        <v>21677</v>
      </c>
      <c r="G13" s="5" t="s">
        <v>67</v>
      </c>
      <c r="H13" s="5" t="s">
        <v>48</v>
      </c>
      <c r="I13" s="4" t="n">
        <v>1</v>
      </c>
      <c r="J13" s="4" t="n">
        <v>183386</v>
      </c>
      <c r="K13" s="4"/>
      <c r="L13" s="4" t="n">
        <v>25</v>
      </c>
      <c r="M13" s="4" t="n">
        <v>25</v>
      </c>
      <c r="N13" s="4" t="n">
        <v>0</v>
      </c>
      <c r="O13" s="4" t="n">
        <v>22</v>
      </c>
      <c r="P13" s="4" t="n">
        <v>3</v>
      </c>
      <c r="Q13" s="4" t="n">
        <v>22</v>
      </c>
      <c r="R13" s="6" t="n">
        <f aca="false">IF(N(M13)=0,0,Q13/M13)</f>
        <v>0.88</v>
      </c>
      <c r="S13" s="7" t="n">
        <v>0</v>
      </c>
      <c r="T13" s="4" t="n">
        <f aca="false">IF(R13="","",IF(R13&gt;=0.8,50,IF(R13&gt;=0.5,30,IF(R13&gt;=0.01,10,0))))</f>
        <v>50</v>
      </c>
      <c r="U13" s="7" t="n">
        <v>0</v>
      </c>
      <c r="V13" s="7" t="n">
        <v>5</v>
      </c>
      <c r="W13" s="7" t="n">
        <v>5</v>
      </c>
      <c r="X13" s="7" t="n">
        <v>2.5</v>
      </c>
      <c r="Y13" s="7" t="n">
        <v>1.5</v>
      </c>
      <c r="Z13" s="7" t="n">
        <v>1</v>
      </c>
      <c r="AA13" s="7" t="n">
        <v>1</v>
      </c>
      <c r="AB13" s="7" t="n">
        <v>2.5</v>
      </c>
      <c r="AC13" s="7" t="n">
        <v>2.5</v>
      </c>
      <c r="AD13" s="7" t="n">
        <v>2.5</v>
      </c>
      <c r="AE13" s="7" t="n">
        <v>0</v>
      </c>
      <c r="AF13" s="7" t="n">
        <v>0</v>
      </c>
      <c r="AG13" s="8" t="n">
        <v>2</v>
      </c>
      <c r="AH13" s="9" t="n">
        <f aca="false">IF(COUNT(S13:AG13)=0,"",SUM(S13:AG13))</f>
        <v>75.5</v>
      </c>
      <c r="AI13" s="9" t="n">
        <f aca="false">IF(COUNTIF($F$2:F13,F13)=1,IFERROR(AVERAGEIF($F:$F,F13,$AH:$AH),""),"")</f>
        <v>75.5</v>
      </c>
      <c r="AJ13" s="10" t="str">
        <f aca="false">IF(AL13&lt;&gt;"",AL13,IF(AI13="","",IF(AI13&gt;=80,"Excellent",IF(AI13&gt;=70,"Very Good",IF(AI13&gt;=60,"Good",IF(AI13&gt;=50,"Average","Poor"))))))</f>
        <v>Very Good</v>
      </c>
      <c r="AK13" s="5"/>
      <c r="AL13" s="4"/>
      <c r="AM13" s="4" t="s">
        <v>49</v>
      </c>
      <c r="AN13" s="4" t="n">
        <v>44901</v>
      </c>
      <c r="AO13" s="4" t="s">
        <v>50</v>
      </c>
      <c r="AP13" s="4" t="s">
        <v>51</v>
      </c>
      <c r="AQ13" s="4" t="s">
        <v>52</v>
      </c>
    </row>
  </sheetData>
  <autoFilter ref="A1:AQ13"/>
  <mergeCells count="8">
    <mergeCell ref="AI8:AI9"/>
    <mergeCell ref="AJ8:AJ9"/>
    <mergeCell ref="AK8:AK9"/>
    <mergeCell ref="AL8:AL9"/>
    <mergeCell ref="AI10:AI11"/>
    <mergeCell ref="AJ10:AJ11"/>
    <mergeCell ref="AK10:AK11"/>
    <mergeCell ref="AL10:AL11"/>
  </mergeCells>
  <conditionalFormatting sqref="AJ2:AJ13">
    <cfRule type="expression" priority="2" aboveAverage="0" equalAverage="0" bottom="0" percent="0" rank="0" text="" dxfId="10">
      <formula>AJ2="Excellent"</formula>
    </cfRule>
    <cfRule type="expression" priority="3" aboveAverage="0" equalAverage="0" bottom="0" percent="0" rank="0" text="" dxfId="11">
      <formula>AJ2="Very Good"</formula>
    </cfRule>
    <cfRule type="expression" priority="4" aboveAverage="0" equalAverage="0" bottom="0" percent="0" rank="0" text="" dxfId="12">
      <formula>AJ2="Good"</formula>
    </cfRule>
    <cfRule type="expression" priority="5" aboveAverage="0" equalAverage="0" bottom="0" percent="0" rank="0" text="" dxfId="13">
      <formula>AJ2="Average"</formula>
    </cfRule>
    <cfRule type="expression" priority="6" aboveAverage="0" equalAverage="0" bottom="0" percent="0" rank="0" text="" dxfId="14">
      <formula>AJ2="Poor"</formula>
    </cfRule>
  </conditionalFormatting>
  <dataValidations count="15">
    <dataValidation allowBlank="true" error="Allowed values: 0, 10" errorStyle="stop" errorTitle="Invalid score" operator="between" showDropDown="false" showErrorMessage="true" showInputMessage="false" sqref="S2:S513" type="list">
      <formula1>"0,10"</formula1>
      <formula2>0</formula2>
    </dataValidation>
    <dataValidation allowBlank="true" error="Allowed values: 0, 5" errorStyle="stop" errorTitle="Invalid score" operator="between" showDropDown="false" showErrorMessage="true" showInputMessage="false" sqref="U2:U513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V2:V513" type="list">
      <formula1>"0,5"</formula1>
      <formula2>0</formula2>
    </dataValidation>
    <dataValidation allowBlank="true" error="Allowed values: 0, 5" errorStyle="stop" errorTitle="Invalid score" operator="between" showDropDown="false" showErrorMessage="true" showInputMessage="false" sqref="W2:W513" type="list">
      <formula1>"0,5"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X2:X513" type="list">
      <formula1>"0,1.5,2.5"</formula1>
      <formula2>0</formula2>
    </dataValidation>
    <dataValidation allowBlank="true" error="Allowed values: 0, 1.5, 2.5" errorStyle="stop" errorTitle="Invalid score" operator="between" showDropDown="false" showErrorMessage="true" showInputMessage="false" sqref="Y2:Y513" type="list">
      <formula1>"0,1.5,2.5"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Z2:Z513" type="list">
      <formula1>"0,1,2.5"</formula1>
      <formula2>0</formula2>
    </dataValidation>
    <dataValidation allowBlank="true" error="Allowed values: 0, 1, 2.5" errorStyle="stop" errorTitle="Invalid score" operator="between" showDropDown="false" showErrorMessage="true" showInputMessage="false" sqref="AA2:AA513" type="list">
      <formula1>"0,1,2.5"</formula1>
      <formula2>0</formula2>
    </dataValidation>
    <dataValidation allowBlank="true" error="Allowed values: 0, 2.5" errorStyle="stop" errorTitle="Invalid score" operator="between" showDropDown="false" showErrorMessage="true" showInputMessage="false" sqref="AB2:AB51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C2:AC51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D2:AD51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E2:AE513" type="list">
      <formula1>"0,2.5"</formula1>
      <formula2>0</formula2>
    </dataValidation>
    <dataValidation allowBlank="true" error="Allowed values: 0, 2.5" errorStyle="stop" errorTitle="Invalid score" operator="between" showDropDown="false" showErrorMessage="true" showInputMessage="false" sqref="AF2:AF513" type="list">
      <formula1>"0,2.5"</formula1>
      <formula2>0</formula2>
    </dataValidation>
    <dataValidation allowBlank="true" error="Enter a value between 0 and 2.5" errorStyle="stop" errorTitle="Invalid score" operator="between" showDropDown="false" showErrorMessage="true" showInputMessage="false" sqref="AG2:AG513" type="decimal">
      <formula1>0</formula1>
      <formula2>2.5</formula2>
    </dataValidation>
    <dataValidation allowBlank="true" errorStyle="stop" operator="between" showDropDown="false" showErrorMessage="false" showInputMessage="false" sqref="AL2:AL513" type="list">
      <formula1>"Excellent,Very Good,Good,Average,Poor,Closed,No Classes"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1" t="s">
        <v>68</v>
      </c>
    </row>
    <row r="2" customFormat="false" ht="15" hidden="false" customHeight="false" outlineLevel="0" collapsed="false">
      <c r="A2" s="12" t="s">
        <v>69</v>
      </c>
    </row>
    <row r="4" customFormat="false" ht="15" hidden="false" customHeight="false" outlineLevel="0" collapsed="false">
      <c r="A4" s="13" t="s">
        <v>70</v>
      </c>
      <c r="B4" s="13" t="s">
        <v>71</v>
      </c>
      <c r="C4" s="13" t="s">
        <v>72</v>
      </c>
      <c r="D4" s="13" t="s">
        <v>73</v>
      </c>
      <c r="E4" s="13" t="s">
        <v>74</v>
      </c>
      <c r="F4" s="13" t="s">
        <v>75</v>
      </c>
    </row>
    <row r="5" customFormat="false" ht="25.35" hidden="false" customHeight="false" outlineLevel="0" collapsed="false">
      <c r="A5" s="14" t="s">
        <v>76</v>
      </c>
      <c r="B5" s="14" t="s">
        <v>77</v>
      </c>
      <c r="C5" s="14" t="s">
        <v>78</v>
      </c>
      <c r="D5" s="14" t="n">
        <v>10</v>
      </c>
      <c r="E5" s="14" t="s">
        <v>79</v>
      </c>
      <c r="F5" s="14" t="s">
        <v>80</v>
      </c>
    </row>
    <row r="6" customFormat="false" ht="25.35" hidden="false" customHeight="false" outlineLevel="0" collapsed="false">
      <c r="A6" s="14" t="s">
        <v>80</v>
      </c>
      <c r="B6" s="14" t="s">
        <v>81</v>
      </c>
      <c r="C6" s="14" t="s">
        <v>82</v>
      </c>
      <c r="D6" s="14" t="n">
        <v>50</v>
      </c>
      <c r="E6" s="14" t="s">
        <v>83</v>
      </c>
      <c r="F6" s="14" t="s">
        <v>84</v>
      </c>
    </row>
    <row r="7" customFormat="false" ht="15" hidden="false" customHeight="false" outlineLevel="0" collapsed="false">
      <c r="A7" s="14" t="s">
        <v>85</v>
      </c>
      <c r="B7" s="14" t="s">
        <v>86</v>
      </c>
      <c r="C7" s="14" t="s">
        <v>87</v>
      </c>
      <c r="D7" s="14" t="n">
        <v>5</v>
      </c>
      <c r="E7" s="14" t="s">
        <v>79</v>
      </c>
      <c r="F7" s="14" t="s">
        <v>88</v>
      </c>
    </row>
    <row r="8" customFormat="false" ht="15" hidden="false" customHeight="false" outlineLevel="0" collapsed="false">
      <c r="A8" s="14" t="s">
        <v>88</v>
      </c>
      <c r="B8" s="14" t="s">
        <v>89</v>
      </c>
      <c r="C8" s="14" t="s">
        <v>90</v>
      </c>
      <c r="D8" s="14" t="n">
        <v>5</v>
      </c>
      <c r="E8" s="14" t="s">
        <v>79</v>
      </c>
      <c r="F8" s="14" t="s">
        <v>91</v>
      </c>
    </row>
    <row r="9" customFormat="false" ht="15" hidden="false" customHeight="false" outlineLevel="0" collapsed="false">
      <c r="A9" s="14" t="s">
        <v>91</v>
      </c>
      <c r="B9" s="14" t="s">
        <v>92</v>
      </c>
      <c r="C9" s="14" t="s">
        <v>93</v>
      </c>
      <c r="D9" s="14" t="n">
        <v>5</v>
      </c>
      <c r="E9" s="14" t="s">
        <v>79</v>
      </c>
      <c r="F9" s="14" t="s">
        <v>94</v>
      </c>
    </row>
    <row r="10" customFormat="false" ht="25.35" hidden="false" customHeight="false" outlineLevel="0" collapsed="false">
      <c r="A10" s="14" t="s">
        <v>94</v>
      </c>
      <c r="B10" s="14" t="s">
        <v>95</v>
      </c>
      <c r="C10" s="14" t="s">
        <v>23</v>
      </c>
      <c r="D10" s="14" t="n">
        <v>2.5</v>
      </c>
      <c r="E10" s="14" t="s">
        <v>79</v>
      </c>
      <c r="F10" s="14" t="s">
        <v>96</v>
      </c>
    </row>
    <row r="11" customFormat="false" ht="25.35" hidden="false" customHeight="false" outlineLevel="0" collapsed="false">
      <c r="A11" s="14" t="s">
        <v>96</v>
      </c>
      <c r="B11" s="14" t="s">
        <v>97</v>
      </c>
      <c r="C11" s="14" t="s">
        <v>24</v>
      </c>
      <c r="D11" s="14" t="n">
        <v>2.5</v>
      </c>
      <c r="E11" s="14" t="s">
        <v>79</v>
      </c>
      <c r="F11" s="14" t="s">
        <v>98</v>
      </c>
    </row>
    <row r="12" customFormat="false" ht="15" hidden="false" customHeight="false" outlineLevel="0" collapsed="false">
      <c r="A12" s="14" t="s">
        <v>98</v>
      </c>
      <c r="B12" s="14" t="s">
        <v>99</v>
      </c>
      <c r="C12" s="14" t="s">
        <v>100</v>
      </c>
      <c r="D12" s="14" t="n">
        <v>2.5</v>
      </c>
      <c r="E12" s="14" t="s">
        <v>79</v>
      </c>
      <c r="F12" s="14" t="s">
        <v>101</v>
      </c>
    </row>
    <row r="13" customFormat="false" ht="25.35" hidden="false" customHeight="false" outlineLevel="0" collapsed="false">
      <c r="A13" s="14" t="s">
        <v>101</v>
      </c>
      <c r="B13" s="14" t="s">
        <v>102</v>
      </c>
      <c r="C13" s="14" t="s">
        <v>103</v>
      </c>
      <c r="D13" s="14" t="n">
        <v>2.5</v>
      </c>
      <c r="E13" s="14" t="s">
        <v>79</v>
      </c>
      <c r="F13" s="14" t="s">
        <v>104</v>
      </c>
    </row>
    <row r="14" customFormat="false" ht="15" hidden="false" customHeight="false" outlineLevel="0" collapsed="false">
      <c r="A14" s="14" t="s">
        <v>104</v>
      </c>
      <c r="B14" s="14" t="s">
        <v>105</v>
      </c>
      <c r="C14" s="14" t="s">
        <v>106</v>
      </c>
      <c r="D14" s="14" t="n">
        <v>2.5</v>
      </c>
      <c r="E14" s="14" t="s">
        <v>79</v>
      </c>
      <c r="F14" s="14" t="s">
        <v>107</v>
      </c>
    </row>
    <row r="15" customFormat="false" ht="15" hidden="false" customHeight="false" outlineLevel="0" collapsed="false">
      <c r="A15" s="14" t="s">
        <v>107</v>
      </c>
      <c r="B15" s="14" t="s">
        <v>108</v>
      </c>
      <c r="C15" s="14" t="s">
        <v>109</v>
      </c>
      <c r="D15" s="14" t="n">
        <v>2.5</v>
      </c>
      <c r="E15" s="14" t="s">
        <v>79</v>
      </c>
      <c r="F15" s="14" t="s">
        <v>110</v>
      </c>
    </row>
    <row r="16" customFormat="false" ht="15" hidden="false" customHeight="false" outlineLevel="0" collapsed="false">
      <c r="A16" s="14" t="s">
        <v>110</v>
      </c>
      <c r="B16" s="14" t="s">
        <v>111</v>
      </c>
      <c r="C16" s="14" t="s">
        <v>112</v>
      </c>
      <c r="D16" s="14" t="n">
        <v>2.5</v>
      </c>
      <c r="E16" s="14" t="s">
        <v>79</v>
      </c>
      <c r="F16" s="14" t="s">
        <v>113</v>
      </c>
    </row>
    <row r="17" customFormat="false" ht="15" hidden="false" customHeight="false" outlineLevel="0" collapsed="false">
      <c r="A17" s="14" t="s">
        <v>113</v>
      </c>
      <c r="B17" s="14" t="s">
        <v>114</v>
      </c>
      <c r="C17" s="14" t="s">
        <v>115</v>
      </c>
      <c r="D17" s="14" t="n">
        <v>2.5</v>
      </c>
      <c r="E17" s="14" t="s">
        <v>79</v>
      </c>
      <c r="F17" s="14" t="s">
        <v>116</v>
      </c>
    </row>
    <row r="18" customFormat="false" ht="15" hidden="false" customHeight="false" outlineLevel="0" collapsed="false">
      <c r="A18" s="14" t="s">
        <v>116</v>
      </c>
      <c r="B18" s="14" t="s">
        <v>117</v>
      </c>
      <c r="C18" s="14" t="s">
        <v>31</v>
      </c>
      <c r="D18" s="14" t="n">
        <v>2.5</v>
      </c>
      <c r="E18" s="14" t="s">
        <v>79</v>
      </c>
      <c r="F18" s="14" t="s">
        <v>118</v>
      </c>
    </row>
    <row r="19" customFormat="false" ht="25.35" hidden="false" customHeight="false" outlineLevel="0" collapsed="false">
      <c r="A19" s="14" t="s">
        <v>118</v>
      </c>
      <c r="B19" s="14" t="s">
        <v>119</v>
      </c>
      <c r="C19" s="14" t="s">
        <v>120</v>
      </c>
      <c r="D19" s="14" t="n">
        <v>2.5</v>
      </c>
      <c r="E19" s="14" t="s">
        <v>121</v>
      </c>
      <c r="F19" s="14" t="s">
        <v>122</v>
      </c>
    </row>
    <row r="20" customFormat="false" ht="15" hidden="false" customHeight="false" outlineLevel="0" collapsed="false">
      <c r="A20" s="15"/>
      <c r="B20" s="15" t="s">
        <v>123</v>
      </c>
      <c r="C20" s="15"/>
      <c r="D20" s="15" t="n">
        <v>100</v>
      </c>
      <c r="E20" s="15"/>
      <c r="F20" s="15"/>
    </row>
    <row r="22" customFormat="false" ht="15" hidden="false" customHeight="false" outlineLevel="0" collapsed="false">
      <c r="A22" s="16" t="s">
        <v>70</v>
      </c>
      <c r="B22" s="16" t="s">
        <v>124</v>
      </c>
      <c r="C22" s="16" t="s">
        <v>125</v>
      </c>
      <c r="D22" s="16"/>
      <c r="E22" s="16"/>
      <c r="F22" s="16" t="s">
        <v>126</v>
      </c>
    </row>
    <row r="23" customFormat="false" ht="25.35" hidden="false" customHeight="true" outlineLevel="0" collapsed="false">
      <c r="A23" s="14" t="s">
        <v>127</v>
      </c>
      <c r="B23" s="14" t="s">
        <v>128</v>
      </c>
      <c r="C23" s="14" t="s">
        <v>129</v>
      </c>
      <c r="D23" s="14"/>
      <c r="E23" s="14"/>
      <c r="F23" s="14" t="s">
        <v>130</v>
      </c>
    </row>
    <row r="24" customFormat="false" ht="15" hidden="false" customHeight="true" outlineLevel="0" collapsed="false">
      <c r="A24" s="14" t="s">
        <v>122</v>
      </c>
      <c r="B24" s="14" t="s">
        <v>33</v>
      </c>
      <c r="C24" s="14" t="s">
        <v>131</v>
      </c>
      <c r="D24" s="14"/>
      <c r="E24" s="14"/>
      <c r="F24" s="14" t="s">
        <v>132</v>
      </c>
    </row>
    <row r="25" customFormat="false" ht="25.35" hidden="false" customHeight="true" outlineLevel="0" collapsed="false">
      <c r="A25" s="14" t="s">
        <v>133</v>
      </c>
      <c r="B25" s="14" t="s">
        <v>34</v>
      </c>
      <c r="C25" s="14" t="s">
        <v>134</v>
      </c>
      <c r="D25" s="14"/>
      <c r="E25" s="14"/>
      <c r="F25" s="14" t="s">
        <v>135</v>
      </c>
    </row>
    <row r="26" customFormat="false" ht="25.35" hidden="false" customHeight="true" outlineLevel="0" collapsed="false">
      <c r="A26" s="14" t="s">
        <v>136</v>
      </c>
      <c r="B26" s="14" t="s">
        <v>35</v>
      </c>
      <c r="C26" s="14" t="s">
        <v>137</v>
      </c>
      <c r="D26" s="14"/>
      <c r="E26" s="14"/>
      <c r="F26" s="14" t="s">
        <v>138</v>
      </c>
    </row>
    <row r="27" customFormat="false" ht="25.35" hidden="false" customHeight="true" outlineLevel="0" collapsed="false">
      <c r="A27" s="14" t="s">
        <v>139</v>
      </c>
      <c r="B27" s="14" t="s">
        <v>36</v>
      </c>
      <c r="C27" s="14" t="s">
        <v>140</v>
      </c>
      <c r="D27" s="14"/>
      <c r="E27" s="14"/>
      <c r="F27" s="14" t="s">
        <v>141</v>
      </c>
    </row>
    <row r="28" customFormat="false" ht="25.35" hidden="false" customHeight="true" outlineLevel="0" collapsed="false">
      <c r="A28" s="14" t="s">
        <v>142</v>
      </c>
      <c r="B28" s="14" t="s">
        <v>37</v>
      </c>
      <c r="C28" s="14" t="s">
        <v>79</v>
      </c>
      <c r="D28" s="14"/>
      <c r="E28" s="14"/>
      <c r="F28" s="14" t="s">
        <v>143</v>
      </c>
    </row>
    <row r="30" customFormat="false" ht="15" hidden="false" customHeight="false" outlineLevel="0" collapsed="false">
      <c r="A30" s="16" t="s">
        <v>144</v>
      </c>
      <c r="B30" s="16" t="s">
        <v>145</v>
      </c>
      <c r="C30" s="16"/>
      <c r="D30" s="16"/>
      <c r="E30" s="16"/>
      <c r="F30" s="16"/>
    </row>
    <row r="31" customFormat="false" ht="15" hidden="false" customHeight="false" outlineLevel="0" collapsed="false">
      <c r="A31" s="17" t="s">
        <v>146</v>
      </c>
      <c r="B31" s="14" t="s">
        <v>147</v>
      </c>
      <c r="C31" s="14"/>
      <c r="D31" s="14"/>
      <c r="E31" s="14"/>
      <c r="F31" s="14"/>
    </row>
    <row r="32" customFormat="false" ht="25.35" hidden="false" customHeight="false" outlineLevel="0" collapsed="false">
      <c r="A32" s="18" t="s">
        <v>148</v>
      </c>
      <c r="B32" s="14" t="s">
        <v>149</v>
      </c>
      <c r="C32" s="14"/>
      <c r="D32" s="14"/>
      <c r="E32" s="14"/>
      <c r="F32" s="14"/>
    </row>
    <row r="33" customFormat="false" ht="15" hidden="false" customHeight="false" outlineLevel="0" collapsed="false">
      <c r="A33" s="19" t="s">
        <v>150</v>
      </c>
      <c r="B33" s="14" t="s">
        <v>151</v>
      </c>
      <c r="C33" s="14"/>
      <c r="D33" s="14"/>
      <c r="E33" s="14"/>
      <c r="F33" s="14"/>
    </row>
    <row r="34" customFormat="false" ht="15" hidden="false" customHeight="false" outlineLevel="0" collapsed="false">
      <c r="A34" s="20" t="s">
        <v>152</v>
      </c>
      <c r="B34" s="14" t="s">
        <v>153</v>
      </c>
      <c r="C34" s="14"/>
      <c r="D34" s="14"/>
      <c r="E34" s="14"/>
      <c r="F34" s="14"/>
    </row>
    <row r="35" customFormat="false" ht="15" hidden="false" customHeight="false" outlineLevel="0" collapsed="false">
      <c r="A35" s="21" t="s">
        <v>154</v>
      </c>
      <c r="B35" s="14" t="s">
        <v>155</v>
      </c>
      <c r="C35" s="14"/>
      <c r="D35" s="14"/>
      <c r="E35" s="14"/>
      <c r="F35" s="14"/>
    </row>
    <row r="37" customFormat="false" ht="25.35" hidden="false" customHeight="false" outlineLevel="0" collapsed="false">
      <c r="A37" s="16" t="s">
        <v>156</v>
      </c>
      <c r="B37" s="16" t="s">
        <v>157</v>
      </c>
      <c r="C37" s="16"/>
      <c r="D37" s="16"/>
      <c r="E37" s="16"/>
      <c r="F37" s="16"/>
    </row>
    <row r="38" customFormat="false" ht="30" hidden="false" customHeight="true" outlineLevel="0" collapsed="false">
      <c r="A38" s="22" t="n">
        <v>1</v>
      </c>
      <c r="B38" s="23" t="s">
        <v>158</v>
      </c>
      <c r="C38" s="23"/>
      <c r="D38" s="23"/>
      <c r="E38" s="23"/>
      <c r="F38" s="23"/>
    </row>
    <row r="39" customFormat="false" ht="30" hidden="false" customHeight="true" outlineLevel="0" collapsed="false">
      <c r="A39" s="22" t="n">
        <v>2</v>
      </c>
      <c r="B39" s="23" t="s">
        <v>159</v>
      </c>
      <c r="C39" s="23"/>
      <c r="D39" s="23"/>
      <c r="E39" s="23"/>
      <c r="F39" s="23"/>
    </row>
    <row r="40" customFormat="false" ht="15" hidden="false" customHeight="true" outlineLevel="0" collapsed="false">
      <c r="A40" s="22" t="n">
        <v>3</v>
      </c>
      <c r="B40" s="23" t="s">
        <v>160</v>
      </c>
      <c r="C40" s="23"/>
      <c r="D40" s="23"/>
      <c r="E40" s="23"/>
      <c r="F40" s="23"/>
    </row>
    <row r="41" customFormat="false" ht="30" hidden="false" customHeight="true" outlineLevel="0" collapsed="false">
      <c r="A41" s="22" t="n">
        <v>4</v>
      </c>
      <c r="B41" s="23" t="s">
        <v>161</v>
      </c>
      <c r="C41" s="23"/>
      <c r="D41" s="23"/>
      <c r="E41" s="23"/>
      <c r="F41" s="23"/>
    </row>
    <row r="42" customFormat="false" ht="15" hidden="false" customHeight="true" outlineLevel="0" collapsed="false">
      <c r="A42" s="22" t="n">
        <v>5</v>
      </c>
      <c r="B42" s="23" t="s">
        <v>162</v>
      </c>
      <c r="C42" s="23"/>
      <c r="D42" s="23"/>
      <c r="E42" s="23"/>
      <c r="F42" s="23"/>
    </row>
  </sheetData>
  <mergeCells count="11">
    <mergeCell ref="C23:E23"/>
    <mergeCell ref="C24:E24"/>
    <mergeCell ref="C25:E25"/>
    <mergeCell ref="C26:E26"/>
    <mergeCell ref="C27:E27"/>
    <mergeCell ref="C28:E28"/>
    <mergeCell ref="B38:F38"/>
    <mergeCell ref="B39:F39"/>
    <mergeCell ref="B40:F40"/>
    <mergeCell ref="B41:F41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1" t="s">
        <v>163</v>
      </c>
    </row>
    <row r="3" customFormat="false" ht="49.25" hidden="false" customHeight="false" outlineLevel="0" collapsed="false">
      <c r="A3" s="13" t="s">
        <v>156</v>
      </c>
      <c r="B3" s="13" t="s">
        <v>164</v>
      </c>
      <c r="C3" s="13" t="s">
        <v>165</v>
      </c>
      <c r="D3" s="13" t="s">
        <v>166</v>
      </c>
      <c r="E3" s="13" t="s">
        <v>167</v>
      </c>
      <c r="F3" s="13" t="s">
        <v>168</v>
      </c>
      <c r="G3" s="13" t="s">
        <v>169</v>
      </c>
      <c r="H3" s="13" t="s">
        <v>170</v>
      </c>
    </row>
    <row r="4" customFormat="false" ht="25.35" hidden="false" customHeight="false" outlineLevel="0" collapsed="false">
      <c r="A4" s="14" t="n">
        <v>1</v>
      </c>
      <c r="B4" s="14" t="s">
        <v>171</v>
      </c>
      <c r="C4" s="14" t="s">
        <v>172</v>
      </c>
      <c r="D4" s="14"/>
      <c r="E4" s="14" t="s">
        <v>3</v>
      </c>
      <c r="F4" s="14" t="s">
        <v>52</v>
      </c>
      <c r="G4" s="14" t="s">
        <v>45</v>
      </c>
      <c r="H4" s="14" t="s">
        <v>173</v>
      </c>
    </row>
  </sheetData>
  <autoFilter ref="A3:H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2026-10-06T05:30:32Z</dcterms:created>
  <dc:creator>openpyxl</dc:creator>
  <dc:description/>
  <dc:language>en-US</dc:language>
  <cp:lastModifiedBy/>
  <dcterms:modified xsi:type="dcterms:W3CDTF">2026-10-06T05:30:32Z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