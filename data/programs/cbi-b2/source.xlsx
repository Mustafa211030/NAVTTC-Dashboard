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 Sheet" sheetId="1" state="visible" r:id="rId3"/>
    <sheet name="Scoring Criteria" sheetId="2" state="visible" r:id="rId4"/>
    <sheet name="Change Log" sheetId="3" state="visible" r:id="rId5"/>
  </sheets>
  <definedNames>
    <definedName function="false" hidden="true" localSheetId="2" name="_xlnm._FilterDatabase" vbProcedure="false">'Change Log'!$A$3:$H$44</definedName>
    <definedName function="false" hidden="true" localSheetId="0" name="_xlnm._FilterDatabase" vbProcedure="false">'Combined Sheet'!$A$1:$AL$63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<sst xmlns="http://schemas.openxmlformats.org/spreadsheetml/2006/main" count="716" uniqueCount="226">
  <si>
    <t xml:space="preserve">Sr No</t>
  </si>
  <si>
    <t xml:space="preserve">Package</t>
  </si>
  <si>
    <t xml:space="preserve">Program Name</t>
  </si>
  <si>
    <t xml:space="preserve">Region Name</t>
  </si>
  <si>
    <t xml:space="preserve">District Name</t>
  </si>
  <si>
    <t xml:space="preserve">Institute ID</t>
  </si>
  <si>
    <t xml:space="preserve">Institute Name</t>
  </si>
  <si>
    <t xml:space="preserve">TradeName</t>
  </si>
  <si>
    <t xml:space="preserve">Batches</t>
  </si>
  <si>
    <t xml:space="preserve">Institute Trade Code</t>
  </si>
  <si>
    <t xml:space="preserve">Trade Code</t>
  </si>
  <si>
    <t xml:space="preserve">Approved 
Capacity</t>
  </si>
  <si>
    <t xml:space="preserve">Enrolled 
Students</t>
  </si>
  <si>
    <t xml:space="preserve">Dropped 
Out</t>
  </si>
  <si>
    <t xml:space="preserve">Present</t>
  </si>
  <si>
    <t xml:space="preserve">Absent</t>
  </si>
  <si>
    <t xml:space="preserve">CNIC 
Verified</t>
  </si>
  <si>
    <t xml:space="preserve">Attendance %
</t>
  </si>
  <si>
    <t xml:space="preserve">All PMS Students Registered in the
 Biometric Machine (10), Not Registered (0)</t>
  </si>
  <si>
    <t xml:space="preserve">Attendance Score
80-100%(50),50-79%(30),
01-49%(10), 0%(0)</t>
  </si>
  <si>
    <t xml:space="preserve">Trainer Registered on PMS Portal(5)
 Not Registered (0)</t>
  </si>
  <si>
    <t xml:space="preserve">Trainer Relevant Degree(5),
 Irrelevant (0)</t>
  </si>
  <si>
    <t xml:space="preserve">Trainer Relevant 
Experience (5),
 Irrelevant (0)</t>
  </si>
  <si>
    <t xml:space="preserve">Tools &amp; Equipments Fully Available (2.5), Partially Available (1.5), Not Available (0), Not Required (2.5)</t>
  </si>
  <si>
    <t xml:space="preserve">Consumable Items Fully Available (2.5), Partially Available (1.5), Not Available (0), Not Required (2.5)</t>
  </si>
  <si>
    <t xml:space="preserve">TLMs
Full Provision (2.5), Partial Provision (1), Not Provided(0)</t>
  </si>
  <si>
    <t xml:space="preserve">Assessment,
Fully Conducted(2.5), Partially Conducted (1), Not Conducted (0)</t>
  </si>
  <si>
    <t xml:space="preserve">Biometric 
Installed &amp; Functional (2.5),
Not Installed (0)</t>
  </si>
  <si>
    <t xml:space="preserve">CCTV
Installed &amp; Functional(2.5),
Not Installed (0)</t>
  </si>
  <si>
    <t xml:space="preserve">Industrial Linkages
MOU Signed with Relevant Industry (2.5), No (0)</t>
  </si>
  <si>
    <t xml:space="preserve">Job Fair /
Engagement Plan(2.5), No(0)</t>
  </si>
  <si>
    <t xml:space="preserve">OJT (2.5), No (0)</t>
  </si>
  <si>
    <t xml:space="preserve">Students Feedback (0-2.5)
Excellent (2.5), Good(1.5), Average (1), Poor(0)</t>
  </si>
  <si>
    <t xml:space="preserve">Trade Wise Score</t>
  </si>
  <si>
    <t xml:space="preserve">Total Score</t>
  </si>
  <si>
    <t xml:space="preserve">Grading</t>
  </si>
  <si>
    <t xml:space="preserve">Remarks</t>
  </si>
  <si>
    <t xml:space="preserve">Grade Override</t>
  </si>
  <si>
    <t xml:space="preserve">Package-03</t>
  </si>
  <si>
    <t xml:space="preserve">Cluster Based Initiative (CBI) Batch-II</t>
  </si>
  <si>
    <t xml:space="preserve">PUNJAB</t>
  </si>
  <si>
    <t xml:space="preserve">Rahimyar Khan</t>
  </si>
  <si>
    <t xml:space="preserve">H.H Shaikh Khalifa Vocational Training Institute</t>
  </si>
  <si>
    <t xml:space="preserve">HVACR</t>
  </si>
  <si>
    <t xml:space="preserve">Bahawalpur</t>
  </si>
  <si>
    <t xml:space="preserve">Vocational Institute Ahmadpur East</t>
  </si>
  <si>
    <t xml:space="preserve">Building Electrician Solar PV System Technician</t>
  </si>
  <si>
    <t xml:space="preserve">Bahawalnagar</t>
  </si>
  <si>
    <t xml:space="preserve">Vocational Training Institute Bahawalnagar</t>
  </si>
  <si>
    <t xml:space="preserve">Industrial stitching machine operator</t>
  </si>
  <si>
    <t xml:space="preserve">Multan</t>
  </si>
  <si>
    <t xml:space="preserve">Vocational Training Institute Female Multan</t>
  </si>
  <si>
    <t xml:space="preserve">Layyah</t>
  </si>
  <si>
    <t xml:space="preserve">Vocational Training Institute Layyah</t>
  </si>
  <si>
    <t xml:space="preserve">Muzaffargarh</t>
  </si>
  <si>
    <t xml:space="preserve">VTI Muzaffargarh Khushedubad Girls School</t>
  </si>
  <si>
    <t xml:space="preserve">Package-02</t>
  </si>
  <si>
    <t xml:space="preserve">GB</t>
  </si>
  <si>
    <t xml:space="preserve">Astore</t>
  </si>
  <si>
    <t xml:space="preserve">GVTTC Eidgah Astore</t>
  </si>
  <si>
    <t xml:space="preserve">Beautician</t>
  </si>
  <si>
    <t xml:space="preserve">UPS &amp; Solar PV Technician</t>
  </si>
  <si>
    <t xml:space="preserve">Auto CAD</t>
  </si>
  <si>
    <t xml:space="preserve">ECD / ECCE</t>
  </si>
  <si>
    <t xml:space="preserve">Plumbing</t>
  </si>
  <si>
    <t xml:space="preserve">Diamer</t>
  </si>
  <si>
    <t xml:space="preserve">GVTTC Diamer</t>
  </si>
  <si>
    <t xml:space="preserve">General Electrician</t>
  </si>
  <si>
    <t xml:space="preserve">Professional Chef</t>
  </si>
  <si>
    <t xml:space="preserve">Dress Designing</t>
  </si>
  <si>
    <t xml:space="preserve">Ghizer</t>
  </si>
  <si>
    <t xml:space="preserve">GVTTC Gakuch Ghizer</t>
  </si>
  <si>
    <t xml:space="preserve">Tunnel Farming</t>
  </si>
  <si>
    <t xml:space="preserve">Health Care Worker</t>
  </si>
  <si>
    <t xml:space="preserve">Gilgit</t>
  </si>
  <si>
    <t xml:space="preserve">GVTTC Gilgit Near Agha khan Hospital</t>
  </si>
  <si>
    <t xml:space="preserve">Travel and Tourism</t>
  </si>
  <si>
    <t xml:space="preserve">General Electrician - II</t>
  </si>
  <si>
    <t xml:space="preserve">Ghanche</t>
  </si>
  <si>
    <t xml:space="preserve">GVTTC Khaplu</t>
  </si>
  <si>
    <t xml:space="preserve">Professional Cook</t>
  </si>
  <si>
    <t xml:space="preserve">Nagar</t>
  </si>
  <si>
    <t xml:space="preserve">GVTTC Nager (sikandarabad)</t>
  </si>
  <si>
    <t xml:space="preserve">Tunnel farming</t>
  </si>
  <si>
    <t xml:space="preserve">Skardu</t>
  </si>
  <si>
    <t xml:space="preserve">GVTTC Skardu</t>
  </si>
  <si>
    <t xml:space="preserve">Advance Survey (Civil Quantity)</t>
  </si>
  <si>
    <t xml:space="preserve">AJK</t>
  </si>
  <si>
    <t xml:space="preserve">Mirpur</t>
  </si>
  <si>
    <t xml:space="preserve">A.K furniture’s</t>
  </si>
  <si>
    <t xml:space="preserve">Wood working</t>
  </si>
  <si>
    <t xml:space="preserve">Azad mega mart</t>
  </si>
  <si>
    <t xml:space="preserve">Customer service and sale</t>
  </si>
  <si>
    <t xml:space="preserve">Muzaffarabad</t>
  </si>
  <si>
    <t xml:space="preserve">Desi Cuisine</t>
  </si>
  <si>
    <t xml:space="preserve">Kashmir traditional food</t>
  </si>
  <si>
    <t xml:space="preserve">Itehad welfare</t>
  </si>
  <si>
    <t xml:space="preserve">Beauty, Therapy, Hair Styling and Skin Care</t>
  </si>
  <si>
    <t xml:space="preserve">Mammta collection</t>
  </si>
  <si>
    <t xml:space="preserve">Mir continental</t>
  </si>
  <si>
    <t xml:space="preserve">Bakery and pastry making</t>
  </si>
  <si>
    <t xml:space="preserve">Muzaffarabad Institute &amp;Technical Skill</t>
  </si>
  <si>
    <t xml:space="preserve">Sakeena IT and Tevt sector institute</t>
  </si>
  <si>
    <t xml:space="preserve">Honey bee farm manager</t>
  </si>
  <si>
    <t xml:space="preserve">Carpet Weaving</t>
  </si>
  <si>
    <t xml:space="preserve">Skill Institute of Technology</t>
  </si>
  <si>
    <t xml:space="preserve">Rawalakot</t>
  </si>
  <si>
    <t xml:space="preserve">Skill development center</t>
  </si>
  <si>
    <t xml:space="preserve">Material and process art work(conventional)</t>
  </si>
  <si>
    <t xml:space="preserve">Toyota Azad motors</t>
  </si>
  <si>
    <t xml:space="preserve">Auto Electrician</t>
  </si>
  <si>
    <t xml:space="preserve">Bagh</t>
  </si>
  <si>
    <t xml:space="preserve">Zouq-e-Kashmir (bagh)</t>
  </si>
  <si>
    <t xml:space="preserve">Zouq-e-kashmir chaila bandi</t>
  </si>
  <si>
    <t xml:space="preserve">Hand embroidery</t>
  </si>
  <si>
    <t xml:space="preserve">NAVTTC Cluster Based Initiative (CBI) Batch-II - 26 Institutes - Scoring Criteria</t>
  </si>
  <si>
    <t xml:space="preserve">Layout follows the NAVTTC PMYSDP template (Combined Sheet). Blue cells are monitor inputs; black cells are formulas. Every criterion is a separate column; the 15 maxima total 100.</t>
  </si>
  <si>
    <t xml:space="preserve">Column</t>
  </si>
  <si>
    <t xml:space="preserve">Criterion</t>
  </si>
  <si>
    <t xml:space="preserve">Scoring rule</t>
  </si>
  <si>
    <t xml:space="preserve">Max</t>
  </si>
  <si>
    <t xml:space="preserve">Type</t>
  </si>
  <si>
    <t xml:space="preserve">Taken from (source file)</t>
  </si>
  <si>
    <t xml:space="preserve">S</t>
  </si>
  <si>
    <t xml:space="preserve">All PMS Students Registered in the</t>
  </si>
  <si>
    <t xml:space="preserve">All PMS Students Registered in the  Biometric Machine (10), Not Registered (0)</t>
  </si>
  <si>
    <t xml:space="preserve">Input (list)</t>
  </si>
  <si>
    <t xml:space="preserve">N</t>
  </si>
  <si>
    <t xml:space="preserve">T</t>
  </si>
  <si>
    <t xml:space="preserve">Attendance Score</t>
  </si>
  <si>
    <t xml:space="preserve">Formula:  =IF(R&gt;=80%,50,IF(R&gt;=50%,30,IF(R&gt;=1%,10,0)))  — computed from Attendance % (col R)</t>
  </si>
  <si>
    <t xml:space="preserve">Formula</t>
  </si>
  <si>
    <t xml:space="preserve">O (already a formula in source)</t>
  </si>
  <si>
    <t xml:space="preserve">U</t>
  </si>
  <si>
    <t xml:space="preserve">Trainer Registered on PMS Portal</t>
  </si>
  <si>
    <t xml:space="preserve">Trainer Registered on PMS Portal(5)  Not Registered (0)</t>
  </si>
  <si>
    <t xml:space="preserve">P</t>
  </si>
  <si>
    <t xml:space="preserve">V</t>
  </si>
  <si>
    <t xml:space="preserve">Trainer Relevant Degree</t>
  </si>
  <si>
    <t xml:space="preserve">Trainer Relevant Degree(5),  Irrelevant (0)</t>
  </si>
  <si>
    <t xml:space="preserve">Q</t>
  </si>
  <si>
    <t xml:space="preserve">W</t>
  </si>
  <si>
    <t xml:space="preserve">Trainer Relevant</t>
  </si>
  <si>
    <t xml:space="preserve">Trainer Relevant  Experience (5),  Irrelevant (0)</t>
  </si>
  <si>
    <t xml:space="preserve">R</t>
  </si>
  <si>
    <t xml:space="preserve">X</t>
  </si>
  <si>
    <t xml:space="preserve">Tools &amp; Equipments Fully Available</t>
  </si>
  <si>
    <t xml:space="preserve">Y</t>
  </si>
  <si>
    <t xml:space="preserve">Consumable Items Fully Available</t>
  </si>
  <si>
    <t xml:space="preserve">Z</t>
  </si>
  <si>
    <t xml:space="preserve">TLMs</t>
  </si>
  <si>
    <t xml:space="preserve">TLMs Full Provision (2.5), Partial Provision (1), Not Provided(0)</t>
  </si>
  <si>
    <t xml:space="preserve">AA</t>
  </si>
  <si>
    <t xml:space="preserve">Assessment,</t>
  </si>
  <si>
    <t xml:space="preserve">Assessment, Fully Conducted(2.5), Partially Conducted (1), Not Conducted (0)</t>
  </si>
  <si>
    <t xml:space="preserve">AB</t>
  </si>
  <si>
    <t xml:space="preserve">Biometric</t>
  </si>
  <si>
    <t xml:space="preserve">Biometric  Installed &amp; Functional (2.5), Not Installed (0)</t>
  </si>
  <si>
    <t xml:space="preserve">AC</t>
  </si>
  <si>
    <t xml:space="preserve">CCTV</t>
  </si>
  <si>
    <t xml:space="preserve">CCTV Installed &amp; Functional(2.5), Not Installed (0)</t>
  </si>
  <si>
    <t xml:space="preserve">AD</t>
  </si>
  <si>
    <t xml:space="preserve">Industrial Linkages</t>
  </si>
  <si>
    <t xml:space="preserve">Industrial Linkages MOU Signed with Relevant Industry (2.5), No (0)</t>
  </si>
  <si>
    <t xml:space="preserve">AE</t>
  </si>
  <si>
    <t xml:space="preserve">Job Fair /</t>
  </si>
  <si>
    <t xml:space="preserve">Job Fair / Engagement Plan(2.5), No(0)</t>
  </si>
  <si>
    <t xml:space="preserve">AF</t>
  </si>
  <si>
    <t xml:space="preserve">OJT</t>
  </si>
  <si>
    <t xml:space="preserve">AG</t>
  </si>
  <si>
    <t xml:space="preserve">Students Feedback</t>
  </si>
  <si>
    <t xml:space="preserve">Students Feedback (0-2.5) Excellent (2.5), Good(1.5), Average (1), Poor(0)</t>
  </si>
  <si>
    <t xml:space="preserve">Input (0 - 2.5)</t>
  </si>
  <si>
    <t xml:space="preserve">TOTAL</t>
  </si>
  <si>
    <t xml:space="preserve">Result field</t>
  </si>
  <si>
    <t xml:space="preserve">Formula (row 2 shown)</t>
  </si>
  <si>
    <t xml:space="preserve">Notes</t>
  </si>
  <si>
    <t xml:space="preserve">Attendance %</t>
  </si>
  <si>
    <t xml:space="preserve">Formula:  =IF(N(M2)=0,0,Q2/M2)</t>
  </si>
  <si>
    <t xml:space="preserve">CNIC Verified ÷ Enrolled Students (this program's rule, as in the source sheet M = L/H).</t>
  </si>
  <si>
    <t xml:space="preserve">AH</t>
  </si>
  <si>
    <t xml:space="preserve">Formula:  =IF(COUNT(S2:AG2)=0,"",SUM(S2:AG2))</t>
  </si>
  <si>
    <t xml:space="preserve">Sum of the 15 criteria for that trade / batch row.</t>
  </si>
  <si>
    <t xml:space="preserve">AI</t>
  </si>
  <si>
    <t xml:space="preserve">Formula:  =IF(COUNTIF($G$2:G2,G2)=1,IFERROR(AVERAGEIF($G:$G,G2,$AH:$AH),""),"")</t>
  </si>
  <si>
    <t xml:space="preserve">Average of the institute's Trade Wise Scores. The source has NO Institute ID, so the match is on Institute Name (col G); names are unique in this file. If IDs are added in col F later, change G to F in this formula.</t>
  </si>
  <si>
    <t xml:space="preserve">AJ</t>
  </si>
  <si>
    <t xml:space="preserve">Formula:  =IF(AL2&lt;&gt;"",AL2,IF(AI2="","",IF(AI2&gt;=80,"Excellent",IF(AI2&gt;=70,"Very Good",IF(AI2&gt;=60,"Good",IF(AI2&gt;=50,"Average","Poor"))))))</t>
  </si>
  <si>
    <t xml:space="preserve">Grade bands from the template. A value typed in Grade Override (AL) replaces the formula grade.</t>
  </si>
  <si>
    <t xml:space="preserve">AK</t>
  </si>
  <si>
    <t xml:space="preserve">Input</t>
  </si>
  <si>
    <t xml:space="preserve">Monitor remarks (moved out of the grade cell so the grade stays a clean category).</t>
  </si>
  <si>
    <t xml:space="preserve">AL</t>
  </si>
  <si>
    <t xml:space="preserve">Only for institutes that are Fake / Non-functional / Closed. Leave blank otherwise.</t>
  </si>
  <si>
    <t xml:space="preserve">Grade</t>
  </si>
  <si>
    <t xml:space="preserve">Total Score range</t>
  </si>
  <si>
    <t xml:space="preserve">Excellent</t>
  </si>
  <si>
    <t xml:space="preserve">80 - 100</t>
  </si>
  <si>
    <t xml:space="preserve">Very Good</t>
  </si>
  <si>
    <t xml:space="preserve">70 - 79.99</t>
  </si>
  <si>
    <t xml:space="preserve">Good</t>
  </si>
  <si>
    <t xml:space="preserve">60 - 69.99</t>
  </si>
  <si>
    <t xml:space="preserve">Average</t>
  </si>
  <si>
    <t xml:space="preserve">50 - 59.99</t>
  </si>
  <si>
    <t xml:space="preserve">Poor</t>
  </si>
  <si>
    <t xml:space="preserve">Below 50</t>
  </si>
  <si>
    <t xml:space="preserve">#</t>
  </si>
  <si>
    <t xml:space="preserve">Program-specific notes / exceptions</t>
  </si>
  <si>
    <t xml:space="preserve">Source sheet 'Scoring Sheet - Clusters' is the master; Sheet6-Sheet10 are pivot / summary copies of it and are not needed in the template.</t>
  </si>
  <si>
    <t xml:space="preserve">The source has no Institute ID, Batch, Institute Trade Code or Trade Code; these columns are blank. Total Score is therefore matched on Institute Name.</t>
  </si>
  <si>
    <t xml:space="preserve">Province -&gt; Region Name (PUNJAB, GB, AJK). District spellings cleaned: 'bahawalpur' -&gt; Bahawalpur, 'Rawlakot' -&gt; Rawalakot. Extra spaces / trailing commas removed from institute names.</t>
  </si>
  <si>
    <t xml:space="preserve">Many TLM and Assessment cells were recorded as 1.5, which is not a level for those criteria (Full 2.5 / Partial 1 / None 0). They are scored as Partial = 1. Every case is listed in the Change Log.</t>
  </si>
  <si>
    <t xml:space="preserve">Attendance Score was already a formula in the source and uses the same bands; it is kept as a formula.</t>
  </si>
  <si>
    <t xml:space="preserve">Change Log - every value that differs from the source file, and why</t>
  </si>
  <si>
    <t xml:space="preserve">Combined Sheet row</t>
  </si>
  <si>
    <t xml:space="preserve">Institute</t>
  </si>
  <si>
    <t xml:space="preserve">Trade</t>
  </si>
  <si>
    <t xml:space="preserve">Field</t>
  </si>
  <si>
    <t xml:space="preserve">Source value</t>
  </si>
  <si>
    <t xml:space="preserve">New value</t>
  </si>
  <si>
    <t xml:space="preserve">Reason</t>
  </si>
  <si>
    <t xml:space="preserve">Criterion allows Full 2.5 / Partial 1 / None 0 only; 1.5 recorded as 'Partial' -&gt; 1</t>
  </si>
  <si>
    <t xml:space="preserve">Assessment</t>
  </si>
  <si>
    <t xml:space="preserve">(institute)</t>
  </si>
  <si>
    <t xml:space="preserve">Result of the corrections above</t>
  </si>
  <si>
    <t xml:space="preserve">Grade now follows the score bands (80/70/60/50)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</si>
</sst>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Gill Sans MT"/>
      <family val="0"/>
      <charset val="1"/>
    </font>
    <font>
      <sz val="11"/>
      <name val="Gill Sans MT"/>
      <family val="0"/>
      <charset val="1"/>
    </font>
    <font>
      <sz val="11"/>
      <color rgb="FF0000FF"/>
      <name val="Gill Sans MT"/>
      <family val="0"/>
      <charset val="1"/>
    </font>
    <font>
      <b val="true"/>
      <sz val="11"/>
      <name val="Gill Sans MT"/>
      <family val="0"/>
      <charset val="1"/>
    </font>
    <font>
      <b val="true"/>
      <sz val="14"/>
      <color rgb="FF002060"/>
      <name val="Gill Sans MT"/>
      <family val="0"/>
      <charset val="1"/>
    </font>
    <font>
      <i val="true"/>
      <sz val="10"/>
      <name val="Gill Sans MT"/>
      <family val="0"/>
      <charset val="1"/>
    </font>
    <font>
      <b val="true"/>
      <sz val="10"/>
      <color rgb="FFFFFFFF"/>
      <name val="Gill Sans MT"/>
      <family val="0"/>
      <charset val="1"/>
    </font>
    <font>
      <sz val="10"/>
      <name val="Gill Sans MT"/>
      <family val="0"/>
      <charset val="1"/>
    </font>
    <font>
      <b val="true"/>
      <sz val="10"/>
      <name val="Gill Sans MT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002060"/>
        <bgColor rgb="FF000080"/>
      </patternFill>
    </fill>
    <fill>
      <patternFill patternType="solid">
        <fgColor rgb="FFE7E6E6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4454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I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45"/>
    <col collapsed="false" customWidth="true" hidden="false" outlineLevel="0" max="8" min="8" style="0" width="38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7" min="14" style="0" width="9"/>
    <col collapsed="false" customWidth="true" hidden="false" outlineLevel="0" max="18" min="18" style="0" width="11"/>
    <col collapsed="false" customWidth="true" hidden="false" outlineLevel="0" max="33" min="19" style="0" width="18"/>
    <col collapsed="false" customWidth="true" hidden="false" outlineLevel="0" max="35" min="34" style="0" width="11"/>
    <col collapsed="false" customWidth="true" hidden="false" outlineLevel="0" max="36" min="36" style="0" width="13"/>
    <col collapsed="false" customWidth="true" hidden="false" outlineLevel="0" max="37" min="37" style="0" width="32"/>
    <col collapsed="false" customWidth="true" hidden="false" outlineLevel="0" max="38" min="38" style="0" width="12"/>
  </cols>
  <sheetData>
    <row r="1" customFormat="false" ht="7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44" hidden="false" customHeight="false" outlineLevel="0" collapsed="false">
      <c r="A2" s="3" t="n">
        <v>1</v>
      </c>
      <c r="B2" s="3" t="s">
        <v>38</v>
      </c>
      <c r="C2" s="3" t="s">
        <v>39</v>
      </c>
      <c r="D2" s="3" t="s">
        <v>40</v>
      </c>
      <c r="E2" s="3" t="s">
        <v>41</v>
      </c>
      <c r="F2" s="3"/>
      <c r="G2" s="4" t="s">
        <v>42</v>
      </c>
      <c r="H2" s="4" t="s">
        <v>43</v>
      </c>
      <c r="I2" s="3"/>
      <c r="J2" s="3"/>
      <c r="K2" s="3"/>
      <c r="L2" s="3" t="n">
        <v>25</v>
      </c>
      <c r="M2" s="3" t="n">
        <v>25</v>
      </c>
      <c r="N2" s="3" t="n">
        <v>0</v>
      </c>
      <c r="O2" s="3" t="n">
        <v>18</v>
      </c>
      <c r="P2" s="3" t="n">
        <v>7</v>
      </c>
      <c r="Q2" s="3" t="n">
        <v>18</v>
      </c>
      <c r="R2" s="5" t="n">
        <f aca="false">IF(N(M2)=0,0,Q2/M2)</f>
        <v>0.72</v>
      </c>
      <c r="S2" s="6" t="n">
        <v>0</v>
      </c>
      <c r="T2" s="3" t="n">
        <f aca="false">IF(R2="","",IF(R2&gt;=0.8,50,IF(R2&gt;=0.5,30,IF(R2&gt;=0.01,10,0))))</f>
        <v>30</v>
      </c>
      <c r="U2" s="6" t="n">
        <v>5</v>
      </c>
      <c r="V2" s="6" t="n">
        <v>5</v>
      </c>
      <c r="W2" s="6" t="n">
        <v>5</v>
      </c>
      <c r="X2" s="6" t="n">
        <v>2.5</v>
      </c>
      <c r="Y2" s="6" t="n">
        <v>2.5</v>
      </c>
      <c r="Z2" s="6" t="n">
        <v>2.5</v>
      </c>
      <c r="AA2" s="6" t="n">
        <v>2.5</v>
      </c>
      <c r="AB2" s="6" t="n">
        <v>0</v>
      </c>
      <c r="AC2" s="6" t="n">
        <v>0</v>
      </c>
      <c r="AD2" s="6" t="n">
        <v>2.5</v>
      </c>
      <c r="AE2" s="6" t="n">
        <v>0</v>
      </c>
      <c r="AF2" s="6" t="n">
        <v>2.5</v>
      </c>
      <c r="AG2" s="7" t="n">
        <v>2.5</v>
      </c>
      <c r="AH2" s="8" t="n">
        <f aca="false">IF(COUNT(S2:AG2)=0,"",SUM(S2:AG2))</f>
        <v>62.5</v>
      </c>
      <c r="AI2" s="8" t="n">
        <f aca="false">IF(COUNTIF($G$2:G2,G2)=1,IFERROR(AVERAGEIF($G:$G,G2,$AH:$AH),""),"")</f>
        <v>62.5</v>
      </c>
      <c r="AJ2" s="9" t="str">
        <f aca="false">IF(AL2&lt;&gt;"",AL2,IF(AI2="","",IF(AI2&gt;=80,"Excellent",IF(AI2&gt;=70,"Very Good",IF(AI2&gt;=60,"Good",IF(AI2&gt;=50,"Average","Poor"))))))</f>
        <v>Good</v>
      </c>
      <c r="AK2" s="4"/>
      <c r="AL2" s="3"/>
    </row>
    <row r="3" customFormat="false" ht="44" hidden="false" customHeight="false" outlineLevel="0" collapsed="false">
      <c r="A3" s="3" t="n">
        <v>2</v>
      </c>
      <c r="B3" s="3" t="s">
        <v>38</v>
      </c>
      <c r="C3" s="3" t="s">
        <v>39</v>
      </c>
      <c r="D3" s="3" t="s">
        <v>40</v>
      </c>
      <c r="E3" s="3" t="s">
        <v>44</v>
      </c>
      <c r="F3" s="3"/>
      <c r="G3" s="4" t="s">
        <v>45</v>
      </c>
      <c r="H3" s="4" t="s">
        <v>46</v>
      </c>
      <c r="I3" s="3"/>
      <c r="J3" s="3"/>
      <c r="K3" s="3"/>
      <c r="L3" s="3" t="n">
        <v>30</v>
      </c>
      <c r="M3" s="3" t="n">
        <v>30</v>
      </c>
      <c r="N3" s="3" t="n">
        <v>0</v>
      </c>
      <c r="O3" s="3" t="n">
        <v>24</v>
      </c>
      <c r="P3" s="3" t="n">
        <v>6</v>
      </c>
      <c r="Q3" s="3" t="n">
        <v>24</v>
      </c>
      <c r="R3" s="5" t="n">
        <f aca="false">IF(N(M3)=0,0,Q3/M3)</f>
        <v>0.8</v>
      </c>
      <c r="S3" s="6" t="n">
        <v>0</v>
      </c>
      <c r="T3" s="3" t="n">
        <f aca="false">IF(R3="","",IF(R3&gt;=0.8,50,IF(R3&gt;=0.5,30,IF(R3&gt;=0.01,10,0))))</f>
        <v>50</v>
      </c>
      <c r="U3" s="6" t="n">
        <v>5</v>
      </c>
      <c r="V3" s="6" t="n">
        <v>5</v>
      </c>
      <c r="W3" s="6" t="n">
        <v>5</v>
      </c>
      <c r="X3" s="6" t="n">
        <v>2.5</v>
      </c>
      <c r="Y3" s="6" t="n">
        <v>2.5</v>
      </c>
      <c r="Z3" s="6" t="n">
        <v>2.5</v>
      </c>
      <c r="AA3" s="6" t="n">
        <v>1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7" t="n">
        <v>2.5</v>
      </c>
      <c r="AH3" s="8" t="n">
        <f aca="false">IF(COUNT(S3:AG3)=0,"",SUM(S3:AG3))</f>
        <v>76</v>
      </c>
      <c r="AI3" s="8" t="n">
        <f aca="false">IF(COUNTIF($G$2:G3,G3)=1,IFERROR(AVERAGEIF($G:$G,G3,$AH:$AH),""),"")</f>
        <v>76</v>
      </c>
      <c r="AJ3" s="9" t="str">
        <f aca="false">IF(AL3&lt;&gt;"",AL3,IF(AI3="","",IF(AI3&gt;=80,"Excellent",IF(AI3&gt;=70,"Very Good",IF(AI3&gt;=60,"Good",IF(AI3&gt;=50,"Average","Poor"))))))</f>
        <v>Very Good</v>
      </c>
      <c r="AK3" s="4"/>
      <c r="AL3" s="3"/>
    </row>
    <row r="4" customFormat="false" ht="44" hidden="false" customHeight="false" outlineLevel="0" collapsed="false">
      <c r="A4" s="3" t="n">
        <v>3</v>
      </c>
      <c r="B4" s="3" t="s">
        <v>38</v>
      </c>
      <c r="C4" s="3" t="s">
        <v>39</v>
      </c>
      <c r="D4" s="3" t="s">
        <v>40</v>
      </c>
      <c r="E4" s="3" t="s">
        <v>47</v>
      </c>
      <c r="F4" s="3"/>
      <c r="G4" s="4" t="s">
        <v>48</v>
      </c>
      <c r="H4" s="4" t="s">
        <v>49</v>
      </c>
      <c r="I4" s="3"/>
      <c r="J4" s="3"/>
      <c r="K4" s="3"/>
      <c r="L4" s="3" t="n">
        <v>25</v>
      </c>
      <c r="M4" s="3" t="n">
        <v>21</v>
      </c>
      <c r="N4" s="3" t="n">
        <v>4</v>
      </c>
      <c r="O4" s="3" t="n">
        <v>15</v>
      </c>
      <c r="P4" s="3" t="n">
        <v>6</v>
      </c>
      <c r="Q4" s="3" t="n">
        <v>15</v>
      </c>
      <c r="R4" s="5" t="n">
        <f aca="false">IF(N(M4)=0,0,Q4/M4)</f>
        <v>0.714285714285714</v>
      </c>
      <c r="S4" s="6" t="n">
        <v>0</v>
      </c>
      <c r="T4" s="3" t="n">
        <f aca="false">IF(R4="","",IF(R4&gt;=0.8,50,IF(R4&gt;=0.5,30,IF(R4&gt;=0.01,10,0))))</f>
        <v>30</v>
      </c>
      <c r="U4" s="6" t="n">
        <v>5</v>
      </c>
      <c r="V4" s="6" t="n">
        <v>0</v>
      </c>
      <c r="W4" s="6" t="n">
        <v>5</v>
      </c>
      <c r="X4" s="6" t="n">
        <v>2.5</v>
      </c>
      <c r="Y4" s="6" t="n">
        <v>2.5</v>
      </c>
      <c r="Z4" s="6" t="n">
        <v>0</v>
      </c>
      <c r="AA4" s="6" t="n">
        <v>2.5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G4" s="7" t="n">
        <v>2.5</v>
      </c>
      <c r="AH4" s="8" t="n">
        <f aca="false">IF(COUNT(S4:AG4)=0,"",SUM(S4:AG4))</f>
        <v>50</v>
      </c>
      <c r="AI4" s="8" t="n">
        <f aca="false">IF(COUNTIF($G$2:G4,G4)=1,IFERROR(AVERAGEIF($G:$G,G4,$AH:$AH),""),"")</f>
        <v>50</v>
      </c>
      <c r="AJ4" s="9" t="str">
        <f aca="false">IF(AL4&lt;&gt;"",AL4,IF(AI4="","",IF(AI4&gt;=80,"Excellent",IF(AI4&gt;=70,"Very Good",IF(AI4&gt;=60,"Good",IF(AI4&gt;=50,"Average","Poor"))))))</f>
        <v>Average</v>
      </c>
      <c r="AK4" s="4"/>
      <c r="AL4" s="3"/>
    </row>
    <row r="5" customFormat="false" ht="44" hidden="false" customHeight="false" outlineLevel="0" collapsed="false">
      <c r="A5" s="3" t="n">
        <v>4</v>
      </c>
      <c r="B5" s="3" t="s">
        <v>38</v>
      </c>
      <c r="C5" s="3" t="s">
        <v>39</v>
      </c>
      <c r="D5" s="3" t="s">
        <v>40</v>
      </c>
      <c r="E5" s="3" t="s">
        <v>50</v>
      </c>
      <c r="F5" s="3"/>
      <c r="G5" s="4" t="s">
        <v>51</v>
      </c>
      <c r="H5" s="4" t="s">
        <v>49</v>
      </c>
      <c r="I5" s="3"/>
      <c r="J5" s="3"/>
      <c r="K5" s="3"/>
      <c r="L5" s="3" t="n">
        <v>30</v>
      </c>
      <c r="M5" s="3" t="n">
        <v>30</v>
      </c>
      <c r="N5" s="3" t="n">
        <v>0</v>
      </c>
      <c r="O5" s="3" t="n">
        <v>13</v>
      </c>
      <c r="P5" s="3" t="n">
        <v>17</v>
      </c>
      <c r="Q5" s="3" t="n">
        <v>13</v>
      </c>
      <c r="R5" s="5" t="n">
        <f aca="false">IF(N(M5)=0,0,Q5/M5)</f>
        <v>0.433333333333333</v>
      </c>
      <c r="S5" s="6" t="n">
        <v>0</v>
      </c>
      <c r="T5" s="3" t="n">
        <f aca="false">IF(R5="","",IF(R5&gt;=0.8,50,IF(R5&gt;=0.5,30,IF(R5&gt;=0.01,10,0))))</f>
        <v>10</v>
      </c>
      <c r="U5" s="6" t="n">
        <v>0</v>
      </c>
      <c r="V5" s="6" t="n">
        <v>0</v>
      </c>
      <c r="W5" s="6" t="n">
        <v>5</v>
      </c>
      <c r="X5" s="6" t="n">
        <v>1.5</v>
      </c>
      <c r="Y5" s="6" t="n">
        <v>2.5</v>
      </c>
      <c r="Z5" s="6" t="n">
        <v>2.5</v>
      </c>
      <c r="AA5" s="6" t="n">
        <v>1</v>
      </c>
      <c r="AB5" s="6" t="n">
        <v>0</v>
      </c>
      <c r="AC5" s="6" t="n">
        <v>0</v>
      </c>
      <c r="AD5" s="6" t="n">
        <v>2.5</v>
      </c>
      <c r="AE5" s="6" t="n">
        <v>0</v>
      </c>
      <c r="AF5" s="6" t="n">
        <v>0</v>
      </c>
      <c r="AG5" s="7" t="n">
        <v>1</v>
      </c>
      <c r="AH5" s="8" t="n">
        <f aca="false">IF(COUNT(S5:AG5)=0,"",SUM(S5:AG5))</f>
        <v>26</v>
      </c>
      <c r="AI5" s="8" t="n">
        <f aca="false">IF(COUNTIF($G$2:G5,G5)=1,IFERROR(AVERAGEIF($G:$G,G5,$AH:$AH),""),"")</f>
        <v>26</v>
      </c>
      <c r="AJ5" s="9" t="str">
        <f aca="false">IF(AL5&lt;&gt;"",AL5,IF(AI5="","",IF(AI5&gt;=80,"Excellent",IF(AI5&gt;=70,"Very Good",IF(AI5&gt;=60,"Good",IF(AI5&gt;=50,"Average","Poor"))))))</f>
        <v>Poor</v>
      </c>
      <c r="AK5" s="4"/>
      <c r="AL5" s="3"/>
    </row>
    <row r="6" customFormat="false" ht="44" hidden="false" customHeight="false" outlineLevel="0" collapsed="false">
      <c r="A6" s="3" t="n">
        <v>5</v>
      </c>
      <c r="B6" s="3" t="s">
        <v>38</v>
      </c>
      <c r="C6" s="3" t="s">
        <v>39</v>
      </c>
      <c r="D6" s="3" t="s">
        <v>40</v>
      </c>
      <c r="E6" s="3" t="s">
        <v>52</v>
      </c>
      <c r="F6" s="3"/>
      <c r="G6" s="4" t="s">
        <v>53</v>
      </c>
      <c r="H6" s="4" t="s">
        <v>46</v>
      </c>
      <c r="I6" s="3"/>
      <c r="J6" s="3"/>
      <c r="K6" s="3"/>
      <c r="L6" s="3" t="n">
        <v>30</v>
      </c>
      <c r="M6" s="3" t="n">
        <v>30</v>
      </c>
      <c r="N6" s="3" t="n">
        <v>0</v>
      </c>
      <c r="O6" s="3" t="n">
        <v>25</v>
      </c>
      <c r="P6" s="3" t="n">
        <v>5</v>
      </c>
      <c r="Q6" s="3" t="n">
        <v>25</v>
      </c>
      <c r="R6" s="5" t="n">
        <f aca="false">IF(N(M6)=0,0,Q6/M6)</f>
        <v>0.833333333333333</v>
      </c>
      <c r="S6" s="6" t="n">
        <v>0</v>
      </c>
      <c r="T6" s="3" t="n">
        <f aca="false">IF(R6="","",IF(R6&gt;=0.8,50,IF(R6&gt;=0.5,30,IF(R6&gt;=0.01,10,0))))</f>
        <v>50</v>
      </c>
      <c r="U6" s="6" t="n">
        <v>0</v>
      </c>
      <c r="V6" s="6" t="n">
        <v>5</v>
      </c>
      <c r="W6" s="6" t="n">
        <v>5</v>
      </c>
      <c r="X6" s="6" t="n">
        <v>1.5</v>
      </c>
      <c r="Y6" s="6" t="n">
        <v>2.5</v>
      </c>
      <c r="Z6" s="6" t="n">
        <v>2.5</v>
      </c>
      <c r="AA6" s="6" t="n">
        <v>1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7" t="n">
        <v>2.5</v>
      </c>
      <c r="AH6" s="8" t="n">
        <f aca="false">IF(COUNT(S6:AG6)=0,"",SUM(S6:AG6))</f>
        <v>70</v>
      </c>
      <c r="AI6" s="8" t="n">
        <f aca="false">IF(COUNTIF($G$2:G6,G6)=1,IFERROR(AVERAGEIF($G:$G,G6,$AH:$AH),""),"")</f>
        <v>70</v>
      </c>
      <c r="AJ6" s="9" t="str">
        <f aca="false">IF(AL6&lt;&gt;"",AL6,IF(AI6="","",IF(AI6&gt;=80,"Excellent",IF(AI6&gt;=70,"Very Good",IF(AI6&gt;=60,"Good",IF(AI6&gt;=50,"Average","Poor"))))))</f>
        <v>Very Good</v>
      </c>
      <c r="AK6" s="4"/>
      <c r="AL6" s="3"/>
    </row>
    <row r="7" customFormat="false" ht="44" hidden="false" customHeight="false" outlineLevel="0" collapsed="false">
      <c r="A7" s="3" t="n">
        <v>6</v>
      </c>
      <c r="B7" s="3" t="s">
        <v>38</v>
      </c>
      <c r="C7" s="3" t="s">
        <v>39</v>
      </c>
      <c r="D7" s="3" t="s">
        <v>40</v>
      </c>
      <c r="E7" s="3" t="s">
        <v>54</v>
      </c>
      <c r="F7" s="3"/>
      <c r="G7" s="4" t="s">
        <v>55</v>
      </c>
      <c r="H7" s="4" t="s">
        <v>46</v>
      </c>
      <c r="I7" s="3"/>
      <c r="J7" s="3"/>
      <c r="K7" s="3"/>
      <c r="L7" s="3" t="n">
        <v>30</v>
      </c>
      <c r="M7" s="3" t="n">
        <v>30</v>
      </c>
      <c r="N7" s="3" t="n">
        <v>3</v>
      </c>
      <c r="O7" s="3" t="n">
        <v>24</v>
      </c>
      <c r="P7" s="3" t="n">
        <v>3</v>
      </c>
      <c r="Q7" s="3" t="n">
        <v>24</v>
      </c>
      <c r="R7" s="5" t="n">
        <f aca="false">IF(N(M7)=0,0,Q7/M7)</f>
        <v>0.8</v>
      </c>
      <c r="S7" s="6" t="n">
        <v>0</v>
      </c>
      <c r="T7" s="3" t="n">
        <f aca="false">IF(R7="","",IF(R7&gt;=0.8,50,IF(R7&gt;=0.5,30,IF(R7&gt;=0.01,10,0))))</f>
        <v>50</v>
      </c>
      <c r="U7" s="6" t="n">
        <v>5</v>
      </c>
      <c r="V7" s="6" t="n">
        <v>5</v>
      </c>
      <c r="W7" s="6" t="n">
        <v>5</v>
      </c>
      <c r="X7" s="6" t="n">
        <v>2.5</v>
      </c>
      <c r="Y7" s="6" t="n">
        <v>2.5</v>
      </c>
      <c r="Z7" s="6" t="n">
        <v>2.5</v>
      </c>
      <c r="AA7" s="6" t="n">
        <v>2.5</v>
      </c>
      <c r="AB7" s="6" t="n">
        <v>0</v>
      </c>
      <c r="AC7" s="6" t="n">
        <v>0</v>
      </c>
      <c r="AD7" s="6" t="n">
        <v>2.5</v>
      </c>
      <c r="AE7" s="6" t="n">
        <v>2.5</v>
      </c>
      <c r="AF7" s="6" t="n">
        <v>0</v>
      </c>
      <c r="AG7" s="7" t="n">
        <v>2.5</v>
      </c>
      <c r="AH7" s="8" t="n">
        <f aca="false">IF(COUNT(S7:AG7)=0,"",SUM(S7:AG7))</f>
        <v>82.5</v>
      </c>
      <c r="AI7" s="8" t="n">
        <f aca="false">IF(COUNTIF($G$2:G7,G7)=1,IFERROR(AVERAGEIF($G:$G,G7,$AH:$AH),""),"")</f>
        <v>82.5</v>
      </c>
      <c r="AJ7" s="9" t="str">
        <f aca="false">IF(AL7&lt;&gt;"",AL7,IF(AI7="","",IF(AI7&gt;=80,"Excellent",IF(AI7&gt;=70,"Very Good",IF(AI7&gt;=60,"Good",IF(AI7&gt;=50,"Average","Poor"))))))</f>
        <v>Excellent</v>
      </c>
      <c r="AK7" s="4"/>
      <c r="AL7" s="3"/>
    </row>
    <row r="8" customFormat="false" ht="44" hidden="false" customHeight="false" outlineLevel="0" collapsed="false">
      <c r="A8" s="3"/>
      <c r="B8" s="3" t="s">
        <v>38</v>
      </c>
      <c r="C8" s="3" t="s">
        <v>39</v>
      </c>
      <c r="D8" s="3" t="s">
        <v>40</v>
      </c>
      <c r="E8" s="3" t="s">
        <v>54</v>
      </c>
      <c r="F8" s="3"/>
      <c r="G8" s="4" t="s">
        <v>55</v>
      </c>
      <c r="H8" s="4" t="s">
        <v>43</v>
      </c>
      <c r="I8" s="3"/>
      <c r="J8" s="3"/>
      <c r="K8" s="3"/>
      <c r="L8" s="3" t="n">
        <v>30</v>
      </c>
      <c r="M8" s="3" t="n">
        <v>30</v>
      </c>
      <c r="N8" s="3" t="n">
        <v>0</v>
      </c>
      <c r="O8" s="3" t="n">
        <v>26</v>
      </c>
      <c r="P8" s="3" t="n">
        <v>4</v>
      </c>
      <c r="Q8" s="3" t="n">
        <v>26</v>
      </c>
      <c r="R8" s="5" t="n">
        <f aca="false">IF(N(M8)=0,0,Q8/M8)</f>
        <v>0.866666666666667</v>
      </c>
      <c r="S8" s="6" t="n">
        <v>0</v>
      </c>
      <c r="T8" s="3" t="n">
        <f aca="false">IF(R8="","",IF(R8&gt;=0.8,50,IF(R8&gt;=0.5,30,IF(R8&gt;=0.01,10,0))))</f>
        <v>50</v>
      </c>
      <c r="U8" s="6" t="n">
        <v>5</v>
      </c>
      <c r="V8" s="6" t="n">
        <v>5</v>
      </c>
      <c r="W8" s="6" t="n">
        <v>5</v>
      </c>
      <c r="X8" s="6" t="n">
        <v>2.5</v>
      </c>
      <c r="Y8" s="6" t="n">
        <v>2.5</v>
      </c>
      <c r="Z8" s="6" t="n">
        <v>2.5</v>
      </c>
      <c r="AA8" s="6" t="n">
        <v>2.5</v>
      </c>
      <c r="AB8" s="6" t="n">
        <v>0</v>
      </c>
      <c r="AC8" s="6" t="n">
        <v>0</v>
      </c>
      <c r="AD8" s="6" t="n">
        <v>2.5</v>
      </c>
      <c r="AE8" s="6" t="n">
        <v>2.5</v>
      </c>
      <c r="AF8" s="6" t="n">
        <v>0</v>
      </c>
      <c r="AG8" s="7" t="n">
        <v>2.5</v>
      </c>
      <c r="AH8" s="8" t="n">
        <f aca="false">IF(COUNT(S8:AG8)=0,"",SUM(S8:AG8))</f>
        <v>82.5</v>
      </c>
      <c r="AI8" s="8"/>
      <c r="AJ8" s="9"/>
      <c r="AK8" s="4"/>
      <c r="AL8" s="3"/>
    </row>
    <row r="9" customFormat="false" ht="44" hidden="false" customHeight="false" outlineLevel="0" collapsed="false">
      <c r="A9" s="3"/>
      <c r="B9" s="3" t="s">
        <v>38</v>
      </c>
      <c r="C9" s="3" t="s">
        <v>39</v>
      </c>
      <c r="D9" s="3" t="s">
        <v>40</v>
      </c>
      <c r="E9" s="3" t="s">
        <v>54</v>
      </c>
      <c r="F9" s="3"/>
      <c r="G9" s="4" t="s">
        <v>55</v>
      </c>
      <c r="H9" s="4" t="s">
        <v>49</v>
      </c>
      <c r="I9" s="3"/>
      <c r="J9" s="3"/>
      <c r="K9" s="3"/>
      <c r="L9" s="3" t="n">
        <v>30</v>
      </c>
      <c r="M9" s="3" t="n">
        <v>28</v>
      </c>
      <c r="N9" s="3" t="n">
        <v>2</v>
      </c>
      <c r="O9" s="3" t="n">
        <v>26</v>
      </c>
      <c r="P9" s="3" t="n">
        <v>2</v>
      </c>
      <c r="Q9" s="3" t="n">
        <v>26</v>
      </c>
      <c r="R9" s="5" t="n">
        <f aca="false">IF(N(M9)=0,0,Q9/M9)</f>
        <v>0.928571428571429</v>
      </c>
      <c r="S9" s="6" t="n">
        <v>0</v>
      </c>
      <c r="T9" s="3" t="n">
        <f aca="false">IF(R9="","",IF(R9&gt;=0.8,50,IF(R9&gt;=0.5,30,IF(R9&gt;=0.01,10,0))))</f>
        <v>50</v>
      </c>
      <c r="U9" s="6" t="n">
        <v>5</v>
      </c>
      <c r="V9" s="6" t="n">
        <v>5</v>
      </c>
      <c r="W9" s="6" t="n">
        <v>5</v>
      </c>
      <c r="X9" s="6" t="n">
        <v>2.5</v>
      </c>
      <c r="Y9" s="6" t="n">
        <v>2.5</v>
      </c>
      <c r="Z9" s="6" t="n">
        <v>2.5</v>
      </c>
      <c r="AA9" s="6" t="n">
        <v>2.5</v>
      </c>
      <c r="AB9" s="6" t="n">
        <v>0</v>
      </c>
      <c r="AC9" s="6" t="n">
        <v>0</v>
      </c>
      <c r="AD9" s="6" t="n">
        <v>2.5</v>
      </c>
      <c r="AE9" s="6" t="n">
        <v>2.5</v>
      </c>
      <c r="AF9" s="6" t="n">
        <v>0</v>
      </c>
      <c r="AG9" s="7" t="n">
        <v>2.5</v>
      </c>
      <c r="AH9" s="8" t="n">
        <f aca="false">IF(COUNT(S9:AG9)=0,"",SUM(S9:AG9))</f>
        <v>82.5</v>
      </c>
      <c r="AI9" s="8"/>
      <c r="AJ9" s="9"/>
      <c r="AK9" s="4"/>
      <c r="AL9" s="3"/>
    </row>
    <row r="10" customFormat="false" ht="44" hidden="false" customHeight="false" outlineLevel="0" collapsed="false">
      <c r="A10" s="3" t="n">
        <v>7</v>
      </c>
      <c r="B10" s="3" t="s">
        <v>56</v>
      </c>
      <c r="C10" s="3" t="s">
        <v>39</v>
      </c>
      <c r="D10" s="3" t="s">
        <v>57</v>
      </c>
      <c r="E10" s="3" t="s">
        <v>58</v>
      </c>
      <c r="F10" s="3"/>
      <c r="G10" s="4" t="s">
        <v>59</v>
      </c>
      <c r="H10" s="4" t="s">
        <v>60</v>
      </c>
      <c r="I10" s="3"/>
      <c r="J10" s="3"/>
      <c r="K10" s="3"/>
      <c r="L10" s="3" t="n">
        <v>20</v>
      </c>
      <c r="M10" s="3" t="n">
        <v>19</v>
      </c>
      <c r="N10" s="3" t="n">
        <v>1</v>
      </c>
      <c r="O10" s="3" t="n">
        <v>15</v>
      </c>
      <c r="P10" s="3" t="n">
        <v>4</v>
      </c>
      <c r="Q10" s="3" t="n">
        <v>15</v>
      </c>
      <c r="R10" s="5" t="n">
        <f aca="false">IF(N(M10)=0,0,Q10/M10)</f>
        <v>0.789473684210526</v>
      </c>
      <c r="S10" s="6" t="n">
        <v>0</v>
      </c>
      <c r="T10" s="3" t="n">
        <f aca="false">IF(R10="","",IF(R10&gt;=0.8,50,IF(R10&gt;=0.5,30,IF(R10&gt;=0.01,10,0))))</f>
        <v>30</v>
      </c>
      <c r="U10" s="6" t="n">
        <v>5</v>
      </c>
      <c r="V10" s="6" t="n">
        <v>5</v>
      </c>
      <c r="W10" s="6" t="n">
        <v>5</v>
      </c>
      <c r="X10" s="6" t="n">
        <v>1.5</v>
      </c>
      <c r="Y10" s="6" t="n">
        <v>1.5</v>
      </c>
      <c r="Z10" s="6" t="n">
        <v>1</v>
      </c>
      <c r="AA10" s="6" t="n">
        <v>1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7" t="n">
        <v>2.5</v>
      </c>
      <c r="AH10" s="8" t="n">
        <f aca="false">IF(COUNT(S10:AG10)=0,"",SUM(S10:AG10))</f>
        <v>52.5</v>
      </c>
      <c r="AI10" s="8" t="n">
        <f aca="false">IF(COUNTIF($G$2:G10,G10)=1,IFERROR(AVERAGEIF($G:$G,G10,$AH:$AH),""),"")</f>
        <v>50</v>
      </c>
      <c r="AJ10" s="9" t="str">
        <f aca="false">IF(AL10&lt;&gt;"",AL10,IF(AI10="","",IF(AI10&gt;=80,"Excellent",IF(AI10&gt;=70,"Very Good",IF(AI10&gt;=60,"Good",IF(AI10&gt;=50,"Average","Poor"))))))</f>
        <v>Average</v>
      </c>
      <c r="AK10" s="4"/>
      <c r="AL10" s="3"/>
    </row>
    <row r="11" customFormat="false" ht="44" hidden="false" customHeight="false" outlineLevel="0" collapsed="false">
      <c r="A11" s="3"/>
      <c r="B11" s="3" t="s">
        <v>56</v>
      </c>
      <c r="C11" s="3" t="s">
        <v>39</v>
      </c>
      <c r="D11" s="3" t="s">
        <v>57</v>
      </c>
      <c r="E11" s="3" t="s">
        <v>58</v>
      </c>
      <c r="F11" s="3"/>
      <c r="G11" s="4" t="s">
        <v>59</v>
      </c>
      <c r="H11" s="4" t="s">
        <v>61</v>
      </c>
      <c r="I11" s="3"/>
      <c r="J11" s="3"/>
      <c r="K11" s="3"/>
      <c r="L11" s="3" t="n">
        <v>20</v>
      </c>
      <c r="M11" s="3" t="n">
        <v>20</v>
      </c>
      <c r="N11" s="3" t="n">
        <v>0</v>
      </c>
      <c r="O11" s="3" t="n">
        <v>15</v>
      </c>
      <c r="P11" s="3" t="n">
        <v>5</v>
      </c>
      <c r="Q11" s="3" t="n">
        <v>15</v>
      </c>
      <c r="R11" s="5" t="n">
        <f aca="false">IF(N(M11)=0,0,Q11/M11)</f>
        <v>0.75</v>
      </c>
      <c r="S11" s="6" t="n">
        <v>0</v>
      </c>
      <c r="T11" s="3" t="n">
        <f aca="false">IF(R11="","",IF(R11&gt;=0.8,50,IF(R11&gt;=0.5,30,IF(R11&gt;=0.01,10,0))))</f>
        <v>30</v>
      </c>
      <c r="U11" s="6" t="n">
        <v>5</v>
      </c>
      <c r="V11" s="6" t="n">
        <v>5</v>
      </c>
      <c r="W11" s="6" t="n">
        <v>5</v>
      </c>
      <c r="X11" s="6" t="n">
        <v>1.5</v>
      </c>
      <c r="Y11" s="6" t="n">
        <v>1.5</v>
      </c>
      <c r="Z11" s="6" t="n">
        <v>1</v>
      </c>
      <c r="AA11" s="6" t="n">
        <v>2.5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7" t="n">
        <v>2.5</v>
      </c>
      <c r="AH11" s="8" t="n">
        <f aca="false">IF(COUNT(S11:AG11)=0,"",SUM(S11:AG11))</f>
        <v>54</v>
      </c>
      <c r="AI11" s="8"/>
      <c r="AJ11" s="9"/>
      <c r="AK11" s="4"/>
      <c r="AL11" s="3"/>
    </row>
    <row r="12" customFormat="false" ht="44" hidden="false" customHeight="false" outlineLevel="0" collapsed="false">
      <c r="A12" s="3"/>
      <c r="B12" s="3" t="s">
        <v>56</v>
      </c>
      <c r="C12" s="3" t="s">
        <v>39</v>
      </c>
      <c r="D12" s="3" t="s">
        <v>57</v>
      </c>
      <c r="E12" s="3" t="s">
        <v>58</v>
      </c>
      <c r="F12" s="3"/>
      <c r="G12" s="4" t="s">
        <v>59</v>
      </c>
      <c r="H12" s="4" t="s">
        <v>62</v>
      </c>
      <c r="I12" s="3"/>
      <c r="J12" s="3"/>
      <c r="K12" s="3"/>
      <c r="L12" s="3" t="n">
        <v>20</v>
      </c>
      <c r="M12" s="3" t="n">
        <v>20</v>
      </c>
      <c r="N12" s="3" t="n">
        <v>0</v>
      </c>
      <c r="O12" s="3" t="n">
        <v>7</v>
      </c>
      <c r="P12" s="3" t="n">
        <v>13</v>
      </c>
      <c r="Q12" s="3" t="n">
        <v>7</v>
      </c>
      <c r="R12" s="5" t="n">
        <f aca="false">IF(N(M12)=0,0,Q12/M12)</f>
        <v>0.35</v>
      </c>
      <c r="S12" s="6" t="n">
        <v>0</v>
      </c>
      <c r="T12" s="3" t="n">
        <f aca="false">IF(R12="","",IF(R12&gt;=0.8,50,IF(R12&gt;=0.5,30,IF(R12&gt;=0.01,10,0))))</f>
        <v>10</v>
      </c>
      <c r="U12" s="6" t="n">
        <v>5</v>
      </c>
      <c r="V12" s="6" t="n">
        <v>5</v>
      </c>
      <c r="W12" s="6" t="n">
        <v>5</v>
      </c>
      <c r="X12" s="6" t="n">
        <v>1.5</v>
      </c>
      <c r="Y12" s="6" t="n">
        <v>1.5</v>
      </c>
      <c r="Z12" s="6" t="n">
        <v>1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7" t="n">
        <v>1</v>
      </c>
      <c r="AH12" s="8" t="n">
        <f aca="false">IF(COUNT(S12:AG12)=0,"",SUM(S12:AG12))</f>
        <v>30</v>
      </c>
      <c r="AI12" s="8"/>
      <c r="AJ12" s="9"/>
      <c r="AK12" s="4"/>
      <c r="AL12" s="3"/>
    </row>
    <row r="13" customFormat="false" ht="44" hidden="false" customHeight="false" outlineLevel="0" collapsed="false">
      <c r="A13" s="3"/>
      <c r="B13" s="3" t="s">
        <v>56</v>
      </c>
      <c r="C13" s="3" t="s">
        <v>39</v>
      </c>
      <c r="D13" s="3" t="s">
        <v>57</v>
      </c>
      <c r="E13" s="3" t="s">
        <v>58</v>
      </c>
      <c r="F13" s="3"/>
      <c r="G13" s="4" t="s">
        <v>59</v>
      </c>
      <c r="H13" s="4" t="s">
        <v>63</v>
      </c>
      <c r="I13" s="3"/>
      <c r="J13" s="3"/>
      <c r="K13" s="3"/>
      <c r="L13" s="3" t="n">
        <v>20</v>
      </c>
      <c r="M13" s="3" t="n">
        <v>20</v>
      </c>
      <c r="N13" s="3" t="n">
        <v>0</v>
      </c>
      <c r="O13" s="3" t="n">
        <v>10</v>
      </c>
      <c r="P13" s="3" t="n">
        <v>10</v>
      </c>
      <c r="Q13" s="3" t="n">
        <v>10</v>
      </c>
      <c r="R13" s="5" t="n">
        <f aca="false">IF(N(M13)=0,0,Q13/M13)</f>
        <v>0.5</v>
      </c>
      <c r="S13" s="6" t="n">
        <v>0</v>
      </c>
      <c r="T13" s="3" t="n">
        <f aca="false">IF(R13="","",IF(R13&gt;=0.8,50,IF(R13&gt;=0.5,30,IF(R13&gt;=0.01,10,0))))</f>
        <v>30</v>
      </c>
      <c r="U13" s="6" t="n">
        <v>5</v>
      </c>
      <c r="V13" s="6" t="n">
        <v>5</v>
      </c>
      <c r="W13" s="6" t="n">
        <v>5</v>
      </c>
      <c r="X13" s="6" t="n">
        <v>1.5</v>
      </c>
      <c r="Y13" s="6" t="n">
        <v>1.5</v>
      </c>
      <c r="Z13" s="6" t="n">
        <v>1</v>
      </c>
      <c r="AA13" s="6" t="n">
        <v>1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7" t="n">
        <v>1</v>
      </c>
      <c r="AH13" s="8" t="n">
        <f aca="false">IF(COUNT(S13:AG13)=0,"",SUM(S13:AG13))</f>
        <v>51</v>
      </c>
      <c r="AI13" s="8"/>
      <c r="AJ13" s="9"/>
      <c r="AK13" s="4"/>
      <c r="AL13" s="3"/>
    </row>
    <row r="14" customFormat="false" ht="44" hidden="false" customHeight="false" outlineLevel="0" collapsed="false">
      <c r="A14" s="3"/>
      <c r="B14" s="3" t="s">
        <v>56</v>
      </c>
      <c r="C14" s="3" t="s">
        <v>39</v>
      </c>
      <c r="D14" s="3" t="s">
        <v>57</v>
      </c>
      <c r="E14" s="3" t="s">
        <v>58</v>
      </c>
      <c r="F14" s="3"/>
      <c r="G14" s="4" t="s">
        <v>59</v>
      </c>
      <c r="H14" s="4" t="s">
        <v>64</v>
      </c>
      <c r="I14" s="3"/>
      <c r="J14" s="3"/>
      <c r="K14" s="3"/>
      <c r="L14" s="3" t="n">
        <v>20</v>
      </c>
      <c r="M14" s="3" t="n">
        <v>16</v>
      </c>
      <c r="N14" s="3" t="n">
        <v>4</v>
      </c>
      <c r="O14" s="3" t="n">
        <v>13</v>
      </c>
      <c r="P14" s="3" t="n">
        <v>3</v>
      </c>
      <c r="Q14" s="3" t="n">
        <v>13</v>
      </c>
      <c r="R14" s="5" t="n">
        <f aca="false">IF(N(M14)=0,0,Q14/M14)</f>
        <v>0.8125</v>
      </c>
      <c r="S14" s="6" t="n">
        <v>0</v>
      </c>
      <c r="T14" s="3" t="n">
        <f aca="false">IF(R14="","",IF(R14&gt;=0.8,50,IF(R14&gt;=0.5,30,IF(R14&gt;=0.01,10,0))))</f>
        <v>50</v>
      </c>
      <c r="U14" s="6" t="n">
        <v>5</v>
      </c>
      <c r="V14" s="6" t="n">
        <v>0</v>
      </c>
      <c r="W14" s="6" t="n">
        <v>0</v>
      </c>
      <c r="X14" s="6" t="n">
        <v>1.5</v>
      </c>
      <c r="Y14" s="6" t="n">
        <v>1.5</v>
      </c>
      <c r="Z14" s="6" t="n">
        <v>1</v>
      </c>
      <c r="AA14" s="6" t="n">
        <v>1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7" t="n">
        <v>2.5</v>
      </c>
      <c r="AH14" s="8" t="n">
        <f aca="false">IF(COUNT(S14:AG14)=0,"",SUM(S14:AG14))</f>
        <v>62.5</v>
      </c>
      <c r="AI14" s="8"/>
      <c r="AJ14" s="9"/>
      <c r="AK14" s="4"/>
      <c r="AL14" s="3"/>
    </row>
    <row r="15" customFormat="false" ht="44" hidden="false" customHeight="false" outlineLevel="0" collapsed="false">
      <c r="A15" s="3" t="n">
        <v>8</v>
      </c>
      <c r="B15" s="3" t="s">
        <v>56</v>
      </c>
      <c r="C15" s="3" t="s">
        <v>39</v>
      </c>
      <c r="D15" s="3" t="s">
        <v>57</v>
      </c>
      <c r="E15" s="3" t="s">
        <v>65</v>
      </c>
      <c r="F15" s="3"/>
      <c r="G15" s="4" t="s">
        <v>66</v>
      </c>
      <c r="H15" s="4" t="s">
        <v>62</v>
      </c>
      <c r="I15" s="3"/>
      <c r="J15" s="3"/>
      <c r="K15" s="3"/>
      <c r="L15" s="3" t="n">
        <v>20</v>
      </c>
      <c r="M15" s="3" t="n">
        <v>19</v>
      </c>
      <c r="N15" s="3" t="n">
        <v>1</v>
      </c>
      <c r="O15" s="3" t="n">
        <v>18</v>
      </c>
      <c r="P15" s="3" t="n">
        <v>1</v>
      </c>
      <c r="Q15" s="3" t="n">
        <v>18</v>
      </c>
      <c r="R15" s="5" t="n">
        <f aca="false">IF(N(M15)=0,0,Q15/M15)</f>
        <v>0.947368421052632</v>
      </c>
      <c r="S15" s="6" t="n">
        <v>0</v>
      </c>
      <c r="T15" s="3" t="n">
        <f aca="false">IF(R15="","",IF(R15&gt;=0.8,50,IF(R15&gt;=0.5,30,IF(R15&gt;=0.01,10,0))))</f>
        <v>50</v>
      </c>
      <c r="U15" s="6" t="n">
        <v>5</v>
      </c>
      <c r="V15" s="6" t="n">
        <v>5</v>
      </c>
      <c r="W15" s="6" t="n">
        <v>5</v>
      </c>
      <c r="X15" s="6" t="n">
        <v>1.5</v>
      </c>
      <c r="Y15" s="6" t="n">
        <v>1.5</v>
      </c>
      <c r="Z15" s="6" t="n">
        <v>1</v>
      </c>
      <c r="AA15" s="6" t="n">
        <v>2.5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7" t="n">
        <v>2.5</v>
      </c>
      <c r="AH15" s="8" t="n">
        <f aca="false">IF(COUNT(S15:AG15)=0,"",SUM(S15:AG15))</f>
        <v>74</v>
      </c>
      <c r="AI15" s="8" t="n">
        <f aca="false">IF(COUNTIF($G$2:G15,G15)=1,IFERROR(AVERAGEIF($G:$G,G15,$AH:$AH),""),"")</f>
        <v>64.6</v>
      </c>
      <c r="AJ15" s="9" t="str">
        <f aca="false">IF(AL15&lt;&gt;"",AL15,IF(AI15="","",IF(AI15&gt;=80,"Excellent",IF(AI15&gt;=70,"Very Good",IF(AI15&gt;=60,"Good",IF(AI15&gt;=50,"Average","Poor"))))))</f>
        <v>Good</v>
      </c>
      <c r="AK15" s="4"/>
      <c r="AL15" s="3"/>
    </row>
    <row r="16" customFormat="false" ht="44" hidden="false" customHeight="false" outlineLevel="0" collapsed="false">
      <c r="A16" s="3"/>
      <c r="B16" s="3" t="s">
        <v>56</v>
      </c>
      <c r="C16" s="3" t="s">
        <v>39</v>
      </c>
      <c r="D16" s="3" t="s">
        <v>57</v>
      </c>
      <c r="E16" s="3" t="s">
        <v>65</v>
      </c>
      <c r="F16" s="3"/>
      <c r="G16" s="4" t="s">
        <v>66</v>
      </c>
      <c r="H16" s="4" t="s">
        <v>64</v>
      </c>
      <c r="I16" s="3"/>
      <c r="J16" s="3"/>
      <c r="K16" s="3"/>
      <c r="L16" s="3" t="n">
        <v>20</v>
      </c>
      <c r="M16" s="3" t="n">
        <v>19</v>
      </c>
      <c r="N16" s="3" t="n">
        <v>1</v>
      </c>
      <c r="O16" s="3" t="n">
        <v>15</v>
      </c>
      <c r="P16" s="3" t="n">
        <v>4</v>
      </c>
      <c r="Q16" s="3" t="n">
        <v>15</v>
      </c>
      <c r="R16" s="5" t="n">
        <f aca="false">IF(N(M16)=0,0,Q16/M16)</f>
        <v>0.789473684210526</v>
      </c>
      <c r="S16" s="6" t="n">
        <v>0</v>
      </c>
      <c r="T16" s="3" t="n">
        <f aca="false">IF(R16="","",IF(R16&gt;=0.8,50,IF(R16&gt;=0.5,30,IF(R16&gt;=0.01,10,0))))</f>
        <v>30</v>
      </c>
      <c r="U16" s="6" t="n">
        <v>5</v>
      </c>
      <c r="V16" s="6" t="n">
        <v>5</v>
      </c>
      <c r="W16" s="6" t="n">
        <v>5</v>
      </c>
      <c r="X16" s="6" t="n">
        <v>2.5</v>
      </c>
      <c r="Y16" s="6" t="n">
        <v>2.5</v>
      </c>
      <c r="Z16" s="6" t="n">
        <v>2.5</v>
      </c>
      <c r="AA16" s="6" t="n">
        <v>2.5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7" t="n">
        <v>2.5</v>
      </c>
      <c r="AH16" s="8" t="n">
        <f aca="false">IF(COUNT(S16:AG16)=0,"",SUM(S16:AG16))</f>
        <v>57.5</v>
      </c>
      <c r="AI16" s="8"/>
      <c r="AJ16" s="9"/>
      <c r="AK16" s="4"/>
      <c r="AL16" s="3"/>
    </row>
    <row r="17" customFormat="false" ht="44" hidden="false" customHeight="false" outlineLevel="0" collapsed="false">
      <c r="A17" s="3"/>
      <c r="B17" s="3" t="s">
        <v>56</v>
      </c>
      <c r="C17" s="3" t="s">
        <v>39</v>
      </c>
      <c r="D17" s="3" t="s">
        <v>57</v>
      </c>
      <c r="E17" s="3" t="s">
        <v>65</v>
      </c>
      <c r="F17" s="3"/>
      <c r="G17" s="4" t="s">
        <v>66</v>
      </c>
      <c r="H17" s="4" t="s">
        <v>67</v>
      </c>
      <c r="I17" s="3"/>
      <c r="J17" s="3"/>
      <c r="K17" s="3"/>
      <c r="L17" s="3" t="n">
        <v>20</v>
      </c>
      <c r="M17" s="3" t="n">
        <v>18</v>
      </c>
      <c r="N17" s="3" t="n">
        <v>2</v>
      </c>
      <c r="O17" s="3" t="n">
        <v>10</v>
      </c>
      <c r="P17" s="3" t="n">
        <v>8</v>
      </c>
      <c r="Q17" s="3" t="n">
        <v>10</v>
      </c>
      <c r="R17" s="5" t="n">
        <f aca="false">IF(N(M17)=0,0,Q17/M17)</f>
        <v>0.555555555555556</v>
      </c>
      <c r="S17" s="6" t="n">
        <v>0</v>
      </c>
      <c r="T17" s="3" t="n">
        <f aca="false">IF(R17="","",IF(R17&gt;=0.8,50,IF(R17&gt;=0.5,30,IF(R17&gt;=0.01,10,0))))</f>
        <v>30</v>
      </c>
      <c r="U17" s="6" t="n">
        <v>5</v>
      </c>
      <c r="V17" s="6" t="n">
        <v>5</v>
      </c>
      <c r="W17" s="6" t="n">
        <v>5</v>
      </c>
      <c r="X17" s="6" t="n">
        <v>2.5</v>
      </c>
      <c r="Y17" s="6" t="n">
        <v>2.5</v>
      </c>
      <c r="Z17" s="6" t="n">
        <v>2.5</v>
      </c>
      <c r="AA17" s="6" t="n">
        <v>2.5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7" t="n">
        <v>2.5</v>
      </c>
      <c r="AH17" s="8" t="n">
        <f aca="false">IF(COUNT(S17:AG17)=0,"",SUM(S17:AG17))</f>
        <v>57.5</v>
      </c>
      <c r="AI17" s="8"/>
      <c r="AJ17" s="9"/>
      <c r="AK17" s="4"/>
      <c r="AL17" s="3"/>
    </row>
    <row r="18" customFormat="false" ht="44" hidden="false" customHeight="false" outlineLevel="0" collapsed="false">
      <c r="A18" s="3"/>
      <c r="B18" s="3" t="s">
        <v>56</v>
      </c>
      <c r="C18" s="3" t="s">
        <v>39</v>
      </c>
      <c r="D18" s="3" t="s">
        <v>57</v>
      </c>
      <c r="E18" s="3" t="s">
        <v>65</v>
      </c>
      <c r="F18" s="3"/>
      <c r="G18" s="4" t="s">
        <v>66</v>
      </c>
      <c r="H18" s="4" t="s">
        <v>68</v>
      </c>
      <c r="I18" s="3"/>
      <c r="J18" s="3"/>
      <c r="K18" s="3"/>
      <c r="L18" s="3" t="n">
        <v>20</v>
      </c>
      <c r="M18" s="3" t="n">
        <v>20</v>
      </c>
      <c r="N18" s="3" t="n">
        <v>0</v>
      </c>
      <c r="O18" s="3" t="n">
        <v>20</v>
      </c>
      <c r="P18" s="3" t="n">
        <v>0</v>
      </c>
      <c r="Q18" s="3" t="n">
        <v>20</v>
      </c>
      <c r="R18" s="5" t="n">
        <f aca="false">IF(N(M18)=0,0,Q18/M18)</f>
        <v>1</v>
      </c>
      <c r="S18" s="6" t="n">
        <v>0</v>
      </c>
      <c r="T18" s="3" t="n">
        <f aca="false">IF(R18="","",IF(R18&gt;=0.8,50,IF(R18&gt;=0.5,30,IF(R18&gt;=0.01,10,0))))</f>
        <v>50</v>
      </c>
      <c r="U18" s="6" t="n">
        <v>5</v>
      </c>
      <c r="V18" s="6" t="n">
        <v>5</v>
      </c>
      <c r="W18" s="6" t="n">
        <v>5</v>
      </c>
      <c r="X18" s="6" t="n">
        <v>2.5</v>
      </c>
      <c r="Y18" s="6" t="n">
        <v>2.5</v>
      </c>
      <c r="Z18" s="6" t="n">
        <v>2.5</v>
      </c>
      <c r="AA18" s="6" t="n">
        <v>2.5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7" t="n">
        <v>2.5</v>
      </c>
      <c r="AH18" s="8" t="n">
        <f aca="false">IF(COUNT(S18:AG18)=0,"",SUM(S18:AG18))</f>
        <v>77.5</v>
      </c>
      <c r="AI18" s="8"/>
      <c r="AJ18" s="9"/>
      <c r="AK18" s="4"/>
      <c r="AL18" s="3"/>
    </row>
    <row r="19" customFormat="false" ht="44" hidden="false" customHeight="false" outlineLevel="0" collapsed="false">
      <c r="A19" s="3"/>
      <c r="B19" s="3" t="s">
        <v>56</v>
      </c>
      <c r="C19" s="3" t="s">
        <v>39</v>
      </c>
      <c r="D19" s="3" t="s">
        <v>57</v>
      </c>
      <c r="E19" s="3" t="s">
        <v>65</v>
      </c>
      <c r="F19" s="3"/>
      <c r="G19" s="4" t="s">
        <v>66</v>
      </c>
      <c r="H19" s="4" t="s">
        <v>69</v>
      </c>
      <c r="I19" s="3"/>
      <c r="J19" s="3"/>
      <c r="K19" s="3"/>
      <c r="L19" s="3" t="n">
        <v>20</v>
      </c>
      <c r="M19" s="3" t="n">
        <v>19</v>
      </c>
      <c r="N19" s="3" t="n">
        <v>1</v>
      </c>
      <c r="O19" s="3" t="n">
        <v>15</v>
      </c>
      <c r="P19" s="3" t="n">
        <v>4</v>
      </c>
      <c r="Q19" s="3" t="n">
        <v>15</v>
      </c>
      <c r="R19" s="5" t="n">
        <f aca="false">IF(N(M19)=0,0,Q19/M19)</f>
        <v>0.789473684210526</v>
      </c>
      <c r="S19" s="6" t="n">
        <v>0</v>
      </c>
      <c r="T19" s="3" t="n">
        <f aca="false">IF(R19="","",IF(R19&gt;=0.8,50,IF(R19&gt;=0.5,30,IF(R19&gt;=0.01,10,0))))</f>
        <v>30</v>
      </c>
      <c r="U19" s="6" t="n">
        <v>5</v>
      </c>
      <c r="V19" s="6" t="n">
        <v>5</v>
      </c>
      <c r="W19" s="6" t="n">
        <v>5</v>
      </c>
      <c r="X19" s="6" t="n">
        <v>2.5</v>
      </c>
      <c r="Y19" s="6" t="n">
        <v>1.5</v>
      </c>
      <c r="Z19" s="6" t="n">
        <v>2.5</v>
      </c>
      <c r="AA19" s="6" t="n">
        <v>2.5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7" t="n">
        <v>2.5</v>
      </c>
      <c r="AH19" s="8" t="n">
        <f aca="false">IF(COUNT(S19:AG19)=0,"",SUM(S19:AG19))</f>
        <v>56.5</v>
      </c>
      <c r="AI19" s="8"/>
      <c r="AJ19" s="9"/>
      <c r="AK19" s="4"/>
      <c r="AL19" s="3"/>
    </row>
    <row r="20" customFormat="false" ht="44" hidden="false" customHeight="false" outlineLevel="0" collapsed="false">
      <c r="A20" s="3" t="n">
        <v>9</v>
      </c>
      <c r="B20" s="3" t="s">
        <v>56</v>
      </c>
      <c r="C20" s="3" t="s">
        <v>39</v>
      </c>
      <c r="D20" s="3" t="s">
        <v>57</v>
      </c>
      <c r="E20" s="3" t="s">
        <v>70</v>
      </c>
      <c r="F20" s="3"/>
      <c r="G20" s="4" t="s">
        <v>71</v>
      </c>
      <c r="H20" s="4" t="s">
        <v>68</v>
      </c>
      <c r="I20" s="3"/>
      <c r="J20" s="3"/>
      <c r="K20" s="3"/>
      <c r="L20" s="3" t="n">
        <v>20</v>
      </c>
      <c r="M20" s="3" t="n">
        <v>20</v>
      </c>
      <c r="N20" s="3" t="n">
        <v>0</v>
      </c>
      <c r="O20" s="3" t="n">
        <v>18</v>
      </c>
      <c r="P20" s="3" t="n">
        <v>2</v>
      </c>
      <c r="Q20" s="3" t="n">
        <v>18</v>
      </c>
      <c r="R20" s="5" t="n">
        <f aca="false">IF(N(M20)=0,0,Q20/M20)</f>
        <v>0.9</v>
      </c>
      <c r="S20" s="6" t="n">
        <v>0</v>
      </c>
      <c r="T20" s="3" t="n">
        <f aca="false">IF(R20="","",IF(R20&gt;=0.8,50,IF(R20&gt;=0.5,30,IF(R20&gt;=0.01,10,0))))</f>
        <v>50</v>
      </c>
      <c r="U20" s="6" t="n">
        <v>5</v>
      </c>
      <c r="V20" s="6" t="n">
        <v>5</v>
      </c>
      <c r="W20" s="6" t="n">
        <v>0</v>
      </c>
      <c r="X20" s="6" t="n">
        <v>0</v>
      </c>
      <c r="Y20" s="6" t="n">
        <v>1.5</v>
      </c>
      <c r="Z20" s="6" t="n">
        <v>1</v>
      </c>
      <c r="AA20" s="6" t="n">
        <v>2.5</v>
      </c>
      <c r="AB20" s="6" t="n">
        <v>0</v>
      </c>
      <c r="AC20" s="6" t="n">
        <v>2.5</v>
      </c>
      <c r="AD20" s="6" t="n">
        <v>0</v>
      </c>
      <c r="AE20" s="6" t="n">
        <v>0</v>
      </c>
      <c r="AF20" s="6" t="n">
        <v>0</v>
      </c>
      <c r="AG20" s="7" t="n">
        <v>1</v>
      </c>
      <c r="AH20" s="8" t="n">
        <f aca="false">IF(COUNT(S20:AG20)=0,"",SUM(S20:AG20))</f>
        <v>68.5</v>
      </c>
      <c r="AI20" s="8" t="n">
        <f aca="false">IF(COUNTIF($G$2:G20,G20)=1,IFERROR(AVERAGEIF($G:$G,G20,$AH:$AH),""),"")</f>
        <v>63.3333333333333</v>
      </c>
      <c r="AJ20" s="9" t="str">
        <f aca="false">IF(AL20&lt;&gt;"",AL20,IF(AI20="","",IF(AI20&gt;=80,"Excellent",IF(AI20&gt;=70,"Very Good",IF(AI20&gt;=60,"Good",IF(AI20&gt;=50,"Average","Poor"))))))</f>
        <v>Good</v>
      </c>
      <c r="AK20" s="4"/>
      <c r="AL20" s="3"/>
    </row>
    <row r="21" customFormat="false" ht="44" hidden="false" customHeight="false" outlineLevel="0" collapsed="false">
      <c r="A21" s="3"/>
      <c r="B21" s="3" t="s">
        <v>56</v>
      </c>
      <c r="C21" s="3" t="s">
        <v>39</v>
      </c>
      <c r="D21" s="3" t="s">
        <v>57</v>
      </c>
      <c r="E21" s="3" t="s">
        <v>70</v>
      </c>
      <c r="F21" s="3"/>
      <c r="G21" s="4" t="s">
        <v>71</v>
      </c>
      <c r="H21" s="4" t="s">
        <v>72</v>
      </c>
      <c r="I21" s="3"/>
      <c r="J21" s="3"/>
      <c r="K21" s="3"/>
      <c r="L21" s="3" t="n">
        <v>20</v>
      </c>
      <c r="M21" s="3" t="n">
        <v>20</v>
      </c>
      <c r="N21" s="3" t="n">
        <v>2</v>
      </c>
      <c r="O21" s="3" t="n">
        <v>11</v>
      </c>
      <c r="P21" s="3" t="n">
        <v>7</v>
      </c>
      <c r="Q21" s="3" t="n">
        <v>11</v>
      </c>
      <c r="R21" s="5" t="n">
        <f aca="false">IF(N(M21)=0,0,Q21/M21)</f>
        <v>0.55</v>
      </c>
      <c r="S21" s="6" t="n">
        <v>0</v>
      </c>
      <c r="T21" s="3" t="n">
        <f aca="false">IF(R21="","",IF(R21&gt;=0.8,50,IF(R21&gt;=0.5,30,IF(R21&gt;=0.01,10,0))))</f>
        <v>30</v>
      </c>
      <c r="U21" s="6" t="n">
        <v>5</v>
      </c>
      <c r="V21" s="6" t="n">
        <v>0</v>
      </c>
      <c r="W21" s="6" t="n">
        <v>0</v>
      </c>
      <c r="X21" s="6" t="n">
        <v>2.5</v>
      </c>
      <c r="Y21" s="6" t="n">
        <v>2.5</v>
      </c>
      <c r="Z21" s="6" t="n">
        <v>2.5</v>
      </c>
      <c r="AA21" s="6" t="n">
        <v>2.5</v>
      </c>
      <c r="AB21" s="6" t="n">
        <v>0</v>
      </c>
      <c r="AC21" s="6" t="n">
        <v>2.5</v>
      </c>
      <c r="AD21" s="6" t="n">
        <v>0</v>
      </c>
      <c r="AE21" s="6" t="n">
        <v>0</v>
      </c>
      <c r="AF21" s="6" t="n">
        <v>0</v>
      </c>
      <c r="AG21" s="7" t="n">
        <v>1</v>
      </c>
      <c r="AH21" s="8" t="n">
        <f aca="false">IF(COUNT(S21:AG21)=0,"",SUM(S21:AG21))</f>
        <v>48.5</v>
      </c>
      <c r="AI21" s="8"/>
      <c r="AJ21" s="9"/>
      <c r="AK21" s="4"/>
      <c r="AL21" s="3"/>
    </row>
    <row r="22" customFormat="false" ht="44" hidden="false" customHeight="false" outlineLevel="0" collapsed="false">
      <c r="A22" s="3"/>
      <c r="B22" s="3" t="s">
        <v>56</v>
      </c>
      <c r="C22" s="3" t="s">
        <v>39</v>
      </c>
      <c r="D22" s="3" t="s">
        <v>57</v>
      </c>
      <c r="E22" s="3" t="s">
        <v>70</v>
      </c>
      <c r="F22" s="3"/>
      <c r="G22" s="4" t="s">
        <v>71</v>
      </c>
      <c r="H22" s="4" t="s">
        <v>63</v>
      </c>
      <c r="I22" s="3"/>
      <c r="J22" s="3"/>
      <c r="K22" s="3"/>
      <c r="L22" s="3" t="n">
        <v>20</v>
      </c>
      <c r="M22" s="3" t="n">
        <v>20</v>
      </c>
      <c r="N22" s="3" t="n">
        <v>0</v>
      </c>
      <c r="O22" s="3" t="n">
        <v>15</v>
      </c>
      <c r="P22" s="3" t="n">
        <v>5</v>
      </c>
      <c r="Q22" s="3" t="n">
        <v>15</v>
      </c>
      <c r="R22" s="5" t="n">
        <f aca="false">IF(N(M22)=0,0,Q22/M22)</f>
        <v>0.75</v>
      </c>
      <c r="S22" s="6" t="n">
        <v>0</v>
      </c>
      <c r="T22" s="3" t="n">
        <f aca="false">IF(R22="","",IF(R22&gt;=0.8,50,IF(R22&gt;=0.5,30,IF(R22&gt;=0.01,10,0))))</f>
        <v>30</v>
      </c>
      <c r="U22" s="6" t="n">
        <v>5</v>
      </c>
      <c r="V22" s="6" t="n">
        <v>0</v>
      </c>
      <c r="W22" s="6" t="n">
        <v>0</v>
      </c>
      <c r="X22" s="6" t="n">
        <v>1.5</v>
      </c>
      <c r="Y22" s="6" t="n">
        <v>1.5</v>
      </c>
      <c r="Z22" s="6" t="n">
        <v>1</v>
      </c>
      <c r="AA22" s="6" t="n">
        <v>2.5</v>
      </c>
      <c r="AB22" s="6" t="n">
        <v>0</v>
      </c>
      <c r="AC22" s="6" t="n">
        <v>2.5</v>
      </c>
      <c r="AD22" s="6" t="n">
        <v>0</v>
      </c>
      <c r="AE22" s="6" t="n">
        <v>0</v>
      </c>
      <c r="AF22" s="6" t="n">
        <v>0</v>
      </c>
      <c r="AG22" s="7" t="n">
        <v>2.5</v>
      </c>
      <c r="AH22" s="8" t="n">
        <f aca="false">IF(COUNT(S22:AG22)=0,"",SUM(S22:AG22))</f>
        <v>46.5</v>
      </c>
      <c r="AI22" s="8"/>
      <c r="AJ22" s="9"/>
      <c r="AK22" s="4"/>
      <c r="AL22" s="3"/>
    </row>
    <row r="23" customFormat="false" ht="44" hidden="false" customHeight="false" outlineLevel="0" collapsed="false">
      <c r="A23" s="3"/>
      <c r="B23" s="3" t="s">
        <v>56</v>
      </c>
      <c r="C23" s="3" t="s">
        <v>39</v>
      </c>
      <c r="D23" s="3" t="s">
        <v>57</v>
      </c>
      <c r="E23" s="3" t="s">
        <v>70</v>
      </c>
      <c r="F23" s="3"/>
      <c r="G23" s="4" t="s">
        <v>71</v>
      </c>
      <c r="H23" s="4" t="s">
        <v>73</v>
      </c>
      <c r="I23" s="3"/>
      <c r="J23" s="3"/>
      <c r="K23" s="3"/>
      <c r="L23" s="3" t="n">
        <v>20</v>
      </c>
      <c r="M23" s="3" t="n">
        <v>20</v>
      </c>
      <c r="N23" s="3" t="n">
        <v>0</v>
      </c>
      <c r="O23" s="3" t="n">
        <v>14</v>
      </c>
      <c r="P23" s="3" t="n">
        <v>6</v>
      </c>
      <c r="Q23" s="3" t="n">
        <v>14</v>
      </c>
      <c r="R23" s="5" t="n">
        <f aca="false">IF(N(M23)=0,0,Q23/M23)</f>
        <v>0.7</v>
      </c>
      <c r="S23" s="6" t="n">
        <v>0</v>
      </c>
      <c r="T23" s="3" t="n">
        <f aca="false">IF(R23="","",IF(R23&gt;=0.8,50,IF(R23&gt;=0.5,30,IF(R23&gt;=0.01,10,0))))</f>
        <v>30</v>
      </c>
      <c r="U23" s="6" t="n">
        <v>5</v>
      </c>
      <c r="V23" s="6" t="n">
        <v>5</v>
      </c>
      <c r="W23" s="6" t="n">
        <v>5</v>
      </c>
      <c r="X23" s="6" t="n">
        <v>1.5</v>
      </c>
      <c r="Y23" s="6" t="n">
        <v>1.5</v>
      </c>
      <c r="Z23" s="6" t="n">
        <v>1</v>
      </c>
      <c r="AA23" s="6" t="n">
        <v>2.5</v>
      </c>
      <c r="AB23" s="6" t="n">
        <v>0</v>
      </c>
      <c r="AC23" s="6" t="n">
        <v>2.5</v>
      </c>
      <c r="AD23" s="6" t="n">
        <v>0</v>
      </c>
      <c r="AE23" s="6" t="n">
        <v>0</v>
      </c>
      <c r="AF23" s="6" t="n">
        <v>0</v>
      </c>
      <c r="AG23" s="7" t="n">
        <v>2.5</v>
      </c>
      <c r="AH23" s="8" t="n">
        <f aca="false">IF(COUNT(S23:AG23)=0,"",SUM(S23:AG23))</f>
        <v>56.5</v>
      </c>
      <c r="AI23" s="8"/>
      <c r="AJ23" s="9"/>
      <c r="AK23" s="4"/>
      <c r="AL23" s="3"/>
    </row>
    <row r="24" customFormat="false" ht="44" hidden="false" customHeight="false" outlineLevel="0" collapsed="false">
      <c r="A24" s="3"/>
      <c r="B24" s="3" t="s">
        <v>56</v>
      </c>
      <c r="C24" s="3" t="s">
        <v>39</v>
      </c>
      <c r="D24" s="3" t="s">
        <v>57</v>
      </c>
      <c r="E24" s="3" t="s">
        <v>70</v>
      </c>
      <c r="F24" s="3"/>
      <c r="G24" s="4" t="s">
        <v>71</v>
      </c>
      <c r="H24" s="4" t="s">
        <v>60</v>
      </c>
      <c r="I24" s="3"/>
      <c r="J24" s="3"/>
      <c r="K24" s="3"/>
      <c r="L24" s="3" t="n">
        <v>20</v>
      </c>
      <c r="M24" s="3" t="n">
        <v>20</v>
      </c>
      <c r="N24" s="3" t="n">
        <v>1</v>
      </c>
      <c r="O24" s="3" t="n">
        <v>17</v>
      </c>
      <c r="P24" s="3" t="n">
        <v>2</v>
      </c>
      <c r="Q24" s="3" t="n">
        <v>17</v>
      </c>
      <c r="R24" s="5" t="n">
        <f aca="false">IF(N(M24)=0,0,Q24/M24)</f>
        <v>0.85</v>
      </c>
      <c r="S24" s="6" t="n">
        <v>0</v>
      </c>
      <c r="T24" s="3" t="n">
        <f aca="false">IF(R24="","",IF(R24&gt;=0.8,50,IF(R24&gt;=0.5,30,IF(R24&gt;=0.01,10,0))))</f>
        <v>50</v>
      </c>
      <c r="U24" s="6" t="n">
        <v>5</v>
      </c>
      <c r="V24" s="6" t="n">
        <v>5</v>
      </c>
      <c r="W24" s="6" t="n">
        <v>5</v>
      </c>
      <c r="X24" s="6" t="n">
        <v>2.5</v>
      </c>
      <c r="Y24" s="6" t="n">
        <v>2.5</v>
      </c>
      <c r="Z24" s="6" t="n">
        <v>2.5</v>
      </c>
      <c r="AA24" s="6" t="n">
        <v>2.5</v>
      </c>
      <c r="AB24" s="6" t="n">
        <v>0</v>
      </c>
      <c r="AC24" s="6" t="n">
        <v>2.5</v>
      </c>
      <c r="AD24" s="6" t="n">
        <v>0</v>
      </c>
      <c r="AE24" s="6" t="n">
        <v>0</v>
      </c>
      <c r="AF24" s="6" t="n">
        <v>0</v>
      </c>
      <c r="AG24" s="7" t="n">
        <v>2.5</v>
      </c>
      <c r="AH24" s="8" t="n">
        <f aca="false">IF(COUNT(S24:AG24)=0,"",SUM(S24:AG24))</f>
        <v>80</v>
      </c>
      <c r="AI24" s="8"/>
      <c r="AJ24" s="9"/>
      <c r="AK24" s="4"/>
      <c r="AL24" s="3"/>
    </row>
    <row r="25" customFormat="false" ht="44" hidden="false" customHeight="false" outlineLevel="0" collapsed="false">
      <c r="A25" s="3"/>
      <c r="B25" s="3" t="s">
        <v>56</v>
      </c>
      <c r="C25" s="3" t="s">
        <v>39</v>
      </c>
      <c r="D25" s="3" t="s">
        <v>57</v>
      </c>
      <c r="E25" s="3" t="s">
        <v>70</v>
      </c>
      <c r="F25" s="3"/>
      <c r="G25" s="4" t="s">
        <v>71</v>
      </c>
      <c r="H25" s="4" t="s">
        <v>61</v>
      </c>
      <c r="I25" s="3"/>
      <c r="J25" s="3"/>
      <c r="K25" s="3"/>
      <c r="L25" s="3" t="n">
        <v>20</v>
      </c>
      <c r="M25" s="3" t="n">
        <v>20</v>
      </c>
      <c r="N25" s="3" t="n">
        <v>0</v>
      </c>
      <c r="O25" s="3" t="n">
        <v>17</v>
      </c>
      <c r="P25" s="3" t="n">
        <v>3</v>
      </c>
      <c r="Q25" s="3" t="n">
        <v>17</v>
      </c>
      <c r="R25" s="5" t="n">
        <f aca="false">IF(N(M25)=0,0,Q25/M25)</f>
        <v>0.85</v>
      </c>
      <c r="S25" s="6" t="n">
        <v>0</v>
      </c>
      <c r="T25" s="3" t="n">
        <f aca="false">IF(R25="","",IF(R25&gt;=0.8,50,IF(R25&gt;=0.5,30,IF(R25&gt;=0.01,10,0))))</f>
        <v>50</v>
      </c>
      <c r="U25" s="6" t="n">
        <v>5</v>
      </c>
      <c r="V25" s="6" t="n">
        <v>5</v>
      </c>
      <c r="W25" s="6" t="n">
        <v>5</v>
      </c>
      <c r="X25" s="6" t="n">
        <v>2.5</v>
      </c>
      <c r="Y25" s="6" t="n">
        <v>2.5</v>
      </c>
      <c r="Z25" s="6" t="n">
        <v>2.5</v>
      </c>
      <c r="AA25" s="6" t="n">
        <v>2.5</v>
      </c>
      <c r="AB25" s="6" t="n">
        <v>0</v>
      </c>
      <c r="AC25" s="6" t="n">
        <v>2.5</v>
      </c>
      <c r="AD25" s="6" t="n">
        <v>0</v>
      </c>
      <c r="AE25" s="6" t="n">
        <v>0</v>
      </c>
      <c r="AF25" s="6" t="n">
        <v>0</v>
      </c>
      <c r="AG25" s="7" t="n">
        <v>2.5</v>
      </c>
      <c r="AH25" s="8" t="n">
        <f aca="false">IF(COUNT(S25:AG25)=0,"",SUM(S25:AG25))</f>
        <v>80</v>
      </c>
      <c r="AI25" s="8"/>
      <c r="AJ25" s="9"/>
      <c r="AK25" s="4"/>
      <c r="AL25" s="3"/>
    </row>
    <row r="26" customFormat="false" ht="44" hidden="false" customHeight="false" outlineLevel="0" collapsed="false">
      <c r="A26" s="3" t="n">
        <v>10</v>
      </c>
      <c r="B26" s="3" t="s">
        <v>56</v>
      </c>
      <c r="C26" s="3" t="s">
        <v>39</v>
      </c>
      <c r="D26" s="3" t="s">
        <v>57</v>
      </c>
      <c r="E26" s="3" t="s">
        <v>74</v>
      </c>
      <c r="F26" s="3"/>
      <c r="G26" s="4" t="s">
        <v>75</v>
      </c>
      <c r="H26" s="4" t="s">
        <v>63</v>
      </c>
      <c r="I26" s="3"/>
      <c r="J26" s="3"/>
      <c r="K26" s="3"/>
      <c r="L26" s="3" t="n">
        <v>20</v>
      </c>
      <c r="M26" s="3" t="n">
        <v>20</v>
      </c>
      <c r="N26" s="3" t="n">
        <v>0</v>
      </c>
      <c r="O26" s="3" t="n">
        <v>14</v>
      </c>
      <c r="P26" s="3" t="n">
        <v>6</v>
      </c>
      <c r="Q26" s="3" t="n">
        <v>14</v>
      </c>
      <c r="R26" s="5" t="n">
        <f aca="false">IF(N(M26)=0,0,Q26/M26)</f>
        <v>0.7</v>
      </c>
      <c r="S26" s="6" t="n">
        <v>10</v>
      </c>
      <c r="T26" s="3" t="n">
        <f aca="false">IF(R26="","",IF(R26&gt;=0.8,50,IF(R26&gt;=0.5,30,IF(R26&gt;=0.01,10,0))))</f>
        <v>30</v>
      </c>
      <c r="U26" s="6" t="n">
        <v>5</v>
      </c>
      <c r="V26" s="6" t="n">
        <v>5</v>
      </c>
      <c r="W26" s="6" t="n">
        <v>5</v>
      </c>
      <c r="X26" s="6" t="n">
        <v>2.5</v>
      </c>
      <c r="Y26" s="6" t="n">
        <v>2.5</v>
      </c>
      <c r="Z26" s="6" t="n">
        <v>2.5</v>
      </c>
      <c r="AA26" s="6" t="n">
        <v>2.5</v>
      </c>
      <c r="AB26" s="6" t="n">
        <v>2.5</v>
      </c>
      <c r="AC26" s="6" t="n">
        <v>2.5</v>
      </c>
      <c r="AD26" s="6" t="n">
        <v>2.5</v>
      </c>
      <c r="AE26" s="6" t="n">
        <v>2.5</v>
      </c>
      <c r="AF26" s="6" t="n">
        <v>0</v>
      </c>
      <c r="AG26" s="7" t="n">
        <v>2.5</v>
      </c>
      <c r="AH26" s="8" t="n">
        <f aca="false">IF(COUNT(S26:AG26)=0,"",SUM(S26:AG26))</f>
        <v>77.5</v>
      </c>
      <c r="AI26" s="8" t="n">
        <f aca="false">IF(COUNTIF($G$2:G26,G26)=1,IFERROR(AVERAGEIF($G:$G,G26,$AH:$AH),""),"")</f>
        <v>85.5714285714286</v>
      </c>
      <c r="AJ26" s="9" t="str">
        <f aca="false">IF(AL26&lt;&gt;"",AL26,IF(AI26="","",IF(AI26&gt;=80,"Excellent",IF(AI26&gt;=70,"Very Good",IF(AI26&gt;=60,"Good",IF(AI26&gt;=50,"Average","Poor"))))))</f>
        <v>Excellent</v>
      </c>
      <c r="AK26" s="4"/>
      <c r="AL26" s="3"/>
    </row>
    <row r="27" customFormat="false" ht="44" hidden="false" customHeight="false" outlineLevel="0" collapsed="false">
      <c r="A27" s="3"/>
      <c r="B27" s="3" t="s">
        <v>56</v>
      </c>
      <c r="C27" s="3" t="s">
        <v>39</v>
      </c>
      <c r="D27" s="3" t="s">
        <v>57</v>
      </c>
      <c r="E27" s="3" t="s">
        <v>74</v>
      </c>
      <c r="F27" s="3"/>
      <c r="G27" s="4" t="s">
        <v>75</v>
      </c>
      <c r="H27" s="4" t="s">
        <v>76</v>
      </c>
      <c r="I27" s="3"/>
      <c r="J27" s="3"/>
      <c r="K27" s="3"/>
      <c r="L27" s="3" t="n">
        <v>20</v>
      </c>
      <c r="M27" s="3" t="n">
        <v>20</v>
      </c>
      <c r="N27" s="3" t="n">
        <v>0</v>
      </c>
      <c r="O27" s="3" t="n">
        <v>15</v>
      </c>
      <c r="P27" s="3" t="n">
        <v>5</v>
      </c>
      <c r="Q27" s="3" t="n">
        <v>15</v>
      </c>
      <c r="R27" s="5" t="n">
        <f aca="false">IF(N(M27)=0,0,Q27/M27)</f>
        <v>0.75</v>
      </c>
      <c r="S27" s="6" t="n">
        <v>10</v>
      </c>
      <c r="T27" s="3" t="n">
        <f aca="false">IF(R27="","",IF(R27&gt;=0.8,50,IF(R27&gt;=0.5,30,IF(R27&gt;=0.01,10,0))))</f>
        <v>30</v>
      </c>
      <c r="U27" s="6" t="n">
        <v>5</v>
      </c>
      <c r="V27" s="6" t="n">
        <v>5</v>
      </c>
      <c r="W27" s="6" t="n">
        <v>5</v>
      </c>
      <c r="X27" s="6" t="n">
        <v>0</v>
      </c>
      <c r="Y27" s="6" t="n">
        <v>2.5</v>
      </c>
      <c r="Z27" s="6" t="n">
        <v>0</v>
      </c>
      <c r="AA27" s="6" t="n">
        <v>2.5</v>
      </c>
      <c r="AB27" s="6" t="n">
        <v>2.5</v>
      </c>
      <c r="AC27" s="6" t="n">
        <v>2.5</v>
      </c>
      <c r="AD27" s="6" t="n">
        <v>2.5</v>
      </c>
      <c r="AE27" s="6" t="n">
        <v>2.5</v>
      </c>
      <c r="AF27" s="6" t="n">
        <v>0</v>
      </c>
      <c r="AG27" s="7" t="n">
        <v>2.5</v>
      </c>
      <c r="AH27" s="8" t="n">
        <f aca="false">IF(COUNT(S27:AG27)=0,"",SUM(S27:AG27))</f>
        <v>72.5</v>
      </c>
      <c r="AI27" s="8"/>
      <c r="AJ27" s="9"/>
      <c r="AK27" s="4"/>
      <c r="AL27" s="3"/>
    </row>
    <row r="28" customFormat="false" ht="44" hidden="false" customHeight="false" outlineLevel="0" collapsed="false">
      <c r="A28" s="3"/>
      <c r="B28" s="3" t="s">
        <v>56</v>
      </c>
      <c r="C28" s="3" t="s">
        <v>39</v>
      </c>
      <c r="D28" s="3" t="s">
        <v>57</v>
      </c>
      <c r="E28" s="3" t="s">
        <v>74</v>
      </c>
      <c r="F28" s="3"/>
      <c r="G28" s="4" t="s">
        <v>75</v>
      </c>
      <c r="H28" s="4" t="s">
        <v>68</v>
      </c>
      <c r="I28" s="3"/>
      <c r="J28" s="3"/>
      <c r="K28" s="3"/>
      <c r="L28" s="3" t="n">
        <v>20</v>
      </c>
      <c r="M28" s="3" t="n">
        <v>20</v>
      </c>
      <c r="N28" s="3" t="n">
        <v>0</v>
      </c>
      <c r="O28" s="3" t="n">
        <v>16</v>
      </c>
      <c r="P28" s="3" t="n">
        <v>4</v>
      </c>
      <c r="Q28" s="3" t="n">
        <v>16</v>
      </c>
      <c r="R28" s="5" t="n">
        <f aca="false">IF(N(M28)=0,0,Q28/M28)</f>
        <v>0.8</v>
      </c>
      <c r="S28" s="6" t="n">
        <v>10</v>
      </c>
      <c r="T28" s="3" t="n">
        <f aca="false">IF(R28="","",IF(R28&gt;=0.8,50,IF(R28&gt;=0.5,30,IF(R28&gt;=0.01,10,0))))</f>
        <v>50</v>
      </c>
      <c r="U28" s="6" t="n">
        <v>5</v>
      </c>
      <c r="V28" s="6" t="n">
        <v>5</v>
      </c>
      <c r="W28" s="6" t="n">
        <v>5</v>
      </c>
      <c r="X28" s="6" t="n">
        <v>2.5</v>
      </c>
      <c r="Y28" s="6" t="n">
        <v>2.5</v>
      </c>
      <c r="Z28" s="6" t="n">
        <v>2.5</v>
      </c>
      <c r="AA28" s="6" t="n">
        <v>2.5</v>
      </c>
      <c r="AB28" s="6" t="n">
        <v>2.5</v>
      </c>
      <c r="AC28" s="6" t="n">
        <v>2.5</v>
      </c>
      <c r="AD28" s="6" t="n">
        <v>2.5</v>
      </c>
      <c r="AE28" s="6" t="n">
        <v>2.5</v>
      </c>
      <c r="AF28" s="6" t="n">
        <v>0</v>
      </c>
      <c r="AG28" s="7" t="n">
        <v>2.5</v>
      </c>
      <c r="AH28" s="8" t="n">
        <f aca="false">IF(COUNT(S28:AG28)=0,"",SUM(S28:AG28))</f>
        <v>97.5</v>
      </c>
      <c r="AI28" s="8"/>
      <c r="AJ28" s="9"/>
      <c r="AK28" s="4"/>
      <c r="AL28" s="3"/>
    </row>
    <row r="29" customFormat="false" ht="44" hidden="false" customHeight="false" outlineLevel="0" collapsed="false">
      <c r="A29" s="3"/>
      <c r="B29" s="3" t="s">
        <v>56</v>
      </c>
      <c r="C29" s="3" t="s">
        <v>39</v>
      </c>
      <c r="D29" s="3" t="s">
        <v>57</v>
      </c>
      <c r="E29" s="3" t="s">
        <v>74</v>
      </c>
      <c r="F29" s="3"/>
      <c r="G29" s="4" t="s">
        <v>75</v>
      </c>
      <c r="H29" s="4" t="s">
        <v>67</v>
      </c>
      <c r="I29" s="3"/>
      <c r="J29" s="3"/>
      <c r="K29" s="3"/>
      <c r="L29" s="3" t="n">
        <v>20</v>
      </c>
      <c r="M29" s="3" t="n">
        <v>20</v>
      </c>
      <c r="N29" s="3" t="n">
        <v>0</v>
      </c>
      <c r="O29" s="3" t="n">
        <v>20</v>
      </c>
      <c r="P29" s="3" t="n">
        <v>0</v>
      </c>
      <c r="Q29" s="3" t="n">
        <v>20</v>
      </c>
      <c r="R29" s="5" t="n">
        <f aca="false">IF(N(M29)=0,0,Q29/M29)</f>
        <v>1</v>
      </c>
      <c r="S29" s="6" t="n">
        <v>10</v>
      </c>
      <c r="T29" s="3" t="n">
        <f aca="false">IF(R29="","",IF(R29&gt;=0.8,50,IF(R29&gt;=0.5,30,IF(R29&gt;=0.01,10,0))))</f>
        <v>50</v>
      </c>
      <c r="U29" s="6" t="n">
        <v>5</v>
      </c>
      <c r="V29" s="6" t="n">
        <v>5</v>
      </c>
      <c r="W29" s="6" t="n">
        <v>5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2.5</v>
      </c>
      <c r="AC29" s="6" t="n">
        <v>2.5</v>
      </c>
      <c r="AD29" s="6" t="n">
        <v>2.5</v>
      </c>
      <c r="AE29" s="6" t="n">
        <v>2.5</v>
      </c>
      <c r="AF29" s="6" t="n">
        <v>0</v>
      </c>
      <c r="AG29" s="7" t="n">
        <v>2.5</v>
      </c>
      <c r="AH29" s="8" t="n">
        <f aca="false">IF(COUNT(S29:AG29)=0,"",SUM(S29:AG29))</f>
        <v>87.5</v>
      </c>
      <c r="AI29" s="8"/>
      <c r="AJ29" s="9"/>
      <c r="AK29" s="4"/>
      <c r="AL29" s="3"/>
    </row>
    <row r="30" customFormat="false" ht="44" hidden="false" customHeight="false" outlineLevel="0" collapsed="false">
      <c r="A30" s="3"/>
      <c r="B30" s="3" t="s">
        <v>56</v>
      </c>
      <c r="C30" s="3" t="s">
        <v>39</v>
      </c>
      <c r="D30" s="3" t="s">
        <v>57</v>
      </c>
      <c r="E30" s="3" t="s">
        <v>74</v>
      </c>
      <c r="F30" s="3"/>
      <c r="G30" s="4" t="s">
        <v>75</v>
      </c>
      <c r="H30" s="4" t="s">
        <v>62</v>
      </c>
      <c r="I30" s="3"/>
      <c r="J30" s="3"/>
      <c r="K30" s="3"/>
      <c r="L30" s="3" t="n">
        <v>20</v>
      </c>
      <c r="M30" s="3" t="n">
        <v>20</v>
      </c>
      <c r="N30" s="3" t="n">
        <v>0</v>
      </c>
      <c r="O30" s="3" t="n">
        <v>16</v>
      </c>
      <c r="P30" s="3" t="n">
        <v>4</v>
      </c>
      <c r="Q30" s="3" t="n">
        <v>16</v>
      </c>
      <c r="R30" s="5" t="n">
        <f aca="false">IF(N(M30)=0,0,Q30/M30)</f>
        <v>0.8</v>
      </c>
      <c r="S30" s="6" t="n">
        <v>10</v>
      </c>
      <c r="T30" s="3" t="n">
        <f aca="false">IF(R30="","",IF(R30&gt;=0.8,50,IF(R30&gt;=0.5,30,IF(R30&gt;=0.01,10,0))))</f>
        <v>50</v>
      </c>
      <c r="U30" s="6" t="n">
        <v>5</v>
      </c>
      <c r="V30" s="6" t="n">
        <v>5</v>
      </c>
      <c r="W30" s="6" t="n">
        <v>5</v>
      </c>
      <c r="X30" s="6" t="n">
        <v>2.5</v>
      </c>
      <c r="Y30" s="6" t="n">
        <v>2.5</v>
      </c>
      <c r="Z30" s="6" t="n">
        <v>2.5</v>
      </c>
      <c r="AA30" s="6" t="n">
        <v>2.5</v>
      </c>
      <c r="AB30" s="6" t="n">
        <v>2.5</v>
      </c>
      <c r="AC30" s="6" t="n">
        <v>2.5</v>
      </c>
      <c r="AD30" s="6" t="n">
        <v>2.5</v>
      </c>
      <c r="AE30" s="6" t="n">
        <v>2.5</v>
      </c>
      <c r="AF30" s="6" t="n">
        <v>0</v>
      </c>
      <c r="AG30" s="7" t="n">
        <v>2.5</v>
      </c>
      <c r="AH30" s="8" t="n">
        <f aca="false">IF(COUNT(S30:AG30)=0,"",SUM(S30:AG30))</f>
        <v>97.5</v>
      </c>
      <c r="AI30" s="8"/>
      <c r="AJ30" s="9"/>
      <c r="AK30" s="4"/>
      <c r="AL30" s="3"/>
    </row>
    <row r="31" customFormat="false" ht="44" hidden="false" customHeight="false" outlineLevel="0" collapsed="false">
      <c r="A31" s="3"/>
      <c r="B31" s="3" t="s">
        <v>56</v>
      </c>
      <c r="C31" s="3" t="s">
        <v>39</v>
      </c>
      <c r="D31" s="3" t="s">
        <v>57</v>
      </c>
      <c r="E31" s="3" t="s">
        <v>74</v>
      </c>
      <c r="F31" s="3"/>
      <c r="G31" s="4" t="s">
        <v>75</v>
      </c>
      <c r="H31" s="4" t="s">
        <v>60</v>
      </c>
      <c r="I31" s="3"/>
      <c r="J31" s="3"/>
      <c r="K31" s="3"/>
      <c r="L31" s="3" t="n">
        <v>20</v>
      </c>
      <c r="M31" s="3" t="n">
        <v>20</v>
      </c>
      <c r="N31" s="3" t="n">
        <v>0</v>
      </c>
      <c r="O31" s="3" t="n">
        <v>18</v>
      </c>
      <c r="P31" s="3" t="n">
        <v>2</v>
      </c>
      <c r="Q31" s="3" t="n">
        <v>18</v>
      </c>
      <c r="R31" s="5" t="n">
        <f aca="false">IF(N(M31)=0,0,Q31/M31)</f>
        <v>0.9</v>
      </c>
      <c r="S31" s="6" t="n">
        <v>10</v>
      </c>
      <c r="T31" s="3" t="n">
        <f aca="false">IF(R31="","",IF(R31&gt;=0.8,50,IF(R31&gt;=0.5,30,IF(R31&gt;=0.01,10,0))))</f>
        <v>50</v>
      </c>
      <c r="U31" s="6" t="n">
        <v>0</v>
      </c>
      <c r="V31" s="6" t="n">
        <v>5</v>
      </c>
      <c r="W31" s="6" t="n">
        <v>5</v>
      </c>
      <c r="X31" s="6" t="n">
        <v>1.5</v>
      </c>
      <c r="Y31" s="6" t="n">
        <v>1.5</v>
      </c>
      <c r="Z31" s="6" t="n">
        <v>1</v>
      </c>
      <c r="AA31" s="6" t="n">
        <v>2.5</v>
      </c>
      <c r="AB31" s="6" t="n">
        <v>2.5</v>
      </c>
      <c r="AC31" s="6" t="n">
        <v>2.5</v>
      </c>
      <c r="AD31" s="6" t="n">
        <v>2.5</v>
      </c>
      <c r="AE31" s="6" t="n">
        <v>2.5</v>
      </c>
      <c r="AF31" s="6" t="n">
        <v>0</v>
      </c>
      <c r="AG31" s="7" t="n">
        <v>2.5</v>
      </c>
      <c r="AH31" s="8" t="n">
        <f aca="false">IF(COUNT(S31:AG31)=0,"",SUM(S31:AG31))</f>
        <v>89</v>
      </c>
      <c r="AI31" s="8"/>
      <c r="AJ31" s="9"/>
      <c r="AK31" s="4"/>
      <c r="AL31" s="3"/>
    </row>
    <row r="32" customFormat="false" ht="44" hidden="false" customHeight="false" outlineLevel="0" collapsed="false">
      <c r="A32" s="3"/>
      <c r="B32" s="3" t="s">
        <v>56</v>
      </c>
      <c r="C32" s="3" t="s">
        <v>39</v>
      </c>
      <c r="D32" s="3" t="s">
        <v>57</v>
      </c>
      <c r="E32" s="3" t="s">
        <v>74</v>
      </c>
      <c r="F32" s="3"/>
      <c r="G32" s="4" t="s">
        <v>75</v>
      </c>
      <c r="H32" s="4" t="s">
        <v>77</v>
      </c>
      <c r="I32" s="3"/>
      <c r="J32" s="3"/>
      <c r="K32" s="3"/>
      <c r="L32" s="3" t="n">
        <v>20</v>
      </c>
      <c r="M32" s="3" t="n">
        <v>18</v>
      </c>
      <c r="N32" s="3" t="n">
        <v>2</v>
      </c>
      <c r="O32" s="3" t="n">
        <v>14</v>
      </c>
      <c r="P32" s="3" t="n">
        <v>4</v>
      </c>
      <c r="Q32" s="3" t="n">
        <v>14</v>
      </c>
      <c r="R32" s="5" t="n">
        <f aca="false">IF(N(M32)=0,0,Q32/M32)</f>
        <v>0.777777777777778</v>
      </c>
      <c r="S32" s="6" t="n">
        <v>10</v>
      </c>
      <c r="T32" s="3" t="n">
        <f aca="false">IF(R32="","",IF(R32&gt;=0.8,50,IF(R32&gt;=0.5,30,IF(R32&gt;=0.01,10,0))))</f>
        <v>30</v>
      </c>
      <c r="U32" s="6" t="n">
        <v>5</v>
      </c>
      <c r="V32" s="6" t="n">
        <v>5</v>
      </c>
      <c r="W32" s="6" t="n">
        <v>5</v>
      </c>
      <c r="X32" s="6" t="n">
        <v>2.5</v>
      </c>
      <c r="Y32" s="6" t="n">
        <v>2.5</v>
      </c>
      <c r="Z32" s="6" t="n">
        <v>2.5</v>
      </c>
      <c r="AA32" s="6" t="n">
        <v>2.5</v>
      </c>
      <c r="AB32" s="6" t="n">
        <v>2.5</v>
      </c>
      <c r="AC32" s="6" t="n">
        <v>2.5</v>
      </c>
      <c r="AD32" s="6" t="n">
        <v>2.5</v>
      </c>
      <c r="AE32" s="6" t="n">
        <v>2.5</v>
      </c>
      <c r="AF32" s="6" t="n">
        <v>0</v>
      </c>
      <c r="AG32" s="7" t="n">
        <v>2.5</v>
      </c>
      <c r="AH32" s="8" t="n">
        <f aca="false">IF(COUNT(S32:AG32)=0,"",SUM(S32:AG32))</f>
        <v>77.5</v>
      </c>
      <c r="AI32" s="8"/>
      <c r="AJ32" s="9"/>
      <c r="AK32" s="4"/>
      <c r="AL32" s="3"/>
    </row>
    <row r="33" customFormat="false" ht="44" hidden="false" customHeight="false" outlineLevel="0" collapsed="false">
      <c r="A33" s="3" t="n">
        <v>11</v>
      </c>
      <c r="B33" s="3" t="s">
        <v>56</v>
      </c>
      <c r="C33" s="3" t="s">
        <v>39</v>
      </c>
      <c r="D33" s="3" t="s">
        <v>57</v>
      </c>
      <c r="E33" s="3" t="s">
        <v>78</v>
      </c>
      <c r="F33" s="3"/>
      <c r="G33" s="4" t="s">
        <v>79</v>
      </c>
      <c r="H33" s="4" t="s">
        <v>61</v>
      </c>
      <c r="I33" s="3"/>
      <c r="J33" s="3"/>
      <c r="K33" s="3"/>
      <c r="L33" s="3" t="n">
        <v>20</v>
      </c>
      <c r="M33" s="3" t="n">
        <v>20</v>
      </c>
      <c r="N33" s="3" t="n">
        <v>0</v>
      </c>
      <c r="O33" s="3" t="n">
        <v>15</v>
      </c>
      <c r="P33" s="3" t="n">
        <v>5</v>
      </c>
      <c r="Q33" s="3" t="n">
        <v>15</v>
      </c>
      <c r="R33" s="5" t="n">
        <f aca="false">IF(N(M33)=0,0,Q33/M33)</f>
        <v>0.75</v>
      </c>
      <c r="S33" s="6" t="n">
        <v>0</v>
      </c>
      <c r="T33" s="3" t="n">
        <f aca="false">IF(R33="","",IF(R33&gt;=0.8,50,IF(R33&gt;=0.5,30,IF(R33&gt;=0.01,10,0))))</f>
        <v>30</v>
      </c>
      <c r="U33" s="6" t="n">
        <v>5</v>
      </c>
      <c r="V33" s="6" t="n">
        <v>5</v>
      </c>
      <c r="W33" s="6" t="n">
        <v>5</v>
      </c>
      <c r="X33" s="6" t="n">
        <v>2.5</v>
      </c>
      <c r="Y33" s="6" t="n">
        <v>1.5</v>
      </c>
      <c r="Z33" s="6" t="n">
        <v>1</v>
      </c>
      <c r="AA33" s="6" t="n">
        <v>1</v>
      </c>
      <c r="AB33" s="6" t="n">
        <v>0</v>
      </c>
      <c r="AC33" s="6" t="n">
        <v>2.5</v>
      </c>
      <c r="AD33" s="6" t="n">
        <v>2.5</v>
      </c>
      <c r="AE33" s="6" t="n">
        <v>0</v>
      </c>
      <c r="AF33" s="6" t="n">
        <v>2.5</v>
      </c>
      <c r="AG33" s="7" t="n">
        <v>2.5</v>
      </c>
      <c r="AH33" s="8" t="n">
        <f aca="false">IF(COUNT(S33:AG33)=0,"",SUM(S33:AG33))</f>
        <v>61</v>
      </c>
      <c r="AI33" s="8" t="n">
        <f aca="false">IF(COUNTIF($G$2:G33,G33)=1,IFERROR(AVERAGEIF($G:$G,G33,$AH:$AH),""),"")</f>
        <v>74.3</v>
      </c>
      <c r="AJ33" s="9" t="str">
        <f aca="false">IF(AL33&lt;&gt;"",AL33,IF(AI33="","",IF(AI33&gt;=80,"Excellent",IF(AI33&gt;=70,"Very Good",IF(AI33&gt;=60,"Good",IF(AI33&gt;=50,"Average","Poor"))))))</f>
        <v>Very Good</v>
      </c>
      <c r="AK33" s="4"/>
      <c r="AL33" s="3"/>
    </row>
    <row r="34" customFormat="false" ht="44" hidden="false" customHeight="false" outlineLevel="0" collapsed="false">
      <c r="A34" s="3"/>
      <c r="B34" s="3" t="s">
        <v>56</v>
      </c>
      <c r="C34" s="3" t="s">
        <v>39</v>
      </c>
      <c r="D34" s="3" t="s">
        <v>57</v>
      </c>
      <c r="E34" s="3" t="s">
        <v>78</v>
      </c>
      <c r="F34" s="3"/>
      <c r="G34" s="4" t="s">
        <v>79</v>
      </c>
      <c r="H34" s="4" t="s">
        <v>63</v>
      </c>
      <c r="I34" s="3"/>
      <c r="J34" s="3"/>
      <c r="K34" s="3"/>
      <c r="L34" s="3" t="n">
        <v>20</v>
      </c>
      <c r="M34" s="3" t="n">
        <v>20</v>
      </c>
      <c r="N34" s="3" t="n">
        <v>0</v>
      </c>
      <c r="O34" s="3" t="n">
        <v>20</v>
      </c>
      <c r="P34" s="3" t="n">
        <v>0</v>
      </c>
      <c r="Q34" s="3" t="n">
        <v>20</v>
      </c>
      <c r="R34" s="5" t="n">
        <f aca="false">IF(N(M34)=0,0,Q34/M34)</f>
        <v>1</v>
      </c>
      <c r="S34" s="6" t="n">
        <v>0</v>
      </c>
      <c r="T34" s="3" t="n">
        <f aca="false">IF(R34="","",IF(R34&gt;=0.8,50,IF(R34&gt;=0.5,30,IF(R34&gt;=0.01,10,0))))</f>
        <v>50</v>
      </c>
      <c r="U34" s="6" t="n">
        <v>5</v>
      </c>
      <c r="V34" s="6" t="n">
        <v>5</v>
      </c>
      <c r="W34" s="6" t="n">
        <v>5</v>
      </c>
      <c r="X34" s="6" t="n">
        <v>1.5</v>
      </c>
      <c r="Y34" s="6" t="n">
        <v>1.5</v>
      </c>
      <c r="Z34" s="6" t="n">
        <v>1</v>
      </c>
      <c r="AA34" s="6" t="n">
        <v>1</v>
      </c>
      <c r="AB34" s="6" t="n">
        <v>0</v>
      </c>
      <c r="AC34" s="6" t="n">
        <v>2.5</v>
      </c>
      <c r="AD34" s="6" t="n">
        <v>2.5</v>
      </c>
      <c r="AE34" s="6" t="n">
        <v>0</v>
      </c>
      <c r="AF34" s="6" t="n">
        <v>2.5</v>
      </c>
      <c r="AG34" s="7" t="n">
        <v>2.5</v>
      </c>
      <c r="AH34" s="8" t="n">
        <f aca="false">IF(COUNT(S34:AG34)=0,"",SUM(S34:AG34))</f>
        <v>80</v>
      </c>
      <c r="AI34" s="8"/>
      <c r="AJ34" s="9"/>
      <c r="AK34" s="4"/>
      <c r="AL34" s="3"/>
    </row>
    <row r="35" customFormat="false" ht="44" hidden="false" customHeight="false" outlineLevel="0" collapsed="false">
      <c r="A35" s="3"/>
      <c r="B35" s="3" t="s">
        <v>56</v>
      </c>
      <c r="C35" s="3" t="s">
        <v>39</v>
      </c>
      <c r="D35" s="3" t="s">
        <v>57</v>
      </c>
      <c r="E35" s="3" t="s">
        <v>78</v>
      </c>
      <c r="F35" s="3"/>
      <c r="G35" s="4" t="s">
        <v>79</v>
      </c>
      <c r="H35" s="4" t="s">
        <v>72</v>
      </c>
      <c r="I35" s="3"/>
      <c r="J35" s="3"/>
      <c r="K35" s="3"/>
      <c r="L35" s="3" t="n">
        <v>20</v>
      </c>
      <c r="M35" s="3" t="n">
        <v>20</v>
      </c>
      <c r="N35" s="3" t="n">
        <v>0</v>
      </c>
      <c r="O35" s="3" t="n">
        <v>19</v>
      </c>
      <c r="P35" s="3" t="n">
        <v>1</v>
      </c>
      <c r="Q35" s="3" t="n">
        <v>19</v>
      </c>
      <c r="R35" s="5" t="n">
        <f aca="false">IF(N(M35)=0,0,Q35/M35)</f>
        <v>0.95</v>
      </c>
      <c r="S35" s="6" t="n">
        <v>0</v>
      </c>
      <c r="T35" s="3" t="n">
        <f aca="false">IF(R35="","",IF(R35&gt;=0.8,50,IF(R35&gt;=0.5,30,IF(R35&gt;=0.01,10,0))))</f>
        <v>50</v>
      </c>
      <c r="U35" s="6" t="n">
        <v>5</v>
      </c>
      <c r="V35" s="6" t="n">
        <v>5</v>
      </c>
      <c r="W35" s="6" t="n">
        <v>5</v>
      </c>
      <c r="X35" s="6" t="n">
        <v>2.5</v>
      </c>
      <c r="Y35" s="6" t="n">
        <v>1.5</v>
      </c>
      <c r="Z35" s="6" t="n">
        <v>1</v>
      </c>
      <c r="AA35" s="6" t="n">
        <v>1</v>
      </c>
      <c r="AB35" s="6" t="n">
        <v>0</v>
      </c>
      <c r="AC35" s="6" t="n">
        <v>2.5</v>
      </c>
      <c r="AD35" s="6" t="n">
        <v>0</v>
      </c>
      <c r="AE35" s="6" t="n">
        <v>0</v>
      </c>
      <c r="AF35" s="6" t="n">
        <v>0</v>
      </c>
      <c r="AG35" s="7" t="n">
        <v>2.5</v>
      </c>
      <c r="AH35" s="8" t="n">
        <f aca="false">IF(COUNT(S35:AG35)=0,"",SUM(S35:AG35))</f>
        <v>76</v>
      </c>
      <c r="AI35" s="8"/>
      <c r="AJ35" s="9"/>
      <c r="AK35" s="4"/>
      <c r="AL35" s="3"/>
    </row>
    <row r="36" customFormat="false" ht="44" hidden="false" customHeight="false" outlineLevel="0" collapsed="false">
      <c r="A36" s="3"/>
      <c r="B36" s="3" t="s">
        <v>56</v>
      </c>
      <c r="C36" s="3" t="s">
        <v>39</v>
      </c>
      <c r="D36" s="3" t="s">
        <v>57</v>
      </c>
      <c r="E36" s="3" t="s">
        <v>78</v>
      </c>
      <c r="F36" s="3"/>
      <c r="G36" s="4" t="s">
        <v>79</v>
      </c>
      <c r="H36" s="4" t="s">
        <v>80</v>
      </c>
      <c r="I36" s="3"/>
      <c r="J36" s="3"/>
      <c r="K36" s="3"/>
      <c r="L36" s="3" t="n">
        <v>20</v>
      </c>
      <c r="M36" s="3" t="n">
        <v>20</v>
      </c>
      <c r="N36" s="3" t="n">
        <v>0</v>
      </c>
      <c r="O36" s="3" t="n">
        <v>17</v>
      </c>
      <c r="P36" s="3" t="n">
        <v>3</v>
      </c>
      <c r="Q36" s="3" t="n">
        <v>17</v>
      </c>
      <c r="R36" s="5" t="n">
        <f aca="false">IF(N(M36)=0,0,Q36/M36)</f>
        <v>0.85</v>
      </c>
      <c r="S36" s="6" t="n">
        <v>0</v>
      </c>
      <c r="T36" s="3" t="n">
        <f aca="false">IF(R36="","",IF(R36&gt;=0.8,50,IF(R36&gt;=0.5,30,IF(R36&gt;=0.01,10,0))))</f>
        <v>50</v>
      </c>
      <c r="U36" s="6" t="n">
        <v>5</v>
      </c>
      <c r="V36" s="6" t="n">
        <v>5</v>
      </c>
      <c r="W36" s="6" t="n">
        <v>5</v>
      </c>
      <c r="X36" s="6" t="n">
        <v>2.5</v>
      </c>
      <c r="Y36" s="6" t="n">
        <v>1.5</v>
      </c>
      <c r="Z36" s="6" t="n">
        <v>1</v>
      </c>
      <c r="AA36" s="6" t="n">
        <v>1</v>
      </c>
      <c r="AB36" s="6" t="n">
        <v>0</v>
      </c>
      <c r="AC36" s="6" t="n">
        <v>2.5</v>
      </c>
      <c r="AD36" s="6" t="n">
        <v>0</v>
      </c>
      <c r="AE36" s="6" t="n">
        <v>0</v>
      </c>
      <c r="AF36" s="6" t="n">
        <v>0</v>
      </c>
      <c r="AG36" s="7" t="n">
        <v>2.5</v>
      </c>
      <c r="AH36" s="8" t="n">
        <f aca="false">IF(COUNT(S36:AG36)=0,"",SUM(S36:AG36))</f>
        <v>76</v>
      </c>
      <c r="AI36" s="8"/>
      <c r="AJ36" s="9"/>
      <c r="AK36" s="4"/>
      <c r="AL36" s="3"/>
    </row>
    <row r="37" customFormat="false" ht="44" hidden="false" customHeight="false" outlineLevel="0" collapsed="false">
      <c r="A37" s="3"/>
      <c r="B37" s="3" t="s">
        <v>56</v>
      </c>
      <c r="C37" s="3" t="s">
        <v>39</v>
      </c>
      <c r="D37" s="3" t="s">
        <v>57</v>
      </c>
      <c r="E37" s="3" t="s">
        <v>78</v>
      </c>
      <c r="F37" s="3"/>
      <c r="G37" s="4" t="s">
        <v>79</v>
      </c>
      <c r="H37" s="4" t="s">
        <v>60</v>
      </c>
      <c r="I37" s="3"/>
      <c r="J37" s="3"/>
      <c r="K37" s="3"/>
      <c r="L37" s="3" t="n">
        <v>20</v>
      </c>
      <c r="M37" s="3" t="n">
        <v>20</v>
      </c>
      <c r="N37" s="3" t="n">
        <v>0</v>
      </c>
      <c r="O37" s="3" t="n">
        <v>17</v>
      </c>
      <c r="P37" s="3" t="n">
        <v>3</v>
      </c>
      <c r="Q37" s="3" t="n">
        <v>17</v>
      </c>
      <c r="R37" s="5" t="n">
        <f aca="false">IF(N(M37)=0,0,Q37/M37)</f>
        <v>0.85</v>
      </c>
      <c r="S37" s="6" t="n">
        <v>0</v>
      </c>
      <c r="T37" s="3" t="n">
        <f aca="false">IF(R37="","",IF(R37&gt;=0.8,50,IF(R37&gt;=0.5,30,IF(R37&gt;=0.01,10,0))))</f>
        <v>50</v>
      </c>
      <c r="U37" s="6" t="n">
        <v>5</v>
      </c>
      <c r="V37" s="6" t="n">
        <v>5</v>
      </c>
      <c r="W37" s="6" t="n">
        <v>5</v>
      </c>
      <c r="X37" s="6" t="n">
        <v>2.5</v>
      </c>
      <c r="Y37" s="6" t="n">
        <v>1.5</v>
      </c>
      <c r="Z37" s="6" t="n">
        <v>1</v>
      </c>
      <c r="AA37" s="6" t="n">
        <v>1</v>
      </c>
      <c r="AB37" s="6" t="n">
        <v>0</v>
      </c>
      <c r="AC37" s="6" t="n">
        <v>2.5</v>
      </c>
      <c r="AD37" s="6" t="n">
        <v>2.5</v>
      </c>
      <c r="AE37" s="6" t="n">
        <v>0</v>
      </c>
      <c r="AF37" s="6" t="n">
        <v>0</v>
      </c>
      <c r="AG37" s="7" t="n">
        <v>2.5</v>
      </c>
      <c r="AH37" s="8" t="n">
        <f aca="false">IF(COUNT(S37:AG37)=0,"",SUM(S37:AG37))</f>
        <v>78.5</v>
      </c>
      <c r="AI37" s="8"/>
      <c r="AJ37" s="9"/>
      <c r="AK37" s="4"/>
      <c r="AL37" s="3"/>
    </row>
    <row r="38" customFormat="false" ht="44" hidden="false" customHeight="false" outlineLevel="0" collapsed="false">
      <c r="A38" s="3" t="n">
        <v>12</v>
      </c>
      <c r="B38" s="3" t="s">
        <v>56</v>
      </c>
      <c r="C38" s="3" t="s">
        <v>39</v>
      </c>
      <c r="D38" s="3" t="s">
        <v>57</v>
      </c>
      <c r="E38" s="3" t="s">
        <v>81</v>
      </c>
      <c r="F38" s="3"/>
      <c r="G38" s="4" t="s">
        <v>82</v>
      </c>
      <c r="H38" s="4" t="s">
        <v>83</v>
      </c>
      <c r="I38" s="3"/>
      <c r="J38" s="3"/>
      <c r="K38" s="3"/>
      <c r="L38" s="3" t="n">
        <v>20</v>
      </c>
      <c r="M38" s="3" t="n">
        <v>20</v>
      </c>
      <c r="N38" s="3" t="n">
        <v>0</v>
      </c>
      <c r="O38" s="3" t="n">
        <v>17</v>
      </c>
      <c r="P38" s="3" t="n">
        <v>3</v>
      </c>
      <c r="Q38" s="3" t="n">
        <v>17</v>
      </c>
      <c r="R38" s="5" t="n">
        <f aca="false">IF(N(M38)=0,0,Q38/M38)</f>
        <v>0.85</v>
      </c>
      <c r="S38" s="6" t="n">
        <v>10</v>
      </c>
      <c r="T38" s="3" t="n">
        <f aca="false">IF(R38="","",IF(R38&gt;=0.8,50,IF(R38&gt;=0.5,30,IF(R38&gt;=0.01,10,0))))</f>
        <v>50</v>
      </c>
      <c r="U38" s="6" t="n">
        <v>5</v>
      </c>
      <c r="V38" s="6" t="n">
        <v>5</v>
      </c>
      <c r="W38" s="6" t="n">
        <v>5</v>
      </c>
      <c r="X38" s="6" t="n">
        <v>1.5</v>
      </c>
      <c r="Y38" s="6" t="n">
        <v>1.5</v>
      </c>
      <c r="Z38" s="6" t="n">
        <v>1</v>
      </c>
      <c r="AA38" s="6" t="n">
        <v>1</v>
      </c>
      <c r="AB38" s="6" t="n">
        <v>2.5</v>
      </c>
      <c r="AC38" s="6" t="n">
        <v>2.5</v>
      </c>
      <c r="AD38" s="6" t="n">
        <v>2.5</v>
      </c>
      <c r="AE38" s="6" t="n">
        <v>0</v>
      </c>
      <c r="AF38" s="6" t="n">
        <v>2.5</v>
      </c>
      <c r="AG38" s="7" t="n">
        <v>2.5</v>
      </c>
      <c r="AH38" s="8" t="n">
        <f aca="false">IF(COUNT(S38:AG38)=0,"",SUM(S38:AG38))</f>
        <v>92.5</v>
      </c>
      <c r="AI38" s="8" t="n">
        <f aca="false">IF(COUNTIF($G$2:G38,G38)=1,IFERROR(AVERAGEIF($G:$G,G38,$AH:$AH),""),"")</f>
        <v>90.875</v>
      </c>
      <c r="AJ38" s="9" t="str">
        <f aca="false">IF(AL38&lt;&gt;"",AL38,IF(AI38="","",IF(AI38&gt;=80,"Excellent",IF(AI38&gt;=70,"Very Good",IF(AI38&gt;=60,"Good",IF(AI38&gt;=50,"Average","Poor"))))))</f>
        <v>Excellent</v>
      </c>
      <c r="AK38" s="4"/>
      <c r="AL38" s="3"/>
    </row>
    <row r="39" customFormat="false" ht="44" hidden="false" customHeight="false" outlineLevel="0" collapsed="false">
      <c r="A39" s="3"/>
      <c r="B39" s="3" t="s">
        <v>56</v>
      </c>
      <c r="C39" s="3" t="s">
        <v>39</v>
      </c>
      <c r="D39" s="3" t="s">
        <v>57</v>
      </c>
      <c r="E39" s="3" t="s">
        <v>81</v>
      </c>
      <c r="F39" s="3"/>
      <c r="G39" s="4" t="s">
        <v>82</v>
      </c>
      <c r="H39" s="4" t="s">
        <v>63</v>
      </c>
      <c r="I39" s="3"/>
      <c r="J39" s="3"/>
      <c r="K39" s="3"/>
      <c r="L39" s="3" t="n">
        <v>20</v>
      </c>
      <c r="M39" s="3" t="n">
        <v>20</v>
      </c>
      <c r="N39" s="3" t="n">
        <v>0</v>
      </c>
      <c r="O39" s="3" t="n">
        <v>16</v>
      </c>
      <c r="P39" s="3" t="n">
        <v>4</v>
      </c>
      <c r="Q39" s="3" t="n">
        <v>16</v>
      </c>
      <c r="R39" s="5" t="n">
        <f aca="false">IF(N(M39)=0,0,Q39/M39)</f>
        <v>0.8</v>
      </c>
      <c r="S39" s="6" t="n">
        <v>10</v>
      </c>
      <c r="T39" s="3" t="n">
        <f aca="false">IF(R39="","",IF(R39&gt;=0.8,50,IF(R39&gt;=0.5,30,IF(R39&gt;=0.01,10,0))))</f>
        <v>50</v>
      </c>
      <c r="U39" s="6" t="n">
        <v>5</v>
      </c>
      <c r="V39" s="6" t="n">
        <v>0</v>
      </c>
      <c r="W39" s="6" t="n">
        <v>5</v>
      </c>
      <c r="X39" s="6" t="n">
        <v>2.5</v>
      </c>
      <c r="Y39" s="6" t="n">
        <v>2.5</v>
      </c>
      <c r="Z39" s="6" t="n">
        <v>2.5</v>
      </c>
      <c r="AA39" s="6" t="n">
        <v>1</v>
      </c>
      <c r="AB39" s="6" t="n">
        <v>2.5</v>
      </c>
      <c r="AC39" s="6" t="n">
        <v>2.5</v>
      </c>
      <c r="AD39" s="6" t="n">
        <v>0</v>
      </c>
      <c r="AE39" s="6" t="n">
        <v>0</v>
      </c>
      <c r="AF39" s="6" t="n">
        <v>0</v>
      </c>
      <c r="AG39" s="7" t="n">
        <v>2.5</v>
      </c>
      <c r="AH39" s="8" t="n">
        <f aca="false">IF(COUNT(S39:AG39)=0,"",SUM(S39:AG39))</f>
        <v>86</v>
      </c>
      <c r="AI39" s="8"/>
      <c r="AJ39" s="9"/>
      <c r="AK39" s="4"/>
      <c r="AL39" s="3"/>
    </row>
    <row r="40" customFormat="false" ht="44" hidden="false" customHeight="false" outlineLevel="0" collapsed="false">
      <c r="A40" s="3"/>
      <c r="B40" s="3" t="s">
        <v>56</v>
      </c>
      <c r="C40" s="3" t="s">
        <v>39</v>
      </c>
      <c r="D40" s="3" t="s">
        <v>57</v>
      </c>
      <c r="E40" s="3" t="s">
        <v>81</v>
      </c>
      <c r="F40" s="3"/>
      <c r="G40" s="4" t="s">
        <v>82</v>
      </c>
      <c r="H40" s="4" t="s">
        <v>68</v>
      </c>
      <c r="I40" s="3"/>
      <c r="J40" s="3"/>
      <c r="K40" s="3"/>
      <c r="L40" s="3" t="n">
        <v>20</v>
      </c>
      <c r="M40" s="3" t="n">
        <v>20</v>
      </c>
      <c r="N40" s="3" t="n">
        <v>0</v>
      </c>
      <c r="O40" s="3" t="n">
        <v>18</v>
      </c>
      <c r="P40" s="3" t="n">
        <v>2</v>
      </c>
      <c r="Q40" s="3" t="n">
        <v>18</v>
      </c>
      <c r="R40" s="5" t="n">
        <f aca="false">IF(N(M40)=0,0,Q40/M40)</f>
        <v>0.9</v>
      </c>
      <c r="S40" s="6" t="n">
        <v>10</v>
      </c>
      <c r="T40" s="3" t="n">
        <f aca="false">IF(R40="","",IF(R40&gt;=0.8,50,IF(R40&gt;=0.5,30,IF(R40&gt;=0.01,10,0))))</f>
        <v>50</v>
      </c>
      <c r="U40" s="6" t="n">
        <v>5</v>
      </c>
      <c r="V40" s="6" t="n">
        <v>5</v>
      </c>
      <c r="W40" s="6" t="n">
        <v>5</v>
      </c>
      <c r="X40" s="6" t="n">
        <v>2.5</v>
      </c>
      <c r="Y40" s="6" t="n">
        <v>1.5</v>
      </c>
      <c r="Z40" s="6" t="n">
        <v>2.5</v>
      </c>
      <c r="AA40" s="6" t="n">
        <v>1</v>
      </c>
      <c r="AB40" s="6" t="n">
        <v>2.5</v>
      </c>
      <c r="AC40" s="6" t="n">
        <v>2.5</v>
      </c>
      <c r="AD40" s="6" t="n">
        <v>0</v>
      </c>
      <c r="AE40" s="6" t="n">
        <v>0</v>
      </c>
      <c r="AF40" s="6" t="n">
        <v>0</v>
      </c>
      <c r="AG40" s="7" t="n">
        <v>2.5</v>
      </c>
      <c r="AH40" s="8" t="n">
        <f aca="false">IF(COUNT(S40:AG40)=0,"",SUM(S40:AG40))</f>
        <v>90</v>
      </c>
      <c r="AI40" s="8"/>
      <c r="AJ40" s="9"/>
      <c r="AK40" s="4"/>
      <c r="AL40" s="3"/>
    </row>
    <row r="41" customFormat="false" ht="44" hidden="false" customHeight="false" outlineLevel="0" collapsed="false">
      <c r="A41" s="3"/>
      <c r="B41" s="3" t="s">
        <v>56</v>
      </c>
      <c r="C41" s="3" t="s">
        <v>39</v>
      </c>
      <c r="D41" s="3" t="s">
        <v>57</v>
      </c>
      <c r="E41" s="3" t="s">
        <v>81</v>
      </c>
      <c r="F41" s="3"/>
      <c r="G41" s="4" t="s">
        <v>82</v>
      </c>
      <c r="H41" s="4" t="s">
        <v>62</v>
      </c>
      <c r="I41" s="3"/>
      <c r="J41" s="3"/>
      <c r="K41" s="3"/>
      <c r="L41" s="3" t="n">
        <v>20</v>
      </c>
      <c r="M41" s="3" t="n">
        <v>19</v>
      </c>
      <c r="N41" s="3" t="n">
        <v>1</v>
      </c>
      <c r="O41" s="3" t="n">
        <v>17</v>
      </c>
      <c r="P41" s="3" t="n">
        <v>2</v>
      </c>
      <c r="Q41" s="3" t="n">
        <v>17</v>
      </c>
      <c r="R41" s="5" t="n">
        <f aca="false">IF(N(M41)=0,0,Q41/M41)</f>
        <v>0.894736842105263</v>
      </c>
      <c r="S41" s="6" t="n">
        <v>10</v>
      </c>
      <c r="T41" s="3" t="n">
        <f aca="false">IF(R41="","",IF(R41&gt;=0.8,50,IF(R41&gt;=0.5,30,IF(R41&gt;=0.01,10,0))))</f>
        <v>50</v>
      </c>
      <c r="U41" s="6" t="n">
        <v>5</v>
      </c>
      <c r="V41" s="6" t="n">
        <v>5</v>
      </c>
      <c r="W41" s="6" t="n">
        <v>5</v>
      </c>
      <c r="X41" s="6" t="n">
        <v>1.5</v>
      </c>
      <c r="Y41" s="6" t="n">
        <v>1.5</v>
      </c>
      <c r="Z41" s="6" t="n">
        <v>1</v>
      </c>
      <c r="AA41" s="6" t="n">
        <v>1</v>
      </c>
      <c r="AB41" s="6" t="n">
        <v>2.5</v>
      </c>
      <c r="AC41" s="6" t="n">
        <v>2.5</v>
      </c>
      <c r="AD41" s="6" t="n">
        <v>2.5</v>
      </c>
      <c r="AE41" s="6" t="n">
        <v>2.5</v>
      </c>
      <c r="AF41" s="6" t="n">
        <v>2.5</v>
      </c>
      <c r="AG41" s="7" t="n">
        <v>2.5</v>
      </c>
      <c r="AH41" s="8" t="n">
        <f aca="false">IF(COUNT(S41:AG41)=0,"",SUM(S41:AG41))</f>
        <v>95</v>
      </c>
      <c r="AI41" s="8"/>
      <c r="AJ41" s="9"/>
      <c r="AK41" s="4"/>
      <c r="AL41" s="3"/>
    </row>
    <row r="42" customFormat="false" ht="44" hidden="false" customHeight="false" outlineLevel="0" collapsed="false">
      <c r="A42" s="3" t="n">
        <v>13</v>
      </c>
      <c r="B42" s="3" t="s">
        <v>56</v>
      </c>
      <c r="C42" s="3" t="s">
        <v>39</v>
      </c>
      <c r="D42" s="3" t="s">
        <v>57</v>
      </c>
      <c r="E42" s="3" t="s">
        <v>84</v>
      </c>
      <c r="F42" s="3"/>
      <c r="G42" s="4" t="s">
        <v>85</v>
      </c>
      <c r="H42" s="4" t="s">
        <v>61</v>
      </c>
      <c r="I42" s="3"/>
      <c r="J42" s="3"/>
      <c r="K42" s="3"/>
      <c r="L42" s="3" t="n">
        <v>20</v>
      </c>
      <c r="M42" s="3" t="n">
        <v>20</v>
      </c>
      <c r="N42" s="3" t="n">
        <v>0</v>
      </c>
      <c r="O42" s="3" t="n">
        <v>13</v>
      </c>
      <c r="P42" s="3" t="n">
        <v>7</v>
      </c>
      <c r="Q42" s="3" t="n">
        <v>13</v>
      </c>
      <c r="R42" s="5" t="n">
        <f aca="false">IF(N(M42)=0,0,Q42/M42)</f>
        <v>0.65</v>
      </c>
      <c r="S42" s="6" t="n">
        <v>0</v>
      </c>
      <c r="T42" s="3" t="n">
        <f aca="false">IF(R42="","",IF(R42&gt;=0.8,50,IF(R42&gt;=0.5,30,IF(R42&gt;=0.01,10,0))))</f>
        <v>30</v>
      </c>
      <c r="U42" s="6" t="n">
        <v>0</v>
      </c>
      <c r="V42" s="6" t="n">
        <v>5</v>
      </c>
      <c r="W42" s="6" t="n">
        <v>5</v>
      </c>
      <c r="X42" s="6" t="n">
        <v>2.5</v>
      </c>
      <c r="Y42" s="6" t="n">
        <v>2.5</v>
      </c>
      <c r="Z42" s="6" t="n">
        <v>1</v>
      </c>
      <c r="AA42" s="6" t="n">
        <v>2.5</v>
      </c>
      <c r="AB42" s="6" t="n">
        <v>0</v>
      </c>
      <c r="AC42" s="6" t="n">
        <v>2.5</v>
      </c>
      <c r="AD42" s="6" t="n">
        <v>0</v>
      </c>
      <c r="AE42" s="6" t="n">
        <v>0</v>
      </c>
      <c r="AF42" s="6" t="n">
        <v>2.5</v>
      </c>
      <c r="AG42" s="7" t="n">
        <v>2.5</v>
      </c>
      <c r="AH42" s="8" t="n">
        <f aca="false">IF(COUNT(S42:AG42)=0,"",SUM(S42:AG42))</f>
        <v>56</v>
      </c>
      <c r="AI42" s="8" t="n">
        <f aca="false">IF(COUNTIF($G$2:G42,G42)=1,IFERROR(AVERAGEIF($G:$G,G42,$AH:$AH),""),"")</f>
        <v>69</v>
      </c>
      <c r="AJ42" s="9" t="str">
        <f aca="false">IF(AL42&lt;&gt;"",AL42,IF(AI42="","",IF(AI42&gt;=80,"Excellent",IF(AI42&gt;=70,"Very Good",IF(AI42&gt;=60,"Good",IF(AI42&gt;=50,"Average","Poor"))))))</f>
        <v>Good</v>
      </c>
      <c r="AK42" s="4"/>
      <c r="AL42" s="3"/>
    </row>
    <row r="43" customFormat="false" ht="44" hidden="false" customHeight="false" outlineLevel="0" collapsed="false">
      <c r="A43" s="3"/>
      <c r="B43" s="3" t="s">
        <v>56</v>
      </c>
      <c r="C43" s="3" t="s">
        <v>39</v>
      </c>
      <c r="D43" s="3" t="s">
        <v>57</v>
      </c>
      <c r="E43" s="3" t="s">
        <v>84</v>
      </c>
      <c r="F43" s="3"/>
      <c r="G43" s="4" t="s">
        <v>85</v>
      </c>
      <c r="H43" s="4" t="s">
        <v>67</v>
      </c>
      <c r="I43" s="3"/>
      <c r="J43" s="3"/>
      <c r="K43" s="3"/>
      <c r="L43" s="3" t="n">
        <v>15</v>
      </c>
      <c r="M43" s="3" t="n">
        <v>15</v>
      </c>
      <c r="N43" s="3" t="n">
        <v>0</v>
      </c>
      <c r="O43" s="3" t="n">
        <v>12</v>
      </c>
      <c r="P43" s="3" t="n">
        <v>3</v>
      </c>
      <c r="Q43" s="3" t="n">
        <v>12</v>
      </c>
      <c r="R43" s="5" t="n">
        <f aca="false">IF(N(M43)=0,0,Q43/M43)</f>
        <v>0.8</v>
      </c>
      <c r="S43" s="6" t="n">
        <v>0</v>
      </c>
      <c r="T43" s="3" t="n">
        <f aca="false">IF(R43="","",IF(R43&gt;=0.8,50,IF(R43&gt;=0.5,30,IF(R43&gt;=0.01,10,0))))</f>
        <v>50</v>
      </c>
      <c r="U43" s="6" t="n">
        <v>0</v>
      </c>
      <c r="V43" s="6" t="n">
        <v>5</v>
      </c>
      <c r="W43" s="6" t="n">
        <v>5</v>
      </c>
      <c r="X43" s="6" t="n">
        <v>2.5</v>
      </c>
      <c r="Y43" s="6" t="n">
        <v>2.5</v>
      </c>
      <c r="Z43" s="6" t="n">
        <v>1</v>
      </c>
      <c r="AA43" s="6" t="n">
        <v>1</v>
      </c>
      <c r="AB43" s="6" t="n">
        <v>0</v>
      </c>
      <c r="AC43" s="6" t="n">
        <v>2.5</v>
      </c>
      <c r="AD43" s="6" t="n">
        <v>2.5</v>
      </c>
      <c r="AE43" s="6" t="n">
        <v>2.5</v>
      </c>
      <c r="AF43" s="6" t="n">
        <v>2.5</v>
      </c>
      <c r="AG43" s="7" t="n">
        <v>1</v>
      </c>
      <c r="AH43" s="8" t="n">
        <f aca="false">IF(COUNT(S43:AG43)=0,"",SUM(S43:AG43))</f>
        <v>78</v>
      </c>
      <c r="AI43" s="8"/>
      <c r="AJ43" s="9"/>
      <c r="AK43" s="4"/>
      <c r="AL43" s="3"/>
    </row>
    <row r="44" customFormat="false" ht="44" hidden="false" customHeight="false" outlineLevel="0" collapsed="false">
      <c r="A44" s="3"/>
      <c r="B44" s="3" t="s">
        <v>56</v>
      </c>
      <c r="C44" s="3" t="s">
        <v>39</v>
      </c>
      <c r="D44" s="3" t="s">
        <v>57</v>
      </c>
      <c r="E44" s="3" t="s">
        <v>84</v>
      </c>
      <c r="F44" s="3"/>
      <c r="G44" s="4" t="s">
        <v>85</v>
      </c>
      <c r="H44" s="4" t="s">
        <v>86</v>
      </c>
      <c r="I44" s="3"/>
      <c r="J44" s="3"/>
      <c r="K44" s="3"/>
      <c r="L44" s="3" t="n">
        <v>20</v>
      </c>
      <c r="M44" s="3" t="n">
        <v>20</v>
      </c>
      <c r="N44" s="3" t="n">
        <v>0</v>
      </c>
      <c r="O44" s="3" t="n">
        <v>14</v>
      </c>
      <c r="P44" s="3" t="n">
        <v>6</v>
      </c>
      <c r="Q44" s="3" t="n">
        <v>14</v>
      </c>
      <c r="R44" s="5" t="n">
        <f aca="false">IF(N(M44)=0,0,Q44/M44)</f>
        <v>0.7</v>
      </c>
      <c r="S44" s="6" t="n">
        <v>0</v>
      </c>
      <c r="T44" s="3" t="n">
        <f aca="false">IF(R44="","",IF(R44&gt;=0.8,50,IF(R44&gt;=0.5,30,IF(R44&gt;=0.01,10,0))))</f>
        <v>30</v>
      </c>
      <c r="U44" s="6" t="n">
        <v>0</v>
      </c>
      <c r="V44" s="6" t="n">
        <v>5</v>
      </c>
      <c r="W44" s="6" t="n">
        <v>5</v>
      </c>
      <c r="X44" s="6" t="n">
        <v>2.5</v>
      </c>
      <c r="Y44" s="6" t="n">
        <v>2.5</v>
      </c>
      <c r="Z44" s="6" t="n">
        <v>1</v>
      </c>
      <c r="AA44" s="6" t="n">
        <v>1</v>
      </c>
      <c r="AB44" s="6" t="n">
        <v>0</v>
      </c>
      <c r="AC44" s="6" t="n">
        <v>2.5</v>
      </c>
      <c r="AD44" s="6" t="n">
        <v>2.5</v>
      </c>
      <c r="AE44" s="6" t="n">
        <v>2.5</v>
      </c>
      <c r="AF44" s="6" t="n">
        <v>2.5</v>
      </c>
      <c r="AG44" s="7" t="n">
        <v>2.5</v>
      </c>
      <c r="AH44" s="8" t="n">
        <f aca="false">IF(COUNT(S44:AG44)=0,"",SUM(S44:AG44))</f>
        <v>59.5</v>
      </c>
      <c r="AI44" s="8"/>
      <c r="AJ44" s="9"/>
      <c r="AK44" s="4"/>
      <c r="AL44" s="3"/>
    </row>
    <row r="45" customFormat="false" ht="44" hidden="false" customHeight="false" outlineLevel="0" collapsed="false">
      <c r="A45" s="3"/>
      <c r="B45" s="3" t="s">
        <v>56</v>
      </c>
      <c r="C45" s="3" t="s">
        <v>39</v>
      </c>
      <c r="D45" s="3" t="s">
        <v>57</v>
      </c>
      <c r="E45" s="3" t="s">
        <v>84</v>
      </c>
      <c r="F45" s="3"/>
      <c r="G45" s="4" t="s">
        <v>85</v>
      </c>
      <c r="H45" s="4" t="s">
        <v>63</v>
      </c>
      <c r="I45" s="3"/>
      <c r="J45" s="3"/>
      <c r="K45" s="3"/>
      <c r="L45" s="3" t="n">
        <v>40</v>
      </c>
      <c r="M45" s="3" t="n">
        <v>40</v>
      </c>
      <c r="N45" s="3" t="n">
        <v>0</v>
      </c>
      <c r="O45" s="3" t="n">
        <v>35</v>
      </c>
      <c r="P45" s="3" t="n">
        <v>5</v>
      </c>
      <c r="Q45" s="3" t="n">
        <v>35</v>
      </c>
      <c r="R45" s="5" t="n">
        <f aca="false">IF(N(M45)=0,0,Q45/M45)</f>
        <v>0.875</v>
      </c>
      <c r="S45" s="6" t="n">
        <v>0</v>
      </c>
      <c r="T45" s="3" t="n">
        <f aca="false">IF(R45="","",IF(R45&gt;=0.8,50,IF(R45&gt;=0.5,30,IF(R45&gt;=0.01,10,0))))</f>
        <v>50</v>
      </c>
      <c r="U45" s="6" t="n">
        <v>5</v>
      </c>
      <c r="V45" s="6" t="n">
        <v>5</v>
      </c>
      <c r="W45" s="6" t="n">
        <v>5</v>
      </c>
      <c r="X45" s="6" t="n">
        <v>2.5</v>
      </c>
      <c r="Y45" s="6" t="n">
        <v>2.5</v>
      </c>
      <c r="Z45" s="6" t="n">
        <v>1</v>
      </c>
      <c r="AA45" s="6" t="n">
        <v>2.5</v>
      </c>
      <c r="AB45" s="6" t="n">
        <v>0</v>
      </c>
      <c r="AC45" s="6" t="n">
        <v>2.5</v>
      </c>
      <c r="AD45" s="6" t="n">
        <v>2.5</v>
      </c>
      <c r="AE45" s="6" t="n">
        <v>0</v>
      </c>
      <c r="AF45" s="6" t="n">
        <v>0</v>
      </c>
      <c r="AG45" s="7" t="n">
        <v>2.5</v>
      </c>
      <c r="AH45" s="8" t="n">
        <f aca="false">IF(COUNT(S45:AG45)=0,"",SUM(S45:AG45))</f>
        <v>81</v>
      </c>
      <c r="AI45" s="8"/>
      <c r="AJ45" s="9"/>
      <c r="AK45" s="4"/>
      <c r="AL45" s="3"/>
    </row>
    <row r="46" customFormat="false" ht="44" hidden="false" customHeight="false" outlineLevel="0" collapsed="false">
      <c r="A46" s="3"/>
      <c r="B46" s="3" t="s">
        <v>56</v>
      </c>
      <c r="C46" s="3" t="s">
        <v>39</v>
      </c>
      <c r="D46" s="3" t="s">
        <v>57</v>
      </c>
      <c r="E46" s="3" t="s">
        <v>84</v>
      </c>
      <c r="F46" s="3"/>
      <c r="G46" s="4" t="s">
        <v>85</v>
      </c>
      <c r="H46" s="4" t="s">
        <v>73</v>
      </c>
      <c r="I46" s="3"/>
      <c r="J46" s="3"/>
      <c r="K46" s="3"/>
      <c r="L46" s="3" t="n">
        <v>20</v>
      </c>
      <c r="M46" s="3" t="n">
        <v>20</v>
      </c>
      <c r="N46" s="3" t="n">
        <v>0</v>
      </c>
      <c r="O46" s="3" t="n">
        <v>17</v>
      </c>
      <c r="P46" s="3" t="n">
        <v>3</v>
      </c>
      <c r="Q46" s="3" t="n">
        <v>17</v>
      </c>
      <c r="R46" s="5" t="n">
        <f aca="false">IF(N(M46)=0,0,Q46/M46)</f>
        <v>0.85</v>
      </c>
      <c r="S46" s="6" t="n">
        <v>0</v>
      </c>
      <c r="T46" s="3" t="n">
        <f aca="false">IF(R46="","",IF(R46&gt;=0.8,50,IF(R46&gt;=0.5,30,IF(R46&gt;=0.01,10,0))))</f>
        <v>50</v>
      </c>
      <c r="U46" s="6" t="n">
        <v>5</v>
      </c>
      <c r="V46" s="6" t="n">
        <v>5</v>
      </c>
      <c r="W46" s="6" t="n">
        <v>5</v>
      </c>
      <c r="X46" s="6" t="n">
        <v>2.5</v>
      </c>
      <c r="Y46" s="6" t="n">
        <v>2.5</v>
      </c>
      <c r="Z46" s="6" t="n">
        <v>1</v>
      </c>
      <c r="AA46" s="6" t="n">
        <v>1</v>
      </c>
      <c r="AB46" s="6" t="n">
        <v>0</v>
      </c>
      <c r="AC46" s="6" t="n">
        <v>2.5</v>
      </c>
      <c r="AD46" s="6" t="n">
        <v>2.5</v>
      </c>
      <c r="AE46" s="6" t="n">
        <v>0</v>
      </c>
      <c r="AF46" s="6" t="n">
        <v>0</v>
      </c>
      <c r="AG46" s="7" t="n">
        <v>2.5</v>
      </c>
      <c r="AH46" s="8" t="n">
        <f aca="false">IF(COUNT(S46:AG46)=0,"",SUM(S46:AG46))</f>
        <v>79.5</v>
      </c>
      <c r="AI46" s="8"/>
      <c r="AJ46" s="9"/>
      <c r="AK46" s="4"/>
      <c r="AL46" s="3"/>
    </row>
    <row r="47" customFormat="false" ht="44" hidden="false" customHeight="false" outlineLevel="0" collapsed="false">
      <c r="A47" s="3"/>
      <c r="B47" s="3" t="s">
        <v>56</v>
      </c>
      <c r="C47" s="3" t="s">
        <v>39</v>
      </c>
      <c r="D47" s="3" t="s">
        <v>57</v>
      </c>
      <c r="E47" s="3" t="s">
        <v>84</v>
      </c>
      <c r="F47" s="3"/>
      <c r="G47" s="4" t="s">
        <v>85</v>
      </c>
      <c r="H47" s="4" t="s">
        <v>60</v>
      </c>
      <c r="I47" s="3"/>
      <c r="J47" s="3"/>
      <c r="K47" s="3"/>
      <c r="L47" s="3" t="n">
        <v>20</v>
      </c>
      <c r="M47" s="3" t="n">
        <v>20</v>
      </c>
      <c r="N47" s="3" t="n">
        <v>0</v>
      </c>
      <c r="O47" s="3" t="n">
        <v>18</v>
      </c>
      <c r="P47" s="3" t="n">
        <v>2</v>
      </c>
      <c r="Q47" s="3" t="n">
        <v>18</v>
      </c>
      <c r="R47" s="5" t="n">
        <f aca="false">IF(N(M47)=0,0,Q47/M47)</f>
        <v>0.9</v>
      </c>
      <c r="S47" s="6" t="n">
        <v>0</v>
      </c>
      <c r="T47" s="3" t="n">
        <f aca="false">IF(R47="","",IF(R47&gt;=0.8,50,IF(R47&gt;=0.5,30,IF(R47&gt;=0.01,10,0))))</f>
        <v>50</v>
      </c>
      <c r="U47" s="6" t="n">
        <v>5</v>
      </c>
      <c r="V47" s="6" t="n">
        <v>0</v>
      </c>
      <c r="W47" s="6" t="n">
        <v>5</v>
      </c>
      <c r="X47" s="6" t="n">
        <v>2.5</v>
      </c>
      <c r="Y47" s="6" t="n">
        <v>2.5</v>
      </c>
      <c r="Z47" s="6" t="n">
        <v>1</v>
      </c>
      <c r="AA47" s="6" t="n">
        <v>1</v>
      </c>
      <c r="AB47" s="6" t="n">
        <v>0</v>
      </c>
      <c r="AC47" s="6" t="n">
        <v>2.5</v>
      </c>
      <c r="AD47" s="6" t="n">
        <v>0</v>
      </c>
      <c r="AE47" s="6" t="n">
        <v>0</v>
      </c>
      <c r="AF47" s="6" t="n">
        <v>0</v>
      </c>
      <c r="AG47" s="7" t="n">
        <v>2.5</v>
      </c>
      <c r="AH47" s="8" t="n">
        <f aca="false">IF(COUNT(S47:AG47)=0,"",SUM(S47:AG47))</f>
        <v>72</v>
      </c>
      <c r="AI47" s="8"/>
      <c r="AJ47" s="9"/>
      <c r="AK47" s="4"/>
      <c r="AL47" s="3"/>
    </row>
    <row r="48" customFormat="false" ht="44" hidden="false" customHeight="false" outlineLevel="0" collapsed="false">
      <c r="A48" s="3"/>
      <c r="B48" s="3" t="s">
        <v>56</v>
      </c>
      <c r="C48" s="3" t="s">
        <v>39</v>
      </c>
      <c r="D48" s="3" t="s">
        <v>57</v>
      </c>
      <c r="E48" s="3" t="s">
        <v>84</v>
      </c>
      <c r="F48" s="3"/>
      <c r="G48" s="4" t="s">
        <v>85</v>
      </c>
      <c r="H48" s="4" t="s">
        <v>68</v>
      </c>
      <c r="I48" s="3"/>
      <c r="J48" s="3"/>
      <c r="K48" s="3"/>
      <c r="L48" s="3" t="n">
        <v>20</v>
      </c>
      <c r="M48" s="3" t="n">
        <v>20</v>
      </c>
      <c r="N48" s="3" t="n">
        <v>0</v>
      </c>
      <c r="O48" s="3" t="n">
        <v>15</v>
      </c>
      <c r="P48" s="3" t="n">
        <v>5</v>
      </c>
      <c r="Q48" s="3" t="n">
        <v>15</v>
      </c>
      <c r="R48" s="5" t="n">
        <f aca="false">IF(N(M48)=0,0,Q48/M48)</f>
        <v>0.75</v>
      </c>
      <c r="S48" s="6" t="n">
        <v>0</v>
      </c>
      <c r="T48" s="3" t="n">
        <f aca="false">IF(R48="","",IF(R48&gt;=0.8,50,IF(R48&gt;=0.5,30,IF(R48&gt;=0.01,10,0))))</f>
        <v>30</v>
      </c>
      <c r="U48" s="6" t="n">
        <v>5</v>
      </c>
      <c r="V48" s="6" t="n">
        <v>0</v>
      </c>
      <c r="W48" s="6" t="n">
        <v>5</v>
      </c>
      <c r="X48" s="6" t="n">
        <v>2.5</v>
      </c>
      <c r="Y48" s="6" t="n">
        <v>2.5</v>
      </c>
      <c r="Z48" s="6" t="n">
        <v>1</v>
      </c>
      <c r="AA48" s="6" t="n">
        <v>2.5</v>
      </c>
      <c r="AB48" s="6" t="n">
        <v>0</v>
      </c>
      <c r="AC48" s="6" t="n">
        <v>2.5</v>
      </c>
      <c r="AD48" s="6" t="n">
        <v>2.5</v>
      </c>
      <c r="AE48" s="6" t="n">
        <v>0</v>
      </c>
      <c r="AF48" s="6" t="n">
        <v>2.5</v>
      </c>
      <c r="AG48" s="7" t="n">
        <v>1</v>
      </c>
      <c r="AH48" s="8" t="n">
        <f aca="false">IF(COUNT(S48:AG48)=0,"",SUM(S48:AG48))</f>
        <v>57</v>
      </c>
      <c r="AI48" s="8"/>
      <c r="AJ48" s="9"/>
      <c r="AK48" s="4"/>
      <c r="AL48" s="3"/>
    </row>
    <row r="49" customFormat="false" ht="44" hidden="false" customHeight="false" outlineLevel="0" collapsed="false">
      <c r="A49" s="3" t="n">
        <v>14</v>
      </c>
      <c r="B49" s="3" t="s">
        <v>56</v>
      </c>
      <c r="C49" s="3" t="s">
        <v>39</v>
      </c>
      <c r="D49" s="3" t="s">
        <v>87</v>
      </c>
      <c r="E49" s="3" t="s">
        <v>88</v>
      </c>
      <c r="F49" s="3"/>
      <c r="G49" s="4" t="s">
        <v>89</v>
      </c>
      <c r="H49" s="4" t="s">
        <v>90</v>
      </c>
      <c r="I49" s="3"/>
      <c r="J49" s="3"/>
      <c r="K49" s="3"/>
      <c r="L49" s="3" t="n">
        <v>20</v>
      </c>
      <c r="M49" s="3" t="n">
        <v>20</v>
      </c>
      <c r="N49" s="3" t="n">
        <v>0</v>
      </c>
      <c r="O49" s="3" t="n">
        <v>17</v>
      </c>
      <c r="P49" s="3" t="n">
        <v>3</v>
      </c>
      <c r="Q49" s="3" t="n">
        <v>17</v>
      </c>
      <c r="R49" s="5" t="n">
        <f aca="false">IF(N(M49)=0,0,Q49/M49)</f>
        <v>0.85</v>
      </c>
      <c r="S49" s="6" t="n">
        <v>10</v>
      </c>
      <c r="T49" s="3" t="n">
        <f aca="false">IF(R49="","",IF(R49&gt;=0.8,50,IF(R49&gt;=0.5,30,IF(R49&gt;=0.01,10,0))))</f>
        <v>50</v>
      </c>
      <c r="U49" s="6" t="n">
        <v>5</v>
      </c>
      <c r="V49" s="6" t="n">
        <v>0</v>
      </c>
      <c r="W49" s="6" t="n">
        <v>5</v>
      </c>
      <c r="X49" s="6" t="n">
        <v>2.5</v>
      </c>
      <c r="Y49" s="6" t="n">
        <v>2.5</v>
      </c>
      <c r="Z49" s="6" t="n">
        <v>1</v>
      </c>
      <c r="AA49" s="6" t="n">
        <v>2.5</v>
      </c>
      <c r="AB49" s="6" t="n">
        <v>2.5</v>
      </c>
      <c r="AC49" s="6" t="n">
        <v>2.5</v>
      </c>
      <c r="AD49" s="6" t="n">
        <v>2.5</v>
      </c>
      <c r="AE49" s="6" t="n">
        <v>2.5</v>
      </c>
      <c r="AF49" s="6" t="n">
        <v>0</v>
      </c>
      <c r="AG49" s="7" t="n">
        <v>2.5</v>
      </c>
      <c r="AH49" s="8" t="n">
        <f aca="false">IF(COUNT(S49:AG49)=0,"",SUM(S49:AG49))</f>
        <v>91</v>
      </c>
      <c r="AI49" s="8" t="n">
        <f aca="false">IF(COUNTIF($G$2:G49,G49)=1,IFERROR(AVERAGEIF($G:$G,G49,$AH:$AH),""),"")</f>
        <v>91</v>
      </c>
      <c r="AJ49" s="9" t="str">
        <f aca="false">IF(AL49&lt;&gt;"",AL49,IF(AI49="","",IF(AI49&gt;=80,"Excellent",IF(AI49&gt;=70,"Very Good",IF(AI49&gt;=60,"Good",IF(AI49&gt;=50,"Average","Poor"))))))</f>
        <v>Excellent</v>
      </c>
      <c r="AK49" s="4"/>
      <c r="AL49" s="3"/>
    </row>
    <row r="50" customFormat="false" ht="44" hidden="false" customHeight="false" outlineLevel="0" collapsed="false">
      <c r="A50" s="3" t="n">
        <v>15</v>
      </c>
      <c r="B50" s="3" t="s">
        <v>56</v>
      </c>
      <c r="C50" s="3" t="s">
        <v>39</v>
      </c>
      <c r="D50" s="3" t="s">
        <v>87</v>
      </c>
      <c r="E50" s="3" t="s">
        <v>88</v>
      </c>
      <c r="F50" s="3"/>
      <c r="G50" s="4" t="s">
        <v>91</v>
      </c>
      <c r="H50" s="4" t="s">
        <v>92</v>
      </c>
      <c r="I50" s="3"/>
      <c r="J50" s="3"/>
      <c r="K50" s="3"/>
      <c r="L50" s="3" t="n">
        <v>20</v>
      </c>
      <c r="M50" s="3" t="n">
        <v>20</v>
      </c>
      <c r="N50" s="3" t="n">
        <v>0</v>
      </c>
      <c r="O50" s="3" t="n">
        <v>16</v>
      </c>
      <c r="P50" s="3" t="n">
        <v>4</v>
      </c>
      <c r="Q50" s="3" t="n">
        <v>16</v>
      </c>
      <c r="R50" s="5" t="n">
        <f aca="false">IF(N(M50)=0,0,Q50/M50)</f>
        <v>0.8</v>
      </c>
      <c r="S50" s="6" t="n">
        <v>10</v>
      </c>
      <c r="T50" s="3" t="n">
        <f aca="false">IF(R50="","",IF(R50&gt;=0.8,50,IF(R50&gt;=0.5,30,IF(R50&gt;=0.01,10,0))))</f>
        <v>50</v>
      </c>
      <c r="U50" s="6" t="n">
        <v>5</v>
      </c>
      <c r="V50" s="6" t="n">
        <v>5</v>
      </c>
      <c r="W50" s="6" t="n">
        <v>5</v>
      </c>
      <c r="X50" s="6" t="n">
        <v>2.5</v>
      </c>
      <c r="Y50" s="6" t="n">
        <v>2.5</v>
      </c>
      <c r="Z50" s="6" t="n">
        <v>2.5</v>
      </c>
      <c r="AA50" s="6" t="n">
        <v>2.5</v>
      </c>
      <c r="AB50" s="6" t="n">
        <v>2.5</v>
      </c>
      <c r="AC50" s="6" t="n">
        <v>0</v>
      </c>
      <c r="AD50" s="6" t="n">
        <v>2.5</v>
      </c>
      <c r="AE50" s="6" t="n">
        <v>2.5</v>
      </c>
      <c r="AF50" s="6" t="n">
        <v>0</v>
      </c>
      <c r="AG50" s="7" t="n">
        <v>2.5</v>
      </c>
      <c r="AH50" s="8" t="n">
        <f aca="false">IF(COUNT(S50:AG50)=0,"",SUM(S50:AG50))</f>
        <v>95</v>
      </c>
      <c r="AI50" s="8" t="n">
        <f aca="false">IF(COUNTIF($G$2:G50,G50)=1,IFERROR(AVERAGEIF($G:$G,G50,$AH:$AH),""),"")</f>
        <v>95</v>
      </c>
      <c r="AJ50" s="9" t="str">
        <f aca="false">IF(AL50&lt;&gt;"",AL50,IF(AI50="","",IF(AI50&gt;=80,"Excellent",IF(AI50&gt;=70,"Very Good",IF(AI50&gt;=60,"Good",IF(AI50&gt;=50,"Average","Poor"))))))</f>
        <v>Excellent</v>
      </c>
      <c r="AK50" s="4"/>
      <c r="AL50" s="3"/>
    </row>
    <row r="51" customFormat="false" ht="44" hidden="false" customHeight="false" outlineLevel="0" collapsed="false">
      <c r="A51" s="3" t="n">
        <v>16</v>
      </c>
      <c r="B51" s="3" t="s">
        <v>56</v>
      </c>
      <c r="C51" s="3" t="s">
        <v>39</v>
      </c>
      <c r="D51" s="3" t="s">
        <v>87</v>
      </c>
      <c r="E51" s="3" t="s">
        <v>93</v>
      </c>
      <c r="F51" s="3"/>
      <c r="G51" s="4" t="s">
        <v>94</v>
      </c>
      <c r="H51" s="4" t="s">
        <v>95</v>
      </c>
      <c r="I51" s="3"/>
      <c r="J51" s="3"/>
      <c r="K51" s="3"/>
      <c r="L51" s="3" t="n">
        <v>10</v>
      </c>
      <c r="M51" s="3" t="n">
        <v>10</v>
      </c>
      <c r="N51" s="3" t="n">
        <v>0</v>
      </c>
      <c r="O51" s="3" t="n">
        <v>9</v>
      </c>
      <c r="P51" s="3" t="n">
        <v>1</v>
      </c>
      <c r="Q51" s="3" t="n">
        <v>9</v>
      </c>
      <c r="R51" s="5" t="n">
        <f aca="false">IF(N(M51)=0,0,Q51/M51)</f>
        <v>0.9</v>
      </c>
      <c r="S51" s="6" t="n">
        <v>10</v>
      </c>
      <c r="T51" s="3" t="n">
        <f aca="false">IF(R51="","",IF(R51&gt;=0.8,50,IF(R51&gt;=0.5,30,IF(R51&gt;=0.01,10,0))))</f>
        <v>50</v>
      </c>
      <c r="U51" s="6" t="n">
        <v>5</v>
      </c>
      <c r="V51" s="6" t="n">
        <v>5</v>
      </c>
      <c r="W51" s="6" t="n">
        <v>5</v>
      </c>
      <c r="X51" s="6" t="n">
        <v>2.5</v>
      </c>
      <c r="Y51" s="6" t="n">
        <v>2.5</v>
      </c>
      <c r="Z51" s="6" t="n">
        <v>2.5</v>
      </c>
      <c r="AA51" s="6" t="n">
        <v>2.5</v>
      </c>
      <c r="AB51" s="6" t="n">
        <v>2.5</v>
      </c>
      <c r="AC51" s="6" t="n">
        <v>2.5</v>
      </c>
      <c r="AD51" s="6" t="n">
        <v>2.5</v>
      </c>
      <c r="AE51" s="6" t="n">
        <v>2.5</v>
      </c>
      <c r="AF51" s="6" t="n">
        <v>0</v>
      </c>
      <c r="AG51" s="7" t="n">
        <v>2.5</v>
      </c>
      <c r="AH51" s="8" t="n">
        <f aca="false">IF(COUNT(S51:AG51)=0,"",SUM(S51:AG51))</f>
        <v>97.5</v>
      </c>
      <c r="AI51" s="8" t="n">
        <f aca="false">IF(COUNTIF($G$2:G51,G51)=1,IFERROR(AVERAGEIF($G:$G,G51,$AH:$AH),""),"")</f>
        <v>97.5</v>
      </c>
      <c r="AJ51" s="9" t="str">
        <f aca="false">IF(AL51&lt;&gt;"",AL51,IF(AI51="","",IF(AI51&gt;=80,"Excellent",IF(AI51&gt;=70,"Very Good",IF(AI51&gt;=60,"Good",IF(AI51&gt;=50,"Average","Poor"))))))</f>
        <v>Excellent</v>
      </c>
      <c r="AK51" s="4"/>
      <c r="AL51" s="3"/>
    </row>
    <row r="52" customFormat="false" ht="44" hidden="false" customHeight="false" outlineLevel="0" collapsed="false">
      <c r="A52" s="3" t="n">
        <v>17</v>
      </c>
      <c r="B52" s="3" t="s">
        <v>56</v>
      </c>
      <c r="C52" s="3" t="s">
        <v>39</v>
      </c>
      <c r="D52" s="3" t="s">
        <v>87</v>
      </c>
      <c r="E52" s="3" t="s">
        <v>93</v>
      </c>
      <c r="F52" s="3"/>
      <c r="G52" s="4" t="s">
        <v>96</v>
      </c>
      <c r="H52" s="4" t="s">
        <v>97</v>
      </c>
      <c r="I52" s="3"/>
      <c r="J52" s="3"/>
      <c r="K52" s="3"/>
      <c r="L52" s="3" t="n">
        <v>40</v>
      </c>
      <c r="M52" s="3" t="n">
        <v>40</v>
      </c>
      <c r="N52" s="3" t="n">
        <v>0</v>
      </c>
      <c r="O52" s="3" t="n">
        <v>39</v>
      </c>
      <c r="P52" s="3" t="n">
        <v>1</v>
      </c>
      <c r="Q52" s="3" t="n">
        <v>39</v>
      </c>
      <c r="R52" s="5" t="n">
        <f aca="false">IF(N(M52)=0,0,Q52/M52)</f>
        <v>0.975</v>
      </c>
      <c r="S52" s="6" t="n">
        <v>10</v>
      </c>
      <c r="T52" s="3" t="n">
        <f aca="false">IF(R52="","",IF(R52&gt;=0.8,50,IF(R52&gt;=0.5,30,IF(R52&gt;=0.01,10,0))))</f>
        <v>50</v>
      </c>
      <c r="U52" s="6" t="n">
        <v>5</v>
      </c>
      <c r="V52" s="6" t="n">
        <v>0</v>
      </c>
      <c r="W52" s="6" t="n">
        <v>5</v>
      </c>
      <c r="X52" s="6" t="n">
        <v>2.5</v>
      </c>
      <c r="Y52" s="6" t="n">
        <v>2.5</v>
      </c>
      <c r="Z52" s="6" t="n">
        <v>2.5</v>
      </c>
      <c r="AA52" s="6" t="n">
        <v>2.5</v>
      </c>
      <c r="AB52" s="6" t="n">
        <v>2.5</v>
      </c>
      <c r="AC52" s="6" t="n">
        <v>0</v>
      </c>
      <c r="AD52" s="6" t="n">
        <v>2.5</v>
      </c>
      <c r="AE52" s="6" t="n">
        <v>2.5</v>
      </c>
      <c r="AF52" s="6" t="n">
        <v>2.5</v>
      </c>
      <c r="AG52" s="7" t="n">
        <v>2.5</v>
      </c>
      <c r="AH52" s="8" t="n">
        <f aca="false">IF(COUNT(S52:AG52)=0,"",SUM(S52:AG52))</f>
        <v>92.5</v>
      </c>
      <c r="AI52" s="8" t="n">
        <f aca="false">IF(COUNTIF($G$2:G52,G52)=1,IFERROR(AVERAGEIF($G:$G,G52,$AH:$AH),""),"")</f>
        <v>92.5</v>
      </c>
      <c r="AJ52" s="9" t="str">
        <f aca="false">IF(AL52&lt;&gt;"",AL52,IF(AI52="","",IF(AI52&gt;=80,"Excellent",IF(AI52&gt;=70,"Very Good",IF(AI52&gt;=60,"Good",IF(AI52&gt;=50,"Average","Poor"))))))</f>
        <v>Excellent</v>
      </c>
      <c r="AK52" s="4"/>
      <c r="AL52" s="3"/>
    </row>
    <row r="53" customFormat="false" ht="44" hidden="false" customHeight="false" outlineLevel="0" collapsed="false">
      <c r="A53" s="3" t="n">
        <v>18</v>
      </c>
      <c r="B53" s="3" t="s">
        <v>56</v>
      </c>
      <c r="C53" s="3" t="s">
        <v>39</v>
      </c>
      <c r="D53" s="3" t="s">
        <v>87</v>
      </c>
      <c r="E53" s="3" t="s">
        <v>93</v>
      </c>
      <c r="F53" s="3"/>
      <c r="G53" s="4" t="s">
        <v>98</v>
      </c>
      <c r="H53" s="4" t="s">
        <v>49</v>
      </c>
      <c r="I53" s="3"/>
      <c r="J53" s="3"/>
      <c r="K53" s="3"/>
      <c r="L53" s="3" t="n">
        <v>10</v>
      </c>
      <c r="M53" s="3" t="n">
        <v>10</v>
      </c>
      <c r="N53" s="3" t="n">
        <v>0</v>
      </c>
      <c r="O53" s="3" t="n">
        <v>10</v>
      </c>
      <c r="P53" s="3" t="n">
        <v>0</v>
      </c>
      <c r="Q53" s="3" t="n">
        <v>10</v>
      </c>
      <c r="R53" s="5" t="n">
        <f aca="false">IF(N(M53)=0,0,Q53/M53)</f>
        <v>1</v>
      </c>
      <c r="S53" s="6" t="n">
        <v>10</v>
      </c>
      <c r="T53" s="3" t="n">
        <f aca="false">IF(R53="","",IF(R53&gt;=0.8,50,IF(R53&gt;=0.5,30,IF(R53&gt;=0.01,10,0))))</f>
        <v>50</v>
      </c>
      <c r="U53" s="6" t="n">
        <v>5</v>
      </c>
      <c r="V53" s="6" t="n">
        <v>5</v>
      </c>
      <c r="W53" s="6" t="n">
        <v>5</v>
      </c>
      <c r="X53" s="6" t="n">
        <v>2.5</v>
      </c>
      <c r="Y53" s="6" t="n">
        <v>2.5</v>
      </c>
      <c r="Z53" s="6" t="n">
        <v>2.5</v>
      </c>
      <c r="AA53" s="6" t="n">
        <v>1</v>
      </c>
      <c r="AB53" s="6" t="n">
        <v>2.5</v>
      </c>
      <c r="AC53" s="6" t="n">
        <v>0</v>
      </c>
      <c r="AD53" s="6" t="n">
        <v>2.5</v>
      </c>
      <c r="AE53" s="6" t="n">
        <v>2.5</v>
      </c>
      <c r="AF53" s="6" t="n">
        <v>2.5</v>
      </c>
      <c r="AG53" s="7" t="n">
        <v>2.5</v>
      </c>
      <c r="AH53" s="8" t="n">
        <f aca="false">IF(COUNT(S53:AG53)=0,"",SUM(S53:AG53))</f>
        <v>96</v>
      </c>
      <c r="AI53" s="8" t="n">
        <f aca="false">IF(COUNTIF($G$2:G53,G53)=1,IFERROR(AVERAGEIF($G:$G,G53,$AH:$AH),""),"")</f>
        <v>96</v>
      </c>
      <c r="AJ53" s="9" t="str">
        <f aca="false">IF(AL53&lt;&gt;"",AL53,IF(AI53="","",IF(AI53&gt;=80,"Excellent",IF(AI53&gt;=70,"Very Good",IF(AI53&gt;=60,"Good",IF(AI53&gt;=50,"Average","Poor"))))))</f>
        <v>Excellent</v>
      </c>
      <c r="AK53" s="4"/>
      <c r="AL53" s="3"/>
    </row>
    <row r="54" customFormat="false" ht="44" hidden="false" customHeight="false" outlineLevel="0" collapsed="false">
      <c r="A54" s="3" t="n">
        <v>19</v>
      </c>
      <c r="B54" s="3" t="s">
        <v>56</v>
      </c>
      <c r="C54" s="3" t="s">
        <v>39</v>
      </c>
      <c r="D54" s="3" t="s">
        <v>87</v>
      </c>
      <c r="E54" s="3" t="s">
        <v>93</v>
      </c>
      <c r="F54" s="3"/>
      <c r="G54" s="4" t="s">
        <v>99</v>
      </c>
      <c r="H54" s="4" t="s">
        <v>100</v>
      </c>
      <c r="I54" s="3"/>
      <c r="J54" s="3"/>
      <c r="K54" s="3"/>
      <c r="L54" s="3" t="n">
        <v>10</v>
      </c>
      <c r="M54" s="3" t="n">
        <v>10</v>
      </c>
      <c r="N54" s="3" t="n">
        <v>0</v>
      </c>
      <c r="O54" s="3" t="n">
        <v>9</v>
      </c>
      <c r="P54" s="3" t="n">
        <v>1</v>
      </c>
      <c r="Q54" s="3" t="n">
        <v>9</v>
      </c>
      <c r="R54" s="5" t="n">
        <f aca="false">IF(N(M54)=0,0,Q54/M54)</f>
        <v>0.9</v>
      </c>
      <c r="S54" s="6" t="n">
        <v>0</v>
      </c>
      <c r="T54" s="3" t="n">
        <f aca="false">IF(R54="","",IF(R54&gt;=0.8,50,IF(R54&gt;=0.5,30,IF(R54&gt;=0.01,10,0))))</f>
        <v>50</v>
      </c>
      <c r="U54" s="6" t="n">
        <v>0</v>
      </c>
      <c r="V54" s="6" t="n">
        <v>0</v>
      </c>
      <c r="W54" s="6" t="n">
        <v>5</v>
      </c>
      <c r="X54" s="6" t="n">
        <v>2.5</v>
      </c>
      <c r="Y54" s="6" t="n">
        <v>2.5</v>
      </c>
      <c r="Z54" s="6" t="n">
        <v>2.5</v>
      </c>
      <c r="AA54" s="6" t="n">
        <v>2.5</v>
      </c>
      <c r="AB54" s="6" t="n">
        <v>0</v>
      </c>
      <c r="AC54" s="6" t="n">
        <v>2.5</v>
      </c>
      <c r="AD54" s="6" t="n">
        <v>2.5</v>
      </c>
      <c r="AE54" s="6" t="n">
        <v>2.5</v>
      </c>
      <c r="AF54" s="6" t="n">
        <v>2.5</v>
      </c>
      <c r="AG54" s="7" t="n">
        <v>2.5</v>
      </c>
      <c r="AH54" s="8" t="n">
        <f aca="false">IF(COUNT(S54:AG54)=0,"",SUM(S54:AG54))</f>
        <v>77.5</v>
      </c>
      <c r="AI54" s="8" t="n">
        <f aca="false">IF(COUNTIF($G$2:G54,G54)=1,IFERROR(AVERAGEIF($G:$G,G54,$AH:$AH),""),"")</f>
        <v>77.5</v>
      </c>
      <c r="AJ54" s="9" t="str">
        <f aca="false">IF(AL54&lt;&gt;"",AL54,IF(AI54="","",IF(AI54&gt;=80,"Excellent",IF(AI54&gt;=70,"Very Good",IF(AI54&gt;=60,"Good",IF(AI54&gt;=50,"Average","Poor"))))))</f>
        <v>Very Good</v>
      </c>
      <c r="AK54" s="4"/>
      <c r="AL54" s="3"/>
    </row>
    <row r="55" customFormat="false" ht="44" hidden="false" customHeight="false" outlineLevel="0" collapsed="false">
      <c r="A55" s="3" t="n">
        <v>20</v>
      </c>
      <c r="B55" s="3" t="s">
        <v>56</v>
      </c>
      <c r="C55" s="3" t="s">
        <v>39</v>
      </c>
      <c r="D55" s="3" t="s">
        <v>87</v>
      </c>
      <c r="E55" s="3" t="s">
        <v>93</v>
      </c>
      <c r="F55" s="3"/>
      <c r="G55" s="4" t="s">
        <v>101</v>
      </c>
      <c r="H55" s="4" t="s">
        <v>97</v>
      </c>
      <c r="I55" s="3"/>
      <c r="J55" s="3"/>
      <c r="K55" s="3"/>
      <c r="L55" s="3" t="n">
        <v>20</v>
      </c>
      <c r="M55" s="3" t="n">
        <v>20</v>
      </c>
      <c r="N55" s="3" t="n">
        <v>0</v>
      </c>
      <c r="O55" s="3" t="n">
        <v>20</v>
      </c>
      <c r="P55" s="3" t="n">
        <v>0</v>
      </c>
      <c r="Q55" s="3" t="n">
        <v>20</v>
      </c>
      <c r="R55" s="5" t="n">
        <f aca="false">IF(N(M55)=0,0,Q55/M55)</f>
        <v>1</v>
      </c>
      <c r="S55" s="6" t="n">
        <v>10</v>
      </c>
      <c r="T55" s="3" t="n">
        <f aca="false">IF(R55="","",IF(R55&gt;=0.8,50,IF(R55&gt;=0.5,30,IF(R55&gt;=0.01,10,0))))</f>
        <v>50</v>
      </c>
      <c r="U55" s="6" t="n">
        <v>5</v>
      </c>
      <c r="V55" s="6" t="n">
        <v>5</v>
      </c>
      <c r="W55" s="6" t="n">
        <v>5</v>
      </c>
      <c r="X55" s="6" t="n">
        <v>2.5</v>
      </c>
      <c r="Y55" s="6" t="n">
        <v>2.5</v>
      </c>
      <c r="Z55" s="6" t="n">
        <v>2.5</v>
      </c>
      <c r="AA55" s="6" t="n">
        <v>2.5</v>
      </c>
      <c r="AB55" s="6" t="n">
        <v>2.5</v>
      </c>
      <c r="AC55" s="6" t="n">
        <v>0</v>
      </c>
      <c r="AD55" s="6" t="n">
        <v>2.5</v>
      </c>
      <c r="AE55" s="6" t="n">
        <v>2.5</v>
      </c>
      <c r="AF55" s="6" t="n">
        <v>2.5</v>
      </c>
      <c r="AG55" s="7" t="n">
        <v>2.5</v>
      </c>
      <c r="AH55" s="8" t="n">
        <f aca="false">IF(COUNT(S55:AG55)=0,"",SUM(S55:AG55))</f>
        <v>97.5</v>
      </c>
      <c r="AI55" s="8" t="n">
        <f aca="false">IF(COUNTIF($G$2:G55,G55)=1,IFERROR(AVERAGEIF($G:$G,G55,$AH:$AH),""),"")</f>
        <v>97.5</v>
      </c>
      <c r="AJ55" s="9" t="str">
        <f aca="false">IF(AL55&lt;&gt;"",AL55,IF(AI55="","",IF(AI55&gt;=80,"Excellent",IF(AI55&gt;=70,"Very Good",IF(AI55&gt;=60,"Good",IF(AI55&gt;=50,"Average","Poor"))))))</f>
        <v>Excellent</v>
      </c>
      <c r="AK55" s="4"/>
      <c r="AL55" s="3"/>
    </row>
    <row r="56" customFormat="false" ht="44" hidden="false" customHeight="false" outlineLevel="0" collapsed="false">
      <c r="A56" s="3" t="n">
        <v>21</v>
      </c>
      <c r="B56" s="3" t="s">
        <v>56</v>
      </c>
      <c r="C56" s="3" t="s">
        <v>39</v>
      </c>
      <c r="D56" s="3" t="s">
        <v>87</v>
      </c>
      <c r="E56" s="3" t="s">
        <v>93</v>
      </c>
      <c r="F56" s="3"/>
      <c r="G56" s="4" t="s">
        <v>102</v>
      </c>
      <c r="H56" s="4" t="s">
        <v>103</v>
      </c>
      <c r="I56" s="3"/>
      <c r="J56" s="3"/>
      <c r="K56" s="3"/>
      <c r="L56" s="3" t="n">
        <v>30</v>
      </c>
      <c r="M56" s="3" t="n">
        <v>30</v>
      </c>
      <c r="N56" s="3" t="n">
        <v>0</v>
      </c>
      <c r="O56" s="3" t="n">
        <v>26</v>
      </c>
      <c r="P56" s="3" t="n">
        <v>4</v>
      </c>
      <c r="Q56" s="3" t="n">
        <v>26</v>
      </c>
      <c r="R56" s="5" t="n">
        <f aca="false">IF(N(M56)=0,0,Q56/M56)</f>
        <v>0.866666666666667</v>
      </c>
      <c r="S56" s="6" t="n">
        <v>10</v>
      </c>
      <c r="T56" s="3" t="n">
        <f aca="false">IF(R56="","",IF(R56&gt;=0.8,50,IF(R56&gt;=0.5,30,IF(R56&gt;=0.01,10,0))))</f>
        <v>50</v>
      </c>
      <c r="U56" s="6" t="n">
        <v>5</v>
      </c>
      <c r="V56" s="6" t="n">
        <v>5</v>
      </c>
      <c r="W56" s="6" t="n">
        <v>5</v>
      </c>
      <c r="X56" s="6" t="n">
        <v>2.5</v>
      </c>
      <c r="Y56" s="6" t="n">
        <v>2.5</v>
      </c>
      <c r="Z56" s="6" t="n">
        <v>1</v>
      </c>
      <c r="AA56" s="6" t="n">
        <v>2.5</v>
      </c>
      <c r="AB56" s="6" t="n">
        <v>2.5</v>
      </c>
      <c r="AC56" s="6" t="n">
        <v>2.5</v>
      </c>
      <c r="AD56" s="6" t="n">
        <v>2.5</v>
      </c>
      <c r="AE56" s="6" t="n">
        <v>2.5</v>
      </c>
      <c r="AF56" s="6" t="n">
        <v>2.5</v>
      </c>
      <c r="AG56" s="7" t="n">
        <v>2.5</v>
      </c>
      <c r="AH56" s="8" t="n">
        <f aca="false">IF(COUNT(S56:AG56)=0,"",SUM(S56:AG56))</f>
        <v>98.5</v>
      </c>
      <c r="AI56" s="8" t="n">
        <f aca="false">IF(COUNTIF($G$2:G56,G56)=1,IFERROR(AVERAGEIF($G:$G,G56,$AH:$AH),""),"")</f>
        <v>89.25</v>
      </c>
      <c r="AJ56" s="9" t="str">
        <f aca="false">IF(AL56&lt;&gt;"",AL56,IF(AI56="","",IF(AI56&gt;=80,"Excellent",IF(AI56&gt;=70,"Very Good",IF(AI56&gt;=60,"Good",IF(AI56&gt;=50,"Average","Poor"))))))</f>
        <v>Excellent</v>
      </c>
      <c r="AK56" s="4"/>
      <c r="AL56" s="3"/>
    </row>
    <row r="57" customFormat="false" ht="44" hidden="false" customHeight="false" outlineLevel="0" collapsed="false">
      <c r="A57" s="3"/>
      <c r="B57" s="3" t="s">
        <v>56</v>
      </c>
      <c r="C57" s="3" t="s">
        <v>39</v>
      </c>
      <c r="D57" s="3" t="s">
        <v>87</v>
      </c>
      <c r="E57" s="3" t="s">
        <v>93</v>
      </c>
      <c r="F57" s="3"/>
      <c r="G57" s="4" t="s">
        <v>102</v>
      </c>
      <c r="H57" s="4" t="s">
        <v>104</v>
      </c>
      <c r="I57" s="3"/>
      <c r="J57" s="3"/>
      <c r="K57" s="3"/>
      <c r="L57" s="3" t="n">
        <v>20</v>
      </c>
      <c r="M57" s="3" t="n">
        <v>20</v>
      </c>
      <c r="N57" s="3" t="n">
        <v>0</v>
      </c>
      <c r="O57" s="3" t="n">
        <v>20</v>
      </c>
      <c r="P57" s="3" t="n">
        <v>0</v>
      </c>
      <c r="Q57" s="3" t="n">
        <v>20</v>
      </c>
      <c r="R57" s="5" t="n">
        <f aca="false">IF(N(M57)=0,0,Q57/M57)</f>
        <v>1</v>
      </c>
      <c r="S57" s="6" t="n">
        <v>0</v>
      </c>
      <c r="T57" s="3" t="n">
        <f aca="false">IF(R57="","",IF(R57&gt;=0.8,50,IF(R57&gt;=0.5,30,IF(R57&gt;=0.01,10,0))))</f>
        <v>50</v>
      </c>
      <c r="U57" s="6" t="n">
        <v>5</v>
      </c>
      <c r="V57" s="6" t="n">
        <v>0</v>
      </c>
      <c r="W57" s="6" t="n">
        <v>5</v>
      </c>
      <c r="X57" s="6" t="n">
        <v>2.5</v>
      </c>
      <c r="Y57" s="6" t="n">
        <v>2.5</v>
      </c>
      <c r="Z57" s="6" t="n">
        <v>2.5</v>
      </c>
      <c r="AA57" s="6" t="n">
        <v>2.5</v>
      </c>
      <c r="AB57" s="6" t="n">
        <v>0</v>
      </c>
      <c r="AC57" s="6" t="n">
        <v>0</v>
      </c>
      <c r="AD57" s="6" t="n">
        <v>2.5</v>
      </c>
      <c r="AE57" s="6" t="n">
        <v>2.5</v>
      </c>
      <c r="AF57" s="6" t="n">
        <v>2.5</v>
      </c>
      <c r="AG57" s="7" t="n">
        <v>2.5</v>
      </c>
      <c r="AH57" s="8" t="n">
        <f aca="false">IF(COUNT(S57:AG57)=0,"",SUM(S57:AG57))</f>
        <v>80</v>
      </c>
      <c r="AI57" s="8"/>
      <c r="AJ57" s="9"/>
      <c r="AK57" s="4"/>
      <c r="AL57" s="3"/>
    </row>
    <row r="58" customFormat="false" ht="44" hidden="false" customHeight="false" outlineLevel="0" collapsed="false">
      <c r="A58" s="3" t="n">
        <v>22</v>
      </c>
      <c r="B58" s="3" t="s">
        <v>56</v>
      </c>
      <c r="C58" s="3" t="s">
        <v>39</v>
      </c>
      <c r="D58" s="3" t="s">
        <v>87</v>
      </c>
      <c r="E58" s="3" t="s">
        <v>88</v>
      </c>
      <c r="F58" s="3"/>
      <c r="G58" s="4" t="s">
        <v>105</v>
      </c>
      <c r="H58" s="4" t="s">
        <v>97</v>
      </c>
      <c r="I58" s="3"/>
      <c r="J58" s="3"/>
      <c r="K58" s="3"/>
      <c r="L58" s="3" t="n">
        <v>20</v>
      </c>
      <c r="M58" s="3" t="n">
        <v>20</v>
      </c>
      <c r="N58" s="3" t="n">
        <v>0</v>
      </c>
      <c r="O58" s="3" t="n">
        <v>20</v>
      </c>
      <c r="P58" s="3" t="n">
        <v>0</v>
      </c>
      <c r="Q58" s="3" t="n">
        <v>20</v>
      </c>
      <c r="R58" s="5" t="n">
        <f aca="false">IF(N(M58)=0,0,Q58/M58)</f>
        <v>1</v>
      </c>
      <c r="S58" s="6" t="n">
        <v>10</v>
      </c>
      <c r="T58" s="3" t="n">
        <f aca="false">IF(R58="","",IF(R58&gt;=0.8,50,IF(R58&gt;=0.5,30,IF(R58&gt;=0.01,10,0))))</f>
        <v>50</v>
      </c>
      <c r="U58" s="6" t="n">
        <v>5</v>
      </c>
      <c r="V58" s="6" t="n">
        <v>5</v>
      </c>
      <c r="W58" s="6" t="n">
        <v>5</v>
      </c>
      <c r="X58" s="6" t="n">
        <v>2.5</v>
      </c>
      <c r="Y58" s="6" t="n">
        <v>2.5</v>
      </c>
      <c r="Z58" s="6" t="n">
        <v>1</v>
      </c>
      <c r="AA58" s="6" t="n">
        <v>2.5</v>
      </c>
      <c r="AB58" s="6" t="n">
        <v>2.5</v>
      </c>
      <c r="AC58" s="6" t="n">
        <v>2.5</v>
      </c>
      <c r="AD58" s="6" t="n">
        <v>2.5</v>
      </c>
      <c r="AE58" s="6" t="n">
        <v>2.5</v>
      </c>
      <c r="AF58" s="6" t="n">
        <v>2.5</v>
      </c>
      <c r="AG58" s="7" t="n">
        <v>2.5</v>
      </c>
      <c r="AH58" s="8" t="n">
        <f aca="false">IF(COUNT(S58:AG58)=0,"",SUM(S58:AG58))</f>
        <v>98.5</v>
      </c>
      <c r="AI58" s="8" t="n">
        <f aca="false">IF(COUNTIF($G$2:G58,G58)=1,IFERROR(AVERAGEIF($G:$G,G58,$AH:$AH),""),"")</f>
        <v>98.5</v>
      </c>
      <c r="AJ58" s="9" t="str">
        <f aca="false">IF(AL58&lt;&gt;"",AL58,IF(AI58="","",IF(AI58&gt;=80,"Excellent",IF(AI58&gt;=70,"Very Good",IF(AI58&gt;=60,"Good",IF(AI58&gt;=50,"Average","Poor"))))))</f>
        <v>Excellent</v>
      </c>
      <c r="AK58" s="4"/>
      <c r="AL58" s="3"/>
    </row>
    <row r="59" customFormat="false" ht="44" hidden="false" customHeight="false" outlineLevel="0" collapsed="false">
      <c r="A59" s="3" t="n">
        <v>23</v>
      </c>
      <c r="B59" s="3" t="s">
        <v>56</v>
      </c>
      <c r="C59" s="3" t="s">
        <v>39</v>
      </c>
      <c r="D59" s="3" t="s">
        <v>87</v>
      </c>
      <c r="E59" s="3" t="s">
        <v>106</v>
      </c>
      <c r="F59" s="3"/>
      <c r="G59" s="4" t="s">
        <v>107</v>
      </c>
      <c r="H59" s="4" t="s">
        <v>49</v>
      </c>
      <c r="I59" s="3"/>
      <c r="J59" s="3"/>
      <c r="K59" s="3"/>
      <c r="L59" s="3" t="n">
        <v>20</v>
      </c>
      <c r="M59" s="3" t="n">
        <v>20</v>
      </c>
      <c r="N59" s="3" t="n">
        <v>0</v>
      </c>
      <c r="O59" s="3" t="n">
        <v>20</v>
      </c>
      <c r="P59" s="3" t="n">
        <v>0</v>
      </c>
      <c r="Q59" s="3" t="n">
        <v>20</v>
      </c>
      <c r="R59" s="5" t="n">
        <f aca="false">IF(N(M59)=0,0,Q59/M59)</f>
        <v>1</v>
      </c>
      <c r="S59" s="6" t="n">
        <v>10</v>
      </c>
      <c r="T59" s="3" t="n">
        <f aca="false">IF(R59="","",IF(R59&gt;=0.8,50,IF(R59&gt;=0.5,30,IF(R59&gt;=0.01,10,0))))</f>
        <v>50</v>
      </c>
      <c r="U59" s="6" t="n">
        <v>5</v>
      </c>
      <c r="V59" s="6" t="n">
        <v>5</v>
      </c>
      <c r="W59" s="6" t="n">
        <v>5</v>
      </c>
      <c r="X59" s="6" t="n">
        <v>2.5</v>
      </c>
      <c r="Y59" s="6" t="n">
        <v>2.5</v>
      </c>
      <c r="Z59" s="6" t="n">
        <v>2.5</v>
      </c>
      <c r="AA59" s="6" t="n">
        <v>2.5</v>
      </c>
      <c r="AB59" s="6" t="n">
        <v>2.5</v>
      </c>
      <c r="AC59" s="6" t="n">
        <v>2.5</v>
      </c>
      <c r="AD59" s="6" t="n">
        <v>2.5</v>
      </c>
      <c r="AE59" s="6" t="n">
        <v>2.5</v>
      </c>
      <c r="AF59" s="6" t="n">
        <v>2.5</v>
      </c>
      <c r="AG59" s="7" t="n">
        <v>2.5</v>
      </c>
      <c r="AH59" s="8" t="n">
        <f aca="false">IF(COUNT(S59:AG59)=0,"",SUM(S59:AG59))</f>
        <v>100</v>
      </c>
      <c r="AI59" s="8" t="n">
        <f aca="false">IF(COUNTIF($G$2:G59,G59)=1,IFERROR(AVERAGEIF($G:$G,G59,$AH:$AH),""),"")</f>
        <v>98.75</v>
      </c>
      <c r="AJ59" s="9" t="str">
        <f aca="false">IF(AL59&lt;&gt;"",AL59,IF(AI59="","",IF(AI59&gt;=80,"Excellent",IF(AI59&gt;=70,"Very Good",IF(AI59&gt;=60,"Good",IF(AI59&gt;=50,"Average","Poor"))))))</f>
        <v>Excellent</v>
      </c>
      <c r="AK59" s="4"/>
      <c r="AL59" s="3"/>
    </row>
    <row r="60" customFormat="false" ht="44" hidden="false" customHeight="false" outlineLevel="0" collapsed="false">
      <c r="A60" s="3"/>
      <c r="B60" s="3" t="s">
        <v>56</v>
      </c>
      <c r="C60" s="3" t="s">
        <v>39</v>
      </c>
      <c r="D60" s="3" t="s">
        <v>87</v>
      </c>
      <c r="E60" s="3" t="s">
        <v>106</v>
      </c>
      <c r="F60" s="3"/>
      <c r="G60" s="4" t="s">
        <v>107</v>
      </c>
      <c r="H60" s="4" t="s">
        <v>108</v>
      </c>
      <c r="I60" s="3"/>
      <c r="J60" s="3"/>
      <c r="K60" s="3"/>
      <c r="L60" s="3" t="n">
        <v>20</v>
      </c>
      <c r="M60" s="3" t="n">
        <v>20</v>
      </c>
      <c r="N60" s="3" t="n">
        <v>0</v>
      </c>
      <c r="O60" s="3" t="n">
        <v>17</v>
      </c>
      <c r="P60" s="3" t="n">
        <v>3</v>
      </c>
      <c r="Q60" s="3" t="n">
        <v>17</v>
      </c>
      <c r="R60" s="5" t="n">
        <f aca="false">IF(N(M60)=0,0,Q60/M60)</f>
        <v>0.85</v>
      </c>
      <c r="S60" s="6" t="n">
        <v>10</v>
      </c>
      <c r="T60" s="3" t="n">
        <f aca="false">IF(R60="","",IF(R60&gt;=0.8,50,IF(R60&gt;=0.5,30,IF(R60&gt;=0.01,10,0))))</f>
        <v>50</v>
      </c>
      <c r="U60" s="6" t="n">
        <v>5</v>
      </c>
      <c r="V60" s="6" t="n">
        <v>5</v>
      </c>
      <c r="W60" s="6" t="n">
        <v>5</v>
      </c>
      <c r="X60" s="6" t="n">
        <v>2.5</v>
      </c>
      <c r="Y60" s="6" t="n">
        <v>2.5</v>
      </c>
      <c r="Z60" s="6" t="n">
        <v>2.5</v>
      </c>
      <c r="AA60" s="6" t="n">
        <v>2.5</v>
      </c>
      <c r="AB60" s="6" t="n">
        <v>2.5</v>
      </c>
      <c r="AC60" s="6" t="n">
        <v>2.5</v>
      </c>
      <c r="AD60" s="6" t="n">
        <v>2.5</v>
      </c>
      <c r="AE60" s="6" t="n">
        <v>2.5</v>
      </c>
      <c r="AF60" s="6" t="n">
        <v>0</v>
      </c>
      <c r="AG60" s="7" t="n">
        <v>2.5</v>
      </c>
      <c r="AH60" s="8" t="n">
        <f aca="false">IF(COUNT(S60:AG60)=0,"",SUM(S60:AG60))</f>
        <v>97.5</v>
      </c>
      <c r="AI60" s="8"/>
      <c r="AJ60" s="9"/>
      <c r="AK60" s="4"/>
      <c r="AL60" s="3"/>
    </row>
    <row r="61" customFormat="false" ht="44" hidden="false" customHeight="false" outlineLevel="0" collapsed="false">
      <c r="A61" s="3" t="n">
        <v>24</v>
      </c>
      <c r="B61" s="3" t="s">
        <v>56</v>
      </c>
      <c r="C61" s="3" t="s">
        <v>39</v>
      </c>
      <c r="D61" s="3" t="s">
        <v>87</v>
      </c>
      <c r="E61" s="3" t="s">
        <v>88</v>
      </c>
      <c r="F61" s="3"/>
      <c r="G61" s="4" t="s">
        <v>109</v>
      </c>
      <c r="H61" s="4" t="s">
        <v>110</v>
      </c>
      <c r="I61" s="3"/>
      <c r="J61" s="3"/>
      <c r="K61" s="3"/>
      <c r="L61" s="3" t="n">
        <v>20</v>
      </c>
      <c r="M61" s="3" t="n">
        <v>20</v>
      </c>
      <c r="N61" s="3" t="n">
        <v>0</v>
      </c>
      <c r="O61" s="3" t="n">
        <v>16</v>
      </c>
      <c r="P61" s="3" t="n">
        <v>4</v>
      </c>
      <c r="Q61" s="3" t="n">
        <v>16</v>
      </c>
      <c r="R61" s="5" t="n">
        <f aca="false">IF(N(M61)=0,0,Q61/M61)</f>
        <v>0.8</v>
      </c>
      <c r="S61" s="6" t="n">
        <v>10</v>
      </c>
      <c r="T61" s="3" t="n">
        <f aca="false">IF(R61="","",IF(R61&gt;=0.8,50,IF(R61&gt;=0.5,30,IF(R61&gt;=0.01,10,0))))</f>
        <v>50</v>
      </c>
      <c r="U61" s="6" t="n">
        <v>5</v>
      </c>
      <c r="V61" s="6" t="n">
        <v>5</v>
      </c>
      <c r="W61" s="6" t="n">
        <v>5</v>
      </c>
      <c r="X61" s="6" t="n">
        <v>2.5</v>
      </c>
      <c r="Y61" s="6" t="n">
        <v>2.5</v>
      </c>
      <c r="Z61" s="6" t="n">
        <v>2.5</v>
      </c>
      <c r="AA61" s="6" t="n">
        <v>2.5</v>
      </c>
      <c r="AB61" s="6" t="n">
        <v>2.5</v>
      </c>
      <c r="AC61" s="6" t="n">
        <v>2.5</v>
      </c>
      <c r="AD61" s="6" t="n">
        <v>2.5</v>
      </c>
      <c r="AE61" s="6" t="n">
        <v>2.5</v>
      </c>
      <c r="AF61" s="6" t="n">
        <v>2.5</v>
      </c>
      <c r="AG61" s="7" t="n">
        <v>2.5</v>
      </c>
      <c r="AH61" s="8" t="n">
        <f aca="false">IF(COUNT(S61:AG61)=0,"",SUM(S61:AG61))</f>
        <v>100</v>
      </c>
      <c r="AI61" s="8" t="n">
        <f aca="false">IF(COUNTIF($G$2:G61,G61)=1,IFERROR(AVERAGEIF($G:$G,G61,$AH:$AH),""),"")</f>
        <v>100</v>
      </c>
      <c r="AJ61" s="9" t="str">
        <f aca="false">IF(AL61&lt;&gt;"",AL61,IF(AI61="","",IF(AI61&gt;=80,"Excellent",IF(AI61&gt;=70,"Very Good",IF(AI61&gt;=60,"Good",IF(AI61&gt;=50,"Average","Poor"))))))</f>
        <v>Excellent</v>
      </c>
      <c r="AK61" s="4"/>
      <c r="AL61" s="3"/>
    </row>
    <row r="62" customFormat="false" ht="44" hidden="false" customHeight="false" outlineLevel="0" collapsed="false">
      <c r="A62" s="3" t="n">
        <v>25</v>
      </c>
      <c r="B62" s="3" t="s">
        <v>56</v>
      </c>
      <c r="C62" s="3" t="s">
        <v>39</v>
      </c>
      <c r="D62" s="3" t="s">
        <v>87</v>
      </c>
      <c r="E62" s="3" t="s">
        <v>111</v>
      </c>
      <c r="F62" s="3"/>
      <c r="G62" s="4" t="s">
        <v>112</v>
      </c>
      <c r="H62" s="4" t="s">
        <v>97</v>
      </c>
      <c r="I62" s="3"/>
      <c r="J62" s="3"/>
      <c r="K62" s="3"/>
      <c r="L62" s="3" t="n">
        <v>20</v>
      </c>
      <c r="M62" s="3" t="n">
        <v>20</v>
      </c>
      <c r="N62" s="3" t="n">
        <v>0</v>
      </c>
      <c r="O62" s="3" t="n">
        <v>16</v>
      </c>
      <c r="P62" s="3" t="n">
        <v>4</v>
      </c>
      <c r="Q62" s="3" t="n">
        <v>16</v>
      </c>
      <c r="R62" s="5" t="n">
        <f aca="false">IF(N(M62)=0,0,Q62/M62)</f>
        <v>0.8</v>
      </c>
      <c r="S62" s="6" t="n">
        <v>10</v>
      </c>
      <c r="T62" s="3" t="n">
        <f aca="false">IF(R62="","",IF(R62&gt;=0.8,50,IF(R62&gt;=0.5,30,IF(R62&gt;=0.01,10,0))))</f>
        <v>50</v>
      </c>
      <c r="U62" s="6" t="n">
        <v>5</v>
      </c>
      <c r="V62" s="6" t="n">
        <v>0</v>
      </c>
      <c r="W62" s="6" t="n">
        <v>5</v>
      </c>
      <c r="X62" s="6" t="n">
        <v>2.5</v>
      </c>
      <c r="Y62" s="6" t="n">
        <v>2.5</v>
      </c>
      <c r="Z62" s="6" t="n">
        <v>2.5</v>
      </c>
      <c r="AA62" s="6" t="n">
        <v>2.5</v>
      </c>
      <c r="AB62" s="6" t="n">
        <v>2.5</v>
      </c>
      <c r="AC62" s="6" t="n">
        <v>2.5</v>
      </c>
      <c r="AD62" s="6" t="n">
        <v>2.5</v>
      </c>
      <c r="AE62" s="6" t="n">
        <v>2.5</v>
      </c>
      <c r="AF62" s="6" t="n">
        <v>2.5</v>
      </c>
      <c r="AG62" s="7" t="n">
        <v>2.5</v>
      </c>
      <c r="AH62" s="8" t="n">
        <f aca="false">IF(COUNT(S62:AG62)=0,"",SUM(S62:AG62))</f>
        <v>95</v>
      </c>
      <c r="AI62" s="8" t="n">
        <f aca="false">IF(COUNTIF($G$2:G62,G62)=1,IFERROR(AVERAGEIF($G:$G,G62,$AH:$AH),""),"")</f>
        <v>95</v>
      </c>
      <c r="AJ62" s="9" t="str">
        <f aca="false">IF(AL62&lt;&gt;"",AL62,IF(AI62="","",IF(AI62&gt;=80,"Excellent",IF(AI62&gt;=70,"Very Good",IF(AI62&gt;=60,"Good",IF(AI62&gt;=50,"Average","Poor"))))))</f>
        <v>Excellent</v>
      </c>
      <c r="AK62" s="4"/>
      <c r="AL62" s="3"/>
    </row>
    <row r="63" customFormat="false" ht="44" hidden="false" customHeight="false" outlineLevel="0" collapsed="false">
      <c r="A63" s="3" t="n">
        <v>26</v>
      </c>
      <c r="B63" s="3" t="s">
        <v>56</v>
      </c>
      <c r="C63" s="3" t="s">
        <v>39</v>
      </c>
      <c r="D63" s="3" t="s">
        <v>87</v>
      </c>
      <c r="E63" s="3" t="s">
        <v>93</v>
      </c>
      <c r="F63" s="3"/>
      <c r="G63" s="4" t="s">
        <v>113</v>
      </c>
      <c r="H63" s="4" t="s">
        <v>114</v>
      </c>
      <c r="I63" s="3"/>
      <c r="J63" s="3"/>
      <c r="K63" s="3"/>
      <c r="L63" s="3" t="n">
        <v>20</v>
      </c>
      <c r="M63" s="3" t="n">
        <v>20</v>
      </c>
      <c r="N63" s="3" t="n">
        <v>0</v>
      </c>
      <c r="O63" s="3" t="n">
        <v>20</v>
      </c>
      <c r="P63" s="3" t="n">
        <v>0</v>
      </c>
      <c r="Q63" s="3" t="n">
        <v>20</v>
      </c>
      <c r="R63" s="5" t="n">
        <f aca="false">IF(N(M63)=0,0,Q63/M63)</f>
        <v>1</v>
      </c>
      <c r="S63" s="6" t="n">
        <v>10</v>
      </c>
      <c r="T63" s="3" t="n">
        <f aca="false">IF(R63="","",IF(R63&gt;=0.8,50,IF(R63&gt;=0.5,30,IF(R63&gt;=0.01,10,0))))</f>
        <v>50</v>
      </c>
      <c r="U63" s="6" t="n">
        <v>0</v>
      </c>
      <c r="V63" s="6" t="n">
        <v>5</v>
      </c>
      <c r="W63" s="6" t="n">
        <v>5</v>
      </c>
      <c r="X63" s="6" t="n">
        <v>2.5</v>
      </c>
      <c r="Y63" s="6" t="n">
        <v>2.5</v>
      </c>
      <c r="Z63" s="6" t="n">
        <v>2.5</v>
      </c>
      <c r="AA63" s="6" t="n">
        <v>2.5</v>
      </c>
      <c r="AB63" s="6" t="n">
        <v>2.5</v>
      </c>
      <c r="AC63" s="6" t="n">
        <v>2.5</v>
      </c>
      <c r="AD63" s="6" t="n">
        <v>2.5</v>
      </c>
      <c r="AE63" s="6" t="n">
        <v>2.5</v>
      </c>
      <c r="AF63" s="6" t="n">
        <v>2.5</v>
      </c>
      <c r="AG63" s="7" t="n">
        <v>2.5</v>
      </c>
      <c r="AH63" s="8" t="n">
        <f aca="false">IF(COUNT(S63:AG63)=0,"",SUM(S63:AG63))</f>
        <v>95</v>
      </c>
      <c r="AI63" s="8" t="n">
        <f aca="false">IF(COUNTIF($G$2:G63,G63)=1,IFERROR(AVERAGEIF($G:$G,G63,$AH:$AH),""),"")</f>
        <v>95</v>
      </c>
      <c r="AJ63" s="9" t="str">
        <f aca="false">IF(AL63&lt;&gt;"",AL63,IF(AI63="","",IF(AI63&gt;=80,"Excellent",IF(AI63&gt;=70,"Very Good",IF(AI63&gt;=60,"Good",IF(AI63&gt;=50,"Average","Poor"))))))</f>
        <v>Excellent</v>
      </c>
      <c r="AK63" s="4"/>
      <c r="AL63" s="3"/>
    </row>
  </sheetData>
  <autoFilter ref="A1:AL63"/>
  <mergeCells count="40">
    <mergeCell ref="AI7:AI9"/>
    <mergeCell ref="AJ7:AJ9"/>
    <mergeCell ref="AK7:AK9"/>
    <mergeCell ref="AL7:AL9"/>
    <mergeCell ref="AI10:AI14"/>
    <mergeCell ref="AJ10:AJ14"/>
    <mergeCell ref="AK10:AK14"/>
    <mergeCell ref="AL10:AL14"/>
    <mergeCell ref="AI15:AI19"/>
    <mergeCell ref="AJ15:AJ19"/>
    <mergeCell ref="AK15:AK19"/>
    <mergeCell ref="AL15:AL19"/>
    <mergeCell ref="AI20:AI25"/>
    <mergeCell ref="AJ20:AJ25"/>
    <mergeCell ref="AK20:AK25"/>
    <mergeCell ref="AL20:AL25"/>
    <mergeCell ref="AI26:AI32"/>
    <mergeCell ref="AJ26:AJ32"/>
    <mergeCell ref="AK26:AK32"/>
    <mergeCell ref="AL26:AL32"/>
    <mergeCell ref="AI33:AI37"/>
    <mergeCell ref="AJ33:AJ37"/>
    <mergeCell ref="AK33:AK37"/>
    <mergeCell ref="AL33:AL37"/>
    <mergeCell ref="AI38:AI41"/>
    <mergeCell ref="AJ38:AJ41"/>
    <mergeCell ref="AK38:AK41"/>
    <mergeCell ref="AL38:AL41"/>
    <mergeCell ref="AI42:AI48"/>
    <mergeCell ref="AJ42:AJ48"/>
    <mergeCell ref="AK42:AK48"/>
    <mergeCell ref="AL42:AL48"/>
    <mergeCell ref="AI56:AI57"/>
    <mergeCell ref="AJ56:AJ57"/>
    <mergeCell ref="AK56:AK57"/>
    <mergeCell ref="AL56:AL57"/>
    <mergeCell ref="AI59:AI60"/>
    <mergeCell ref="AJ59:AJ60"/>
    <mergeCell ref="AK59:AK60"/>
    <mergeCell ref="AL59:AL60"/>
  </mergeCells>
  <conditionalFormatting sqref="AJ2:AJ63">
    <cfRule type="expression" priority="2" aboveAverage="0" equalAverage="0" bottom="0" percent="0" rank="0" text="" dxfId="11">
      <formula>AJ2="Excellent"</formula>
    </cfRule>
    <cfRule type="expression" priority="3" aboveAverage="0" equalAverage="0" bottom="0" percent="0" rank="0" text="" dxfId="12">
      <formula>AJ2="Very Good"</formula>
    </cfRule>
    <cfRule type="expression" priority="4" aboveAverage="0" equalAverage="0" bottom="0" percent="0" rank="0" text="" dxfId="13">
      <formula>AJ2="Good"</formula>
    </cfRule>
    <cfRule type="expression" priority="5" aboveAverage="0" equalAverage="0" bottom="0" percent="0" rank="0" text="" dxfId="14">
      <formula>AJ2="Average"</formula>
    </cfRule>
    <cfRule type="expression" priority="6" aboveAverage="0" equalAverage="0" bottom="0" percent="0" rank="0" text="" dxfId="15">
      <formula>AJ2="Poor"</formula>
    </cfRule>
  </conditionalFormatting>
  <dataValidations count="15">
    <dataValidation allowBlank="true" error="Allowed values: 0, 10" errorStyle="stop" errorTitle="Invalid score" operator="between" showDropDown="false" showErrorMessage="true" showInputMessage="false" sqref="S2:S563" type="list">
      <formula1>"0,10"</formula1>
      <formula2>0</formula2>
    </dataValidation>
    <dataValidation allowBlank="true" error="Allowed values: 0, 5" errorStyle="stop" errorTitle="Invalid score" operator="between" showDropDown="false" showErrorMessage="true" showInputMessage="false" sqref="U2:U563" type="list">
      <formula1>"0,5"</formula1>
      <formula2>0</formula2>
    </dataValidation>
    <dataValidation allowBlank="true" error="Allowed values: 0, 5" errorStyle="stop" errorTitle="Invalid score" operator="between" showDropDown="false" showErrorMessage="true" showInputMessage="false" sqref="V2:V563" type="list">
      <formula1>"0,5"</formula1>
      <formula2>0</formula2>
    </dataValidation>
    <dataValidation allowBlank="true" error="Allowed values: 0, 5" errorStyle="stop" errorTitle="Invalid score" operator="between" showDropDown="false" showErrorMessage="true" showInputMessage="false" sqref="W2:W563" type="list">
      <formula1>"0,5"</formula1>
      <formula2>0</formula2>
    </dataValidation>
    <dataValidation allowBlank="true" error="Allowed values: 0, 1.5, 2.5" errorStyle="stop" errorTitle="Invalid score" operator="between" showDropDown="false" showErrorMessage="true" showInputMessage="false" sqref="X2:X563" type="list">
      <formula1>"0,1.5,2.5"</formula1>
      <formula2>0</formula2>
    </dataValidation>
    <dataValidation allowBlank="true" error="Allowed values: 0, 1.5, 2.5" errorStyle="stop" errorTitle="Invalid score" operator="between" showDropDown="false" showErrorMessage="true" showInputMessage="false" sqref="Y2:Y563" type="list">
      <formula1>"0,1.5,2.5"</formula1>
      <formula2>0</formula2>
    </dataValidation>
    <dataValidation allowBlank="true" error="Allowed values: 0, 1, 2.5" errorStyle="stop" errorTitle="Invalid score" operator="between" showDropDown="false" showErrorMessage="true" showInputMessage="false" sqref="Z2:Z563" type="list">
      <formula1>"0,1,2.5"</formula1>
      <formula2>0</formula2>
    </dataValidation>
    <dataValidation allowBlank="true" error="Allowed values: 0, 1, 2.5" errorStyle="stop" errorTitle="Invalid score" operator="between" showDropDown="false" showErrorMessage="true" showInputMessage="false" sqref="AA2:AA563" type="list">
      <formula1>"0,1,2.5"</formula1>
      <formula2>0</formula2>
    </dataValidation>
    <dataValidation allowBlank="true" error="Allowed values: 0, 2.5" errorStyle="stop" errorTitle="Invalid score" operator="between" showDropDown="false" showErrorMessage="true" showInputMessage="false" sqref="AB2:AB563" type="list">
      <formula1>"0,2.5"</formula1>
      <formula2>0</formula2>
    </dataValidation>
    <dataValidation allowBlank="true" error="Allowed values: 0, 2.5" errorStyle="stop" errorTitle="Invalid score" operator="between" showDropDown="false" showErrorMessage="true" showInputMessage="false" sqref="AC2:AC563" type="list">
      <formula1>"0,2.5"</formula1>
      <formula2>0</formula2>
    </dataValidation>
    <dataValidation allowBlank="true" error="Allowed values: 0, 2.5" errorStyle="stop" errorTitle="Invalid score" operator="between" showDropDown="false" showErrorMessage="true" showInputMessage="false" sqref="AD2:AD563" type="list">
      <formula1>"0,2.5"</formula1>
      <formula2>0</formula2>
    </dataValidation>
    <dataValidation allowBlank="true" error="Allowed values: 0, 2.5" errorStyle="stop" errorTitle="Invalid score" operator="between" showDropDown="false" showErrorMessage="true" showInputMessage="false" sqref="AE2:AE563" type="list">
      <formula1>"0,2.5"</formula1>
      <formula2>0</formula2>
    </dataValidation>
    <dataValidation allowBlank="true" error="Allowed values: 0, 2.5" errorStyle="stop" errorTitle="Invalid score" operator="between" showDropDown="false" showErrorMessage="true" showInputMessage="false" sqref="AF2:AF563" type="list">
      <formula1>"0,2.5"</formula1>
      <formula2>0</formula2>
    </dataValidation>
    <dataValidation allowBlank="true" error="Enter a value between 0 and 2.5" errorStyle="stop" errorTitle="Invalid score" operator="between" showDropDown="false" showErrorMessage="true" showInputMessage="false" sqref="AG2:AG563" type="decimal">
      <formula1>0</formula1>
      <formula2>2.5</formula2>
    </dataValidation>
    <dataValidation allowBlank="true" errorStyle="stop" operator="between" showDropDown="false" showErrorMessage="false" showInputMessage="false" sqref="AL2:AL563" type="list">
      <formula1>"Excellent,Very Good,Good,Average,Poor,Closed,No Classes"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0" t="s">
        <v>115</v>
      </c>
    </row>
    <row r="2" customFormat="false" ht="15" hidden="false" customHeight="false" outlineLevel="0" collapsed="false">
      <c r="A2" s="11" t="s">
        <v>116</v>
      </c>
    </row>
    <row r="4" customFormat="false" ht="15" hidden="false" customHeight="false" outlineLevel="0" collapsed="false">
      <c r="A4" s="12" t="s">
        <v>117</v>
      </c>
      <c r="B4" s="12" t="s">
        <v>118</v>
      </c>
      <c r="C4" s="12" t="s">
        <v>119</v>
      </c>
      <c r="D4" s="12" t="s">
        <v>120</v>
      </c>
      <c r="E4" s="12" t="s">
        <v>121</v>
      </c>
      <c r="F4" s="12" t="s">
        <v>122</v>
      </c>
    </row>
    <row r="5" customFormat="false" ht="25.35" hidden="false" customHeight="false" outlineLevel="0" collapsed="false">
      <c r="A5" s="13" t="s">
        <v>123</v>
      </c>
      <c r="B5" s="13" t="s">
        <v>124</v>
      </c>
      <c r="C5" s="13" t="s">
        <v>125</v>
      </c>
      <c r="D5" s="13" t="n">
        <v>10</v>
      </c>
      <c r="E5" s="13" t="s">
        <v>126</v>
      </c>
      <c r="F5" s="13" t="s">
        <v>127</v>
      </c>
    </row>
    <row r="6" customFormat="false" ht="25.35" hidden="false" customHeight="false" outlineLevel="0" collapsed="false">
      <c r="A6" s="13" t="s">
        <v>128</v>
      </c>
      <c r="B6" s="13" t="s">
        <v>129</v>
      </c>
      <c r="C6" s="13" t="s">
        <v>130</v>
      </c>
      <c r="D6" s="13" t="n">
        <v>50</v>
      </c>
      <c r="E6" s="13" t="s">
        <v>131</v>
      </c>
      <c r="F6" s="13" t="s">
        <v>132</v>
      </c>
    </row>
    <row r="7" customFormat="false" ht="15" hidden="false" customHeight="false" outlineLevel="0" collapsed="false">
      <c r="A7" s="13" t="s">
        <v>133</v>
      </c>
      <c r="B7" s="13" t="s">
        <v>134</v>
      </c>
      <c r="C7" s="13" t="s">
        <v>135</v>
      </c>
      <c r="D7" s="13" t="n">
        <v>5</v>
      </c>
      <c r="E7" s="13" t="s">
        <v>126</v>
      </c>
      <c r="F7" s="13" t="s">
        <v>136</v>
      </c>
    </row>
    <row r="8" customFormat="false" ht="15" hidden="false" customHeight="false" outlineLevel="0" collapsed="false">
      <c r="A8" s="13" t="s">
        <v>137</v>
      </c>
      <c r="B8" s="13" t="s">
        <v>138</v>
      </c>
      <c r="C8" s="13" t="s">
        <v>139</v>
      </c>
      <c r="D8" s="13" t="n">
        <v>5</v>
      </c>
      <c r="E8" s="13" t="s">
        <v>126</v>
      </c>
      <c r="F8" s="13" t="s">
        <v>140</v>
      </c>
    </row>
    <row r="9" customFormat="false" ht="15" hidden="false" customHeight="false" outlineLevel="0" collapsed="false">
      <c r="A9" s="13" t="s">
        <v>141</v>
      </c>
      <c r="B9" s="13" t="s">
        <v>142</v>
      </c>
      <c r="C9" s="13" t="s">
        <v>143</v>
      </c>
      <c r="D9" s="13" t="n">
        <v>5</v>
      </c>
      <c r="E9" s="13" t="s">
        <v>126</v>
      </c>
      <c r="F9" s="13" t="s">
        <v>144</v>
      </c>
    </row>
    <row r="10" customFormat="false" ht="25.35" hidden="false" customHeight="false" outlineLevel="0" collapsed="false">
      <c r="A10" s="13" t="s">
        <v>145</v>
      </c>
      <c r="B10" s="13" t="s">
        <v>146</v>
      </c>
      <c r="C10" s="13" t="s">
        <v>23</v>
      </c>
      <c r="D10" s="13" t="n">
        <v>2.5</v>
      </c>
      <c r="E10" s="13" t="s">
        <v>126</v>
      </c>
      <c r="F10" s="13" t="s">
        <v>123</v>
      </c>
    </row>
    <row r="11" customFormat="false" ht="25.35" hidden="false" customHeight="false" outlineLevel="0" collapsed="false">
      <c r="A11" s="13" t="s">
        <v>147</v>
      </c>
      <c r="B11" s="13" t="s">
        <v>148</v>
      </c>
      <c r="C11" s="13" t="s">
        <v>24</v>
      </c>
      <c r="D11" s="13" t="n">
        <v>2.5</v>
      </c>
      <c r="E11" s="13" t="s">
        <v>126</v>
      </c>
      <c r="F11" s="13" t="s">
        <v>128</v>
      </c>
    </row>
    <row r="12" customFormat="false" ht="15" hidden="false" customHeight="false" outlineLevel="0" collapsed="false">
      <c r="A12" s="13" t="s">
        <v>149</v>
      </c>
      <c r="B12" s="13" t="s">
        <v>150</v>
      </c>
      <c r="C12" s="13" t="s">
        <v>151</v>
      </c>
      <c r="D12" s="13" t="n">
        <v>2.5</v>
      </c>
      <c r="E12" s="13" t="s">
        <v>126</v>
      </c>
      <c r="F12" s="13" t="s">
        <v>133</v>
      </c>
    </row>
    <row r="13" customFormat="false" ht="25.35" hidden="false" customHeight="false" outlineLevel="0" collapsed="false">
      <c r="A13" s="13" t="s">
        <v>152</v>
      </c>
      <c r="B13" s="13" t="s">
        <v>153</v>
      </c>
      <c r="C13" s="13" t="s">
        <v>154</v>
      </c>
      <c r="D13" s="13" t="n">
        <v>2.5</v>
      </c>
      <c r="E13" s="13" t="s">
        <v>126</v>
      </c>
      <c r="F13" s="13" t="s">
        <v>137</v>
      </c>
    </row>
    <row r="14" customFormat="false" ht="15" hidden="false" customHeight="false" outlineLevel="0" collapsed="false">
      <c r="A14" s="13" t="s">
        <v>155</v>
      </c>
      <c r="B14" s="13" t="s">
        <v>156</v>
      </c>
      <c r="C14" s="13" t="s">
        <v>157</v>
      </c>
      <c r="D14" s="13" t="n">
        <v>2.5</v>
      </c>
      <c r="E14" s="13" t="s">
        <v>126</v>
      </c>
      <c r="F14" s="13" t="s">
        <v>141</v>
      </c>
    </row>
    <row r="15" customFormat="false" ht="15" hidden="false" customHeight="false" outlineLevel="0" collapsed="false">
      <c r="A15" s="13" t="s">
        <v>158</v>
      </c>
      <c r="B15" s="13" t="s">
        <v>159</v>
      </c>
      <c r="C15" s="13" t="s">
        <v>160</v>
      </c>
      <c r="D15" s="13" t="n">
        <v>2.5</v>
      </c>
      <c r="E15" s="13" t="s">
        <v>126</v>
      </c>
      <c r="F15" s="13" t="s">
        <v>145</v>
      </c>
    </row>
    <row r="16" customFormat="false" ht="15" hidden="false" customHeight="false" outlineLevel="0" collapsed="false">
      <c r="A16" s="13" t="s">
        <v>161</v>
      </c>
      <c r="B16" s="13" t="s">
        <v>162</v>
      </c>
      <c r="C16" s="13" t="s">
        <v>163</v>
      </c>
      <c r="D16" s="13" t="n">
        <v>2.5</v>
      </c>
      <c r="E16" s="13" t="s">
        <v>126</v>
      </c>
      <c r="F16" s="13" t="s">
        <v>147</v>
      </c>
    </row>
    <row r="17" customFormat="false" ht="15" hidden="false" customHeight="false" outlineLevel="0" collapsed="false">
      <c r="A17" s="13" t="s">
        <v>164</v>
      </c>
      <c r="B17" s="13" t="s">
        <v>165</v>
      </c>
      <c r="C17" s="13" t="s">
        <v>166</v>
      </c>
      <c r="D17" s="13" t="n">
        <v>2.5</v>
      </c>
      <c r="E17" s="13" t="s">
        <v>126</v>
      </c>
      <c r="F17" s="13" t="s">
        <v>149</v>
      </c>
    </row>
    <row r="18" customFormat="false" ht="15" hidden="false" customHeight="false" outlineLevel="0" collapsed="false">
      <c r="A18" s="13" t="s">
        <v>167</v>
      </c>
      <c r="B18" s="13" t="s">
        <v>168</v>
      </c>
      <c r="C18" s="13" t="s">
        <v>31</v>
      </c>
      <c r="D18" s="13" t="n">
        <v>2.5</v>
      </c>
      <c r="E18" s="13" t="s">
        <v>126</v>
      </c>
      <c r="F18" s="13" t="s">
        <v>152</v>
      </c>
    </row>
    <row r="19" customFormat="false" ht="25.35" hidden="false" customHeight="false" outlineLevel="0" collapsed="false">
      <c r="A19" s="13" t="s">
        <v>169</v>
      </c>
      <c r="B19" s="13" t="s">
        <v>170</v>
      </c>
      <c r="C19" s="13" t="s">
        <v>171</v>
      </c>
      <c r="D19" s="13" t="n">
        <v>2.5</v>
      </c>
      <c r="E19" s="13" t="s">
        <v>172</v>
      </c>
      <c r="F19" s="13" t="s">
        <v>155</v>
      </c>
    </row>
    <row r="20" customFormat="false" ht="15" hidden="false" customHeight="false" outlineLevel="0" collapsed="false">
      <c r="A20" s="14"/>
      <c r="B20" s="14" t="s">
        <v>173</v>
      </c>
      <c r="C20" s="14"/>
      <c r="D20" s="14" t="n">
        <v>100</v>
      </c>
      <c r="E20" s="14"/>
      <c r="F20" s="14"/>
    </row>
    <row r="22" customFormat="false" ht="15" hidden="false" customHeight="false" outlineLevel="0" collapsed="false">
      <c r="A22" s="15" t="s">
        <v>117</v>
      </c>
      <c r="B22" s="15" t="s">
        <v>174</v>
      </c>
      <c r="C22" s="15" t="s">
        <v>175</v>
      </c>
      <c r="D22" s="15"/>
      <c r="E22" s="15"/>
      <c r="F22" s="15" t="s">
        <v>176</v>
      </c>
    </row>
    <row r="23" customFormat="false" ht="25.35" hidden="false" customHeight="true" outlineLevel="0" collapsed="false">
      <c r="A23" s="13" t="s">
        <v>144</v>
      </c>
      <c r="B23" s="13" t="s">
        <v>177</v>
      </c>
      <c r="C23" s="13" t="s">
        <v>178</v>
      </c>
      <c r="D23" s="13"/>
      <c r="E23" s="13"/>
      <c r="F23" s="13" t="s">
        <v>179</v>
      </c>
    </row>
    <row r="24" customFormat="false" ht="15" hidden="false" customHeight="true" outlineLevel="0" collapsed="false">
      <c r="A24" s="13" t="s">
        <v>180</v>
      </c>
      <c r="B24" s="13" t="s">
        <v>33</v>
      </c>
      <c r="C24" s="13" t="s">
        <v>181</v>
      </c>
      <c r="D24" s="13"/>
      <c r="E24" s="13"/>
      <c r="F24" s="13" t="s">
        <v>182</v>
      </c>
    </row>
    <row r="25" customFormat="false" ht="49.25" hidden="false" customHeight="true" outlineLevel="0" collapsed="false">
      <c r="A25" s="13" t="s">
        <v>183</v>
      </c>
      <c r="B25" s="13" t="s">
        <v>34</v>
      </c>
      <c r="C25" s="13" t="s">
        <v>184</v>
      </c>
      <c r="D25" s="13"/>
      <c r="E25" s="13"/>
      <c r="F25" s="13" t="s">
        <v>185</v>
      </c>
    </row>
    <row r="26" customFormat="false" ht="25.35" hidden="false" customHeight="true" outlineLevel="0" collapsed="false">
      <c r="A26" s="13" t="s">
        <v>186</v>
      </c>
      <c r="B26" s="13" t="s">
        <v>35</v>
      </c>
      <c r="C26" s="13" t="s">
        <v>187</v>
      </c>
      <c r="D26" s="13"/>
      <c r="E26" s="13"/>
      <c r="F26" s="13" t="s">
        <v>188</v>
      </c>
    </row>
    <row r="27" customFormat="false" ht="25.35" hidden="false" customHeight="true" outlineLevel="0" collapsed="false">
      <c r="A27" s="13" t="s">
        <v>189</v>
      </c>
      <c r="B27" s="13" t="s">
        <v>36</v>
      </c>
      <c r="C27" s="13" t="s">
        <v>190</v>
      </c>
      <c r="D27" s="13"/>
      <c r="E27" s="13"/>
      <c r="F27" s="13" t="s">
        <v>191</v>
      </c>
    </row>
    <row r="28" customFormat="false" ht="25.35" hidden="false" customHeight="true" outlineLevel="0" collapsed="false">
      <c r="A28" s="13" t="s">
        <v>192</v>
      </c>
      <c r="B28" s="13" t="s">
        <v>37</v>
      </c>
      <c r="C28" s="13" t="s">
        <v>126</v>
      </c>
      <c r="D28" s="13"/>
      <c r="E28" s="13"/>
      <c r="F28" s="13" t="s">
        <v>193</v>
      </c>
    </row>
    <row r="30" customFormat="false" ht="15" hidden="false" customHeight="false" outlineLevel="0" collapsed="false">
      <c r="A30" s="15" t="s">
        <v>194</v>
      </c>
      <c r="B30" s="15" t="s">
        <v>195</v>
      </c>
      <c r="C30" s="15"/>
      <c r="D30" s="15"/>
      <c r="E30" s="15"/>
      <c r="F30" s="15"/>
    </row>
    <row r="31" customFormat="false" ht="15" hidden="false" customHeight="false" outlineLevel="0" collapsed="false">
      <c r="A31" s="16" t="s">
        <v>196</v>
      </c>
      <c r="B31" s="13" t="s">
        <v>197</v>
      </c>
      <c r="C31" s="13"/>
      <c r="D31" s="13"/>
      <c r="E31" s="13"/>
      <c r="F31" s="13"/>
    </row>
    <row r="32" customFormat="false" ht="25.35" hidden="false" customHeight="false" outlineLevel="0" collapsed="false">
      <c r="A32" s="17" t="s">
        <v>198</v>
      </c>
      <c r="B32" s="13" t="s">
        <v>199</v>
      </c>
      <c r="C32" s="13"/>
      <c r="D32" s="13"/>
      <c r="E32" s="13"/>
      <c r="F32" s="13"/>
    </row>
    <row r="33" customFormat="false" ht="15" hidden="false" customHeight="false" outlineLevel="0" collapsed="false">
      <c r="A33" s="18" t="s">
        <v>200</v>
      </c>
      <c r="B33" s="13" t="s">
        <v>201</v>
      </c>
      <c r="C33" s="13"/>
      <c r="D33" s="13"/>
      <c r="E33" s="13"/>
      <c r="F33" s="13"/>
    </row>
    <row r="34" customFormat="false" ht="15" hidden="false" customHeight="false" outlineLevel="0" collapsed="false">
      <c r="A34" s="19" t="s">
        <v>202</v>
      </c>
      <c r="B34" s="13" t="s">
        <v>203</v>
      </c>
      <c r="C34" s="13"/>
      <c r="D34" s="13"/>
      <c r="E34" s="13"/>
      <c r="F34" s="13"/>
    </row>
    <row r="35" customFormat="false" ht="15" hidden="false" customHeight="false" outlineLevel="0" collapsed="false">
      <c r="A35" s="20" t="s">
        <v>204</v>
      </c>
      <c r="B35" s="13" t="s">
        <v>205</v>
      </c>
      <c r="C35" s="13"/>
      <c r="D35" s="13"/>
      <c r="E35" s="13"/>
      <c r="F35" s="13"/>
    </row>
    <row r="37" customFormat="false" ht="25.35" hidden="false" customHeight="false" outlineLevel="0" collapsed="false">
      <c r="A37" s="15" t="s">
        <v>206</v>
      </c>
      <c r="B37" s="15" t="s">
        <v>207</v>
      </c>
      <c r="C37" s="15"/>
      <c r="D37" s="15"/>
      <c r="E37" s="15"/>
      <c r="F37" s="15"/>
    </row>
    <row r="38" customFormat="false" ht="30" hidden="false" customHeight="true" outlineLevel="0" collapsed="false">
      <c r="A38" s="21" t="n">
        <v>1</v>
      </c>
      <c r="B38" s="22" t="s">
        <v>208</v>
      </c>
      <c r="C38" s="22"/>
      <c r="D38" s="22"/>
      <c r="E38" s="22"/>
      <c r="F38" s="22"/>
    </row>
    <row r="39" customFormat="false" ht="30" hidden="false" customHeight="true" outlineLevel="0" collapsed="false">
      <c r="A39" s="21" t="n">
        <v>2</v>
      </c>
      <c r="B39" s="22" t="s">
        <v>209</v>
      </c>
      <c r="C39" s="22"/>
      <c r="D39" s="22"/>
      <c r="E39" s="22"/>
      <c r="F39" s="22"/>
    </row>
    <row r="40" customFormat="false" ht="30" hidden="false" customHeight="true" outlineLevel="0" collapsed="false">
      <c r="A40" s="21" t="n">
        <v>3</v>
      </c>
      <c r="B40" s="22" t="s">
        <v>210</v>
      </c>
      <c r="C40" s="22"/>
      <c r="D40" s="22"/>
      <c r="E40" s="22"/>
      <c r="F40" s="22"/>
    </row>
    <row r="41" customFormat="false" ht="30" hidden="false" customHeight="true" outlineLevel="0" collapsed="false">
      <c r="A41" s="21" t="n">
        <v>4</v>
      </c>
      <c r="B41" s="22" t="s">
        <v>211</v>
      </c>
      <c r="C41" s="22"/>
      <c r="D41" s="22"/>
      <c r="E41" s="22"/>
      <c r="F41" s="22"/>
    </row>
    <row r="42" customFormat="false" ht="15" hidden="false" customHeight="true" outlineLevel="0" collapsed="false">
      <c r="A42" s="21" t="n">
        <v>5</v>
      </c>
      <c r="B42" s="22" t="s">
        <v>212</v>
      </c>
      <c r="C42" s="22"/>
      <c r="D42" s="22"/>
      <c r="E42" s="22"/>
      <c r="F42" s="22"/>
    </row>
  </sheetData>
  <mergeCells count="11">
    <mergeCell ref="C23:E23"/>
    <mergeCell ref="C24:E24"/>
    <mergeCell ref="C25:E25"/>
    <mergeCell ref="C26:E26"/>
    <mergeCell ref="C27:E27"/>
    <mergeCell ref="C28:E28"/>
    <mergeCell ref="B38:F38"/>
    <mergeCell ref="B39:F39"/>
    <mergeCell ref="B40:F40"/>
    <mergeCell ref="B41:F41"/>
    <mergeCell ref="B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16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0" t="s">
        <v>213</v>
      </c>
    </row>
    <row r="3" customFormat="false" ht="49.25" hidden="false" customHeight="false" outlineLevel="0" collapsed="false">
      <c r="A3" s="12" t="s">
        <v>206</v>
      </c>
      <c r="B3" s="12" t="s">
        <v>214</v>
      </c>
      <c r="C3" s="12" t="s">
        <v>215</v>
      </c>
      <c r="D3" s="12" t="s">
        <v>216</v>
      </c>
      <c r="E3" s="12" t="s">
        <v>217</v>
      </c>
      <c r="F3" s="12" t="s">
        <v>218</v>
      </c>
      <c r="G3" s="12" t="s">
        <v>219</v>
      </c>
      <c r="H3" s="12" t="s">
        <v>220</v>
      </c>
    </row>
    <row r="4" customFormat="false" ht="15" hidden="false" customHeight="false" outlineLevel="0" collapsed="false">
      <c r="A4" s="13" t="n">
        <v>1</v>
      </c>
      <c r="B4" s="13" t="n">
        <v>10</v>
      </c>
      <c r="C4" s="13" t="s">
        <v>59</v>
      </c>
      <c r="D4" s="13" t="s">
        <v>60</v>
      </c>
      <c r="E4" s="13" t="s">
        <v>150</v>
      </c>
      <c r="F4" s="13" t="n">
        <v>1.5</v>
      </c>
      <c r="G4" s="13" t="n">
        <v>1</v>
      </c>
      <c r="H4" s="13" t="s">
        <v>221</v>
      </c>
    </row>
    <row r="5" customFormat="false" ht="15" hidden="false" customHeight="false" outlineLevel="0" collapsed="false">
      <c r="A5" s="13" t="n">
        <v>2</v>
      </c>
      <c r="B5" s="13" t="n">
        <v>11</v>
      </c>
      <c r="C5" s="13" t="s">
        <v>59</v>
      </c>
      <c r="D5" s="13" t="s">
        <v>61</v>
      </c>
      <c r="E5" s="13" t="s">
        <v>150</v>
      </c>
      <c r="F5" s="13" t="n">
        <v>1.5</v>
      </c>
      <c r="G5" s="13" t="n">
        <v>1</v>
      </c>
      <c r="H5" s="13" t="s">
        <v>221</v>
      </c>
    </row>
    <row r="6" customFormat="false" ht="15" hidden="false" customHeight="false" outlineLevel="0" collapsed="false">
      <c r="A6" s="13" t="n">
        <v>3</v>
      </c>
      <c r="B6" s="13" t="n">
        <v>12</v>
      </c>
      <c r="C6" s="13" t="s">
        <v>59</v>
      </c>
      <c r="D6" s="13" t="s">
        <v>62</v>
      </c>
      <c r="E6" s="13" t="s">
        <v>150</v>
      </c>
      <c r="F6" s="13" t="n">
        <v>1.5</v>
      </c>
      <c r="G6" s="13" t="n">
        <v>1</v>
      </c>
      <c r="H6" s="13" t="s">
        <v>221</v>
      </c>
    </row>
    <row r="7" customFormat="false" ht="15" hidden="false" customHeight="false" outlineLevel="0" collapsed="false">
      <c r="A7" s="13" t="n">
        <v>4</v>
      </c>
      <c r="B7" s="13" t="n">
        <v>13</v>
      </c>
      <c r="C7" s="13" t="s">
        <v>59</v>
      </c>
      <c r="D7" s="13" t="s">
        <v>63</v>
      </c>
      <c r="E7" s="13" t="s">
        <v>150</v>
      </c>
      <c r="F7" s="13" t="n">
        <v>1.5</v>
      </c>
      <c r="G7" s="13" t="n">
        <v>1</v>
      </c>
      <c r="H7" s="13" t="s">
        <v>221</v>
      </c>
    </row>
    <row r="8" customFormat="false" ht="15" hidden="false" customHeight="false" outlineLevel="0" collapsed="false">
      <c r="A8" s="13" t="n">
        <v>5</v>
      </c>
      <c r="B8" s="13" t="n">
        <v>14</v>
      </c>
      <c r="C8" s="13" t="s">
        <v>59</v>
      </c>
      <c r="D8" s="13" t="s">
        <v>64</v>
      </c>
      <c r="E8" s="13" t="s">
        <v>150</v>
      </c>
      <c r="F8" s="13" t="n">
        <v>1.5</v>
      </c>
      <c r="G8" s="13" t="n">
        <v>1</v>
      </c>
      <c r="H8" s="13" t="s">
        <v>221</v>
      </c>
    </row>
    <row r="9" customFormat="false" ht="15" hidden="false" customHeight="false" outlineLevel="0" collapsed="false">
      <c r="A9" s="13" t="n">
        <v>6</v>
      </c>
      <c r="B9" s="13" t="n">
        <v>15</v>
      </c>
      <c r="C9" s="13" t="s">
        <v>66</v>
      </c>
      <c r="D9" s="13" t="s">
        <v>62</v>
      </c>
      <c r="E9" s="13" t="s">
        <v>150</v>
      </c>
      <c r="F9" s="13" t="n">
        <v>1.5</v>
      </c>
      <c r="G9" s="13" t="n">
        <v>1</v>
      </c>
      <c r="H9" s="13" t="s">
        <v>221</v>
      </c>
    </row>
    <row r="10" customFormat="false" ht="15" hidden="false" customHeight="false" outlineLevel="0" collapsed="false">
      <c r="A10" s="13" t="n">
        <v>7</v>
      </c>
      <c r="B10" s="13" t="n">
        <v>20</v>
      </c>
      <c r="C10" s="13" t="s">
        <v>71</v>
      </c>
      <c r="D10" s="13" t="s">
        <v>68</v>
      </c>
      <c r="E10" s="13" t="s">
        <v>150</v>
      </c>
      <c r="F10" s="13" t="n">
        <v>1.5</v>
      </c>
      <c r="G10" s="13" t="n">
        <v>1</v>
      </c>
      <c r="H10" s="13" t="s">
        <v>221</v>
      </c>
    </row>
    <row r="11" customFormat="false" ht="15" hidden="false" customHeight="false" outlineLevel="0" collapsed="false">
      <c r="A11" s="13" t="n">
        <v>8</v>
      </c>
      <c r="B11" s="13" t="n">
        <v>22</v>
      </c>
      <c r="C11" s="13" t="s">
        <v>71</v>
      </c>
      <c r="D11" s="13" t="s">
        <v>63</v>
      </c>
      <c r="E11" s="13" t="s">
        <v>150</v>
      </c>
      <c r="F11" s="13" t="n">
        <v>1.5</v>
      </c>
      <c r="G11" s="13" t="n">
        <v>1</v>
      </c>
      <c r="H11" s="13" t="s">
        <v>221</v>
      </c>
    </row>
    <row r="12" customFormat="false" ht="15" hidden="false" customHeight="false" outlineLevel="0" collapsed="false">
      <c r="A12" s="13" t="n">
        <v>9</v>
      </c>
      <c r="B12" s="13" t="n">
        <v>23</v>
      </c>
      <c r="C12" s="13" t="s">
        <v>71</v>
      </c>
      <c r="D12" s="13" t="s">
        <v>73</v>
      </c>
      <c r="E12" s="13" t="s">
        <v>150</v>
      </c>
      <c r="F12" s="13" t="n">
        <v>1.5</v>
      </c>
      <c r="G12" s="13" t="n">
        <v>1</v>
      </c>
      <c r="H12" s="13" t="s">
        <v>221</v>
      </c>
    </row>
    <row r="13" customFormat="false" ht="15" hidden="false" customHeight="false" outlineLevel="0" collapsed="false">
      <c r="A13" s="13" t="n">
        <v>10</v>
      </c>
      <c r="B13" s="13" t="n">
        <v>31</v>
      </c>
      <c r="C13" s="13" t="s">
        <v>75</v>
      </c>
      <c r="D13" s="13" t="s">
        <v>60</v>
      </c>
      <c r="E13" s="13" t="s">
        <v>150</v>
      </c>
      <c r="F13" s="13" t="n">
        <v>1.5</v>
      </c>
      <c r="G13" s="13" t="n">
        <v>1</v>
      </c>
      <c r="H13" s="13" t="s">
        <v>221</v>
      </c>
    </row>
    <row r="14" customFormat="false" ht="15" hidden="false" customHeight="false" outlineLevel="0" collapsed="false">
      <c r="A14" s="13" t="n">
        <v>11</v>
      </c>
      <c r="B14" s="13" t="n">
        <v>33</v>
      </c>
      <c r="C14" s="13" t="s">
        <v>79</v>
      </c>
      <c r="D14" s="13" t="s">
        <v>61</v>
      </c>
      <c r="E14" s="13" t="s">
        <v>150</v>
      </c>
      <c r="F14" s="13" t="n">
        <v>1.5</v>
      </c>
      <c r="G14" s="13" t="n">
        <v>1</v>
      </c>
      <c r="H14" s="13" t="s">
        <v>221</v>
      </c>
    </row>
    <row r="15" customFormat="false" ht="15" hidden="false" customHeight="false" outlineLevel="0" collapsed="false">
      <c r="A15" s="13" t="n">
        <v>12</v>
      </c>
      <c r="B15" s="13" t="n">
        <v>33</v>
      </c>
      <c r="C15" s="13" t="s">
        <v>79</v>
      </c>
      <c r="D15" s="13" t="s">
        <v>61</v>
      </c>
      <c r="E15" s="13" t="s">
        <v>222</v>
      </c>
      <c r="F15" s="13" t="n">
        <v>1.5</v>
      </c>
      <c r="G15" s="13" t="n">
        <v>1</v>
      </c>
      <c r="H15" s="13" t="s">
        <v>221</v>
      </c>
    </row>
    <row r="16" customFormat="false" ht="15" hidden="false" customHeight="false" outlineLevel="0" collapsed="false">
      <c r="A16" s="13" t="n">
        <v>13</v>
      </c>
      <c r="B16" s="13" t="n">
        <v>34</v>
      </c>
      <c r="C16" s="13" t="s">
        <v>79</v>
      </c>
      <c r="D16" s="13" t="s">
        <v>63</v>
      </c>
      <c r="E16" s="13" t="s">
        <v>150</v>
      </c>
      <c r="F16" s="13" t="n">
        <v>1.5</v>
      </c>
      <c r="G16" s="13" t="n">
        <v>1</v>
      </c>
      <c r="H16" s="13" t="s">
        <v>221</v>
      </c>
    </row>
    <row r="17" customFormat="false" ht="15" hidden="false" customHeight="false" outlineLevel="0" collapsed="false">
      <c r="A17" s="13" t="n">
        <v>14</v>
      </c>
      <c r="B17" s="13" t="n">
        <v>34</v>
      </c>
      <c r="C17" s="13" t="s">
        <v>79</v>
      </c>
      <c r="D17" s="13" t="s">
        <v>63</v>
      </c>
      <c r="E17" s="13" t="s">
        <v>222</v>
      </c>
      <c r="F17" s="13" t="n">
        <v>1.5</v>
      </c>
      <c r="G17" s="13" t="n">
        <v>1</v>
      </c>
      <c r="H17" s="13" t="s">
        <v>221</v>
      </c>
    </row>
    <row r="18" customFormat="false" ht="15" hidden="false" customHeight="false" outlineLevel="0" collapsed="false">
      <c r="A18" s="13" t="n">
        <v>15</v>
      </c>
      <c r="B18" s="13" t="n">
        <v>35</v>
      </c>
      <c r="C18" s="13" t="s">
        <v>79</v>
      </c>
      <c r="D18" s="13" t="s">
        <v>72</v>
      </c>
      <c r="E18" s="13" t="s">
        <v>150</v>
      </c>
      <c r="F18" s="13" t="n">
        <v>1.5</v>
      </c>
      <c r="G18" s="13" t="n">
        <v>1</v>
      </c>
      <c r="H18" s="13" t="s">
        <v>221</v>
      </c>
    </row>
    <row r="19" customFormat="false" ht="15" hidden="false" customHeight="false" outlineLevel="0" collapsed="false">
      <c r="A19" s="13" t="n">
        <v>16</v>
      </c>
      <c r="B19" s="13" t="n">
        <v>35</v>
      </c>
      <c r="C19" s="13" t="s">
        <v>79</v>
      </c>
      <c r="D19" s="13" t="s">
        <v>72</v>
      </c>
      <c r="E19" s="13" t="s">
        <v>222</v>
      </c>
      <c r="F19" s="13" t="n">
        <v>1.5</v>
      </c>
      <c r="G19" s="13" t="n">
        <v>1</v>
      </c>
      <c r="H19" s="13" t="s">
        <v>221</v>
      </c>
    </row>
    <row r="20" customFormat="false" ht="15" hidden="false" customHeight="false" outlineLevel="0" collapsed="false">
      <c r="A20" s="13" t="n">
        <v>17</v>
      </c>
      <c r="B20" s="13" t="n">
        <v>36</v>
      </c>
      <c r="C20" s="13" t="s">
        <v>79</v>
      </c>
      <c r="D20" s="13" t="s">
        <v>80</v>
      </c>
      <c r="E20" s="13" t="s">
        <v>150</v>
      </c>
      <c r="F20" s="13" t="n">
        <v>1.5</v>
      </c>
      <c r="G20" s="13" t="n">
        <v>1</v>
      </c>
      <c r="H20" s="13" t="s">
        <v>221</v>
      </c>
    </row>
    <row r="21" customFormat="false" ht="15" hidden="false" customHeight="false" outlineLevel="0" collapsed="false">
      <c r="A21" s="13" t="n">
        <v>18</v>
      </c>
      <c r="B21" s="13" t="n">
        <v>36</v>
      </c>
      <c r="C21" s="13" t="s">
        <v>79</v>
      </c>
      <c r="D21" s="13" t="s">
        <v>80</v>
      </c>
      <c r="E21" s="13" t="s">
        <v>222</v>
      </c>
      <c r="F21" s="13" t="n">
        <v>1.5</v>
      </c>
      <c r="G21" s="13" t="n">
        <v>1</v>
      </c>
      <c r="H21" s="13" t="s">
        <v>221</v>
      </c>
    </row>
    <row r="22" customFormat="false" ht="15" hidden="false" customHeight="false" outlineLevel="0" collapsed="false">
      <c r="A22" s="13" t="n">
        <v>19</v>
      </c>
      <c r="B22" s="13" t="n">
        <v>37</v>
      </c>
      <c r="C22" s="13" t="s">
        <v>79</v>
      </c>
      <c r="D22" s="13" t="s">
        <v>60</v>
      </c>
      <c r="E22" s="13" t="s">
        <v>150</v>
      </c>
      <c r="F22" s="13" t="n">
        <v>1.5</v>
      </c>
      <c r="G22" s="13" t="n">
        <v>1</v>
      </c>
      <c r="H22" s="13" t="s">
        <v>221</v>
      </c>
    </row>
    <row r="23" customFormat="false" ht="15" hidden="false" customHeight="false" outlineLevel="0" collapsed="false">
      <c r="A23" s="13" t="n">
        <v>20</v>
      </c>
      <c r="B23" s="13" t="n">
        <v>37</v>
      </c>
      <c r="C23" s="13" t="s">
        <v>79</v>
      </c>
      <c r="D23" s="13" t="s">
        <v>60</v>
      </c>
      <c r="E23" s="13" t="s">
        <v>222</v>
      </c>
      <c r="F23" s="13" t="n">
        <v>1.5</v>
      </c>
      <c r="G23" s="13" t="n">
        <v>1</v>
      </c>
      <c r="H23" s="13" t="s">
        <v>221</v>
      </c>
    </row>
    <row r="24" customFormat="false" ht="15" hidden="false" customHeight="false" outlineLevel="0" collapsed="false">
      <c r="A24" s="13" t="n">
        <v>21</v>
      </c>
      <c r="B24" s="13" t="n">
        <v>38</v>
      </c>
      <c r="C24" s="13" t="s">
        <v>82</v>
      </c>
      <c r="D24" s="13" t="s">
        <v>83</v>
      </c>
      <c r="E24" s="13" t="s">
        <v>150</v>
      </c>
      <c r="F24" s="13" t="n">
        <v>1.5</v>
      </c>
      <c r="G24" s="13" t="n">
        <v>1</v>
      </c>
      <c r="H24" s="13" t="s">
        <v>221</v>
      </c>
    </row>
    <row r="25" customFormat="false" ht="15" hidden="false" customHeight="false" outlineLevel="0" collapsed="false">
      <c r="A25" s="13" t="n">
        <v>22</v>
      </c>
      <c r="B25" s="13" t="n">
        <v>38</v>
      </c>
      <c r="C25" s="13" t="s">
        <v>82</v>
      </c>
      <c r="D25" s="13" t="s">
        <v>83</v>
      </c>
      <c r="E25" s="13" t="s">
        <v>222</v>
      </c>
      <c r="F25" s="13" t="n">
        <v>1.5</v>
      </c>
      <c r="G25" s="13" t="n">
        <v>1</v>
      </c>
      <c r="H25" s="13" t="s">
        <v>221</v>
      </c>
    </row>
    <row r="26" customFormat="false" ht="15" hidden="false" customHeight="false" outlineLevel="0" collapsed="false">
      <c r="A26" s="13" t="n">
        <v>23</v>
      </c>
      <c r="B26" s="13" t="n">
        <v>39</v>
      </c>
      <c r="C26" s="13" t="s">
        <v>82</v>
      </c>
      <c r="D26" s="13" t="s">
        <v>63</v>
      </c>
      <c r="E26" s="13" t="s">
        <v>222</v>
      </c>
      <c r="F26" s="13" t="n">
        <v>1.5</v>
      </c>
      <c r="G26" s="13" t="n">
        <v>1</v>
      </c>
      <c r="H26" s="13" t="s">
        <v>221</v>
      </c>
    </row>
    <row r="27" customFormat="false" ht="15" hidden="false" customHeight="false" outlineLevel="0" collapsed="false">
      <c r="A27" s="13" t="n">
        <v>24</v>
      </c>
      <c r="B27" s="13" t="n">
        <v>40</v>
      </c>
      <c r="C27" s="13" t="s">
        <v>82</v>
      </c>
      <c r="D27" s="13" t="s">
        <v>68</v>
      </c>
      <c r="E27" s="13" t="s">
        <v>222</v>
      </c>
      <c r="F27" s="13" t="n">
        <v>1.5</v>
      </c>
      <c r="G27" s="13" t="n">
        <v>1</v>
      </c>
      <c r="H27" s="13" t="s">
        <v>221</v>
      </c>
    </row>
    <row r="28" customFormat="false" ht="15" hidden="false" customHeight="false" outlineLevel="0" collapsed="false">
      <c r="A28" s="13" t="n">
        <v>25</v>
      </c>
      <c r="B28" s="13" t="n">
        <v>41</v>
      </c>
      <c r="C28" s="13" t="s">
        <v>82</v>
      </c>
      <c r="D28" s="13" t="s">
        <v>62</v>
      </c>
      <c r="E28" s="13" t="s">
        <v>150</v>
      </c>
      <c r="F28" s="13" t="n">
        <v>1.5</v>
      </c>
      <c r="G28" s="13" t="n">
        <v>1</v>
      </c>
      <c r="H28" s="13" t="s">
        <v>221</v>
      </c>
    </row>
    <row r="29" customFormat="false" ht="15" hidden="false" customHeight="false" outlineLevel="0" collapsed="false">
      <c r="A29" s="13" t="n">
        <v>26</v>
      </c>
      <c r="B29" s="13" t="n">
        <v>41</v>
      </c>
      <c r="C29" s="13" t="s">
        <v>82</v>
      </c>
      <c r="D29" s="13" t="s">
        <v>62</v>
      </c>
      <c r="E29" s="13" t="s">
        <v>222</v>
      </c>
      <c r="F29" s="13" t="n">
        <v>1.5</v>
      </c>
      <c r="G29" s="13" t="n">
        <v>1</v>
      </c>
      <c r="H29" s="13" t="s">
        <v>221</v>
      </c>
    </row>
    <row r="30" customFormat="false" ht="15" hidden="false" customHeight="false" outlineLevel="0" collapsed="false">
      <c r="A30" s="13" t="n">
        <v>27</v>
      </c>
      <c r="B30" s="13" t="n">
        <v>42</v>
      </c>
      <c r="C30" s="13" t="s">
        <v>85</v>
      </c>
      <c r="D30" s="13" t="s">
        <v>61</v>
      </c>
      <c r="E30" s="13" t="s">
        <v>150</v>
      </c>
      <c r="F30" s="13" t="n">
        <v>1.5</v>
      </c>
      <c r="G30" s="13" t="n">
        <v>1</v>
      </c>
      <c r="H30" s="13" t="s">
        <v>221</v>
      </c>
    </row>
    <row r="31" customFormat="false" ht="15" hidden="false" customHeight="false" outlineLevel="0" collapsed="false">
      <c r="A31" s="13" t="n">
        <v>28</v>
      </c>
      <c r="B31" s="13" t="n">
        <v>43</v>
      </c>
      <c r="C31" s="13" t="s">
        <v>85</v>
      </c>
      <c r="D31" s="13" t="s">
        <v>67</v>
      </c>
      <c r="E31" s="13" t="s">
        <v>150</v>
      </c>
      <c r="F31" s="13" t="n">
        <v>1.5</v>
      </c>
      <c r="G31" s="13" t="n">
        <v>1</v>
      </c>
      <c r="H31" s="13" t="s">
        <v>221</v>
      </c>
    </row>
    <row r="32" customFormat="false" ht="15" hidden="false" customHeight="false" outlineLevel="0" collapsed="false">
      <c r="A32" s="13" t="n">
        <v>29</v>
      </c>
      <c r="B32" s="13" t="n">
        <v>44</v>
      </c>
      <c r="C32" s="13" t="s">
        <v>85</v>
      </c>
      <c r="D32" s="13" t="s">
        <v>86</v>
      </c>
      <c r="E32" s="13" t="s">
        <v>150</v>
      </c>
      <c r="F32" s="13" t="n">
        <v>1.5</v>
      </c>
      <c r="G32" s="13" t="n">
        <v>1</v>
      </c>
      <c r="H32" s="13" t="s">
        <v>221</v>
      </c>
    </row>
    <row r="33" customFormat="false" ht="15" hidden="false" customHeight="false" outlineLevel="0" collapsed="false">
      <c r="A33" s="13" t="n">
        <v>30</v>
      </c>
      <c r="B33" s="13" t="n">
        <v>45</v>
      </c>
      <c r="C33" s="13" t="s">
        <v>85</v>
      </c>
      <c r="D33" s="13" t="s">
        <v>63</v>
      </c>
      <c r="E33" s="13" t="s">
        <v>150</v>
      </c>
      <c r="F33" s="13" t="n">
        <v>1.5</v>
      </c>
      <c r="G33" s="13" t="n">
        <v>1</v>
      </c>
      <c r="H33" s="13" t="s">
        <v>221</v>
      </c>
    </row>
    <row r="34" customFormat="false" ht="15" hidden="false" customHeight="false" outlineLevel="0" collapsed="false">
      <c r="A34" s="13" t="n">
        <v>31</v>
      </c>
      <c r="B34" s="13" t="n">
        <v>46</v>
      </c>
      <c r="C34" s="13" t="s">
        <v>85</v>
      </c>
      <c r="D34" s="13" t="s">
        <v>73</v>
      </c>
      <c r="E34" s="13" t="s">
        <v>150</v>
      </c>
      <c r="F34" s="13" t="n">
        <v>1.5</v>
      </c>
      <c r="G34" s="13" t="n">
        <v>1</v>
      </c>
      <c r="H34" s="13" t="s">
        <v>221</v>
      </c>
    </row>
    <row r="35" customFormat="false" ht="15" hidden="false" customHeight="false" outlineLevel="0" collapsed="false">
      <c r="A35" s="13" t="n">
        <v>32</v>
      </c>
      <c r="B35" s="13" t="n">
        <v>47</v>
      </c>
      <c r="C35" s="13" t="s">
        <v>85</v>
      </c>
      <c r="D35" s="13" t="s">
        <v>60</v>
      </c>
      <c r="E35" s="13" t="s">
        <v>150</v>
      </c>
      <c r="F35" s="13" t="n">
        <v>1.5</v>
      </c>
      <c r="G35" s="13" t="n">
        <v>1</v>
      </c>
      <c r="H35" s="13" t="s">
        <v>221</v>
      </c>
    </row>
    <row r="36" customFormat="false" ht="15" hidden="false" customHeight="false" outlineLevel="0" collapsed="false">
      <c r="A36" s="13" t="n">
        <v>33</v>
      </c>
      <c r="B36" s="13" t="n">
        <v>48</v>
      </c>
      <c r="C36" s="13" t="s">
        <v>85</v>
      </c>
      <c r="D36" s="13" t="s">
        <v>68</v>
      </c>
      <c r="E36" s="13" t="s">
        <v>150</v>
      </c>
      <c r="F36" s="13" t="n">
        <v>1.5</v>
      </c>
      <c r="G36" s="13" t="n">
        <v>1</v>
      </c>
      <c r="H36" s="13" t="s">
        <v>221</v>
      </c>
    </row>
    <row r="37" customFormat="false" ht="15" hidden="false" customHeight="false" outlineLevel="0" collapsed="false">
      <c r="A37" s="13" t="n">
        <v>34</v>
      </c>
      <c r="B37" s="13" t="n">
        <v>10</v>
      </c>
      <c r="C37" s="13" t="s">
        <v>59</v>
      </c>
      <c r="D37" s="13" t="s">
        <v>223</v>
      </c>
      <c r="E37" s="13" t="s">
        <v>34</v>
      </c>
      <c r="F37" s="13" t="n">
        <v>50.5</v>
      </c>
      <c r="G37" s="13" t="n">
        <v>50</v>
      </c>
      <c r="H37" s="13" t="s">
        <v>224</v>
      </c>
    </row>
    <row r="38" customFormat="false" ht="15" hidden="false" customHeight="false" outlineLevel="0" collapsed="false">
      <c r="A38" s="13" t="n">
        <v>35</v>
      </c>
      <c r="B38" s="13" t="n">
        <v>15</v>
      </c>
      <c r="C38" s="13" t="s">
        <v>66</v>
      </c>
      <c r="D38" s="13" t="s">
        <v>223</v>
      </c>
      <c r="E38" s="13" t="s">
        <v>34</v>
      </c>
      <c r="F38" s="13" t="n">
        <v>64.7</v>
      </c>
      <c r="G38" s="13" t="n">
        <v>64.6</v>
      </c>
      <c r="H38" s="13" t="s">
        <v>224</v>
      </c>
    </row>
    <row r="39" customFormat="false" ht="15" hidden="false" customHeight="false" outlineLevel="0" collapsed="false">
      <c r="A39" s="13" t="n">
        <v>36</v>
      </c>
      <c r="B39" s="13" t="n">
        <v>20</v>
      </c>
      <c r="C39" s="13" t="s">
        <v>71</v>
      </c>
      <c r="D39" s="13" t="s">
        <v>223</v>
      </c>
      <c r="E39" s="13" t="s">
        <v>34</v>
      </c>
      <c r="F39" s="13" t="n">
        <v>63.58</v>
      </c>
      <c r="G39" s="13" t="n">
        <v>63.33</v>
      </c>
      <c r="H39" s="13" t="s">
        <v>224</v>
      </c>
    </row>
    <row r="40" customFormat="false" ht="15" hidden="false" customHeight="false" outlineLevel="0" collapsed="false">
      <c r="A40" s="13" t="n">
        <v>37</v>
      </c>
      <c r="B40" s="13" t="n">
        <v>26</v>
      </c>
      <c r="C40" s="13" t="s">
        <v>75</v>
      </c>
      <c r="D40" s="13" t="s">
        <v>223</v>
      </c>
      <c r="E40" s="13" t="s">
        <v>34</v>
      </c>
      <c r="F40" s="13" t="n">
        <v>85.64</v>
      </c>
      <c r="G40" s="13" t="n">
        <v>85.57</v>
      </c>
      <c r="H40" s="13" t="s">
        <v>224</v>
      </c>
    </row>
    <row r="41" customFormat="false" ht="15" hidden="false" customHeight="false" outlineLevel="0" collapsed="false">
      <c r="A41" s="13" t="n">
        <v>38</v>
      </c>
      <c r="B41" s="13" t="n">
        <v>33</v>
      </c>
      <c r="C41" s="13" t="s">
        <v>79</v>
      </c>
      <c r="D41" s="13" t="s">
        <v>223</v>
      </c>
      <c r="E41" s="13" t="s">
        <v>34</v>
      </c>
      <c r="F41" s="13" t="n">
        <v>75.3</v>
      </c>
      <c r="G41" s="13" t="n">
        <v>74.3</v>
      </c>
      <c r="H41" s="13" t="s">
        <v>224</v>
      </c>
    </row>
    <row r="42" customFormat="false" ht="15" hidden="false" customHeight="false" outlineLevel="0" collapsed="false">
      <c r="A42" s="13" t="n">
        <v>39</v>
      </c>
      <c r="B42" s="13" t="n">
        <v>38</v>
      </c>
      <c r="C42" s="13" t="s">
        <v>82</v>
      </c>
      <c r="D42" s="13" t="s">
        <v>223</v>
      </c>
      <c r="E42" s="13" t="s">
        <v>34</v>
      </c>
      <c r="F42" s="13" t="n">
        <v>91.62</v>
      </c>
      <c r="G42" s="13" t="n">
        <v>90.88</v>
      </c>
      <c r="H42" s="13" t="s">
        <v>224</v>
      </c>
    </row>
    <row r="43" customFormat="false" ht="15" hidden="false" customHeight="false" outlineLevel="0" collapsed="false">
      <c r="A43" s="13" t="n">
        <v>40</v>
      </c>
      <c r="B43" s="13" t="n">
        <v>42</v>
      </c>
      <c r="C43" s="13" t="s">
        <v>85</v>
      </c>
      <c r="D43" s="13" t="s">
        <v>223</v>
      </c>
      <c r="E43" s="13" t="s">
        <v>34</v>
      </c>
      <c r="F43" s="13" t="n">
        <v>69.5</v>
      </c>
      <c r="G43" s="13" t="n">
        <v>69</v>
      </c>
      <c r="H43" s="13" t="s">
        <v>224</v>
      </c>
    </row>
    <row r="44" customFormat="false" ht="15" hidden="false" customHeight="false" outlineLevel="0" collapsed="false">
      <c r="A44" s="13" t="n">
        <v>41</v>
      </c>
      <c r="B44" s="13" t="n">
        <v>42</v>
      </c>
      <c r="C44" s="13" t="s">
        <v>85</v>
      </c>
      <c r="D44" s="13" t="s">
        <v>223</v>
      </c>
      <c r="E44" s="13" t="s">
        <v>35</v>
      </c>
      <c r="F44" s="13" t="s">
        <v>198</v>
      </c>
      <c r="G44" s="13" t="s">
        <v>200</v>
      </c>
      <c r="H44" s="13" t="s">
        <v>225</v>
      </c>
    </row>
  </sheetData>
  <autoFilter ref="A3:H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2026-10-06T05:30:32Z</dcterms:created>
  <dc:creator>openpyxl</dc:creator>
  <dc:description/>
  <dc:language>en-US</dc:language>
  <cp:lastModifiedBy/>
  <dcterms:modified xsi:type="dcterms:W3CDTF">2026-10-06T05:30:32Z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