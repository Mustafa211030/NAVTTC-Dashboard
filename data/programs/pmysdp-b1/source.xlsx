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bined Sheet" sheetId="1" state="visible" r:id="rId3"/>
    <sheet name="Scoring Criteria" sheetId="2" state="visible" r:id="rId4"/>
    <sheet name="Change Log" sheetId="3" state="visible" r:id="rId5"/>
  </sheets>
  <definedNames>
    <definedName function="false" hidden="true" localSheetId="2" name="_xlnm._FilterDatabase" vbProcedure="false">'Change Log'!$A$3:$H$68</definedName>
    <definedName function="false" hidden="true" localSheetId="0" name="_xlnm._FilterDatabase" vbProcedure="false">'Combined Sheet'!$A$1:$BD$436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<sst xmlns="http://schemas.openxmlformats.org/spreadsheetml/2006/main" count="10967" uniqueCount="1512">
  <si>
    <t xml:space="preserve">Sr No</t>
  </si>
  <si>
    <t xml:space="preserve">Package</t>
  </si>
  <si>
    <t xml:space="preserve">Program Name</t>
  </si>
  <si>
    <t xml:space="preserve">Region Name</t>
  </si>
  <si>
    <t xml:space="preserve">District Name</t>
  </si>
  <si>
    <t xml:space="preserve">Institute ID</t>
  </si>
  <si>
    <t xml:space="preserve">Institute Name</t>
  </si>
  <si>
    <t xml:space="preserve">TradeName</t>
  </si>
  <si>
    <t xml:space="preserve">Batches</t>
  </si>
  <si>
    <t xml:space="preserve">Institute Trade Code</t>
  </si>
  <si>
    <t xml:space="preserve">Trade Code</t>
  </si>
  <si>
    <t xml:space="preserve">Approved 
Capacity</t>
  </si>
  <si>
    <t xml:space="preserve">Enrolled 
Students
(Approved - Dropped)</t>
  </si>
  <si>
    <t xml:space="preserve">Dropped 
Out</t>
  </si>
  <si>
    <t xml:space="preserve">Present</t>
  </si>
  <si>
    <t xml:space="preserve">Absent</t>
  </si>
  <si>
    <t xml:space="preserve">CNIC 
Verified</t>
  </si>
  <si>
    <t xml:space="preserve">Attendance %
</t>
  </si>
  <si>
    <t xml:space="preserve">Attendance Score
(Present ÷ Approved)
80-100%(50),50-79%(30),
01-49%(10), 0%(0)</t>
  </si>
  <si>
    <t xml:space="preserve">NAVTTC Program Information / Sign Board
Installed (2.5), No (0)</t>
  </si>
  <si>
    <t xml:space="preserve">Biometric Device synchronized with NAVTTC PMS Portal
Yes (10), No (0)</t>
  </si>
  <si>
    <t xml:space="preserve">CCTV installed in each classroom / workshop with accessible IP link
Yes (5), No (0)</t>
  </si>
  <si>
    <t xml:space="preserve">Trainees Enrolment as per NAVTTC PMS Portal
Yes (5), No (0)</t>
  </si>
  <si>
    <t xml:space="preserve">Well-equipped trade specific Classrooms / Labs / Workshops
Fully Available (5), Partially Available (2.5), Not Available (0), Not Applicable (5)</t>
  </si>
  <si>
    <t xml:space="preserve">NAVTTC TLMs provided to the trainees
Yes (5), No (0)</t>
  </si>
  <si>
    <t xml:space="preserve">Weekly / Monthly Lesson Plans provided
Yes (2.5), No (0)</t>
  </si>
  <si>
    <t xml:space="preserve">Trainees well versed with Course Contents
Yes (5), No (0)</t>
  </si>
  <si>
    <t xml:space="preserve">Consumables / Training Material provided for practicals
Yes (5), Not Applicable (5), No (0)</t>
  </si>
  <si>
    <t xml:space="preserve">Overall Impression of the Training
Excellent (5), Very Good (4), Good (3), Average (2), Poor (0)</t>
  </si>
  <si>
    <t xml:space="preserve">Trade Wise Score</t>
  </si>
  <si>
    <t xml:space="preserve">Total Score</t>
  </si>
  <si>
    <t xml:space="preserve">Grading</t>
  </si>
  <si>
    <t xml:space="preserve">Remarks</t>
  </si>
  <si>
    <t xml:space="preserve">Grade Override</t>
  </si>
  <si>
    <t xml:space="preserve">1 NAVTTC Sign Board</t>
  </si>
  <si>
    <t xml:space="preserve">2 Biometric synced with PMS</t>
  </si>
  <si>
    <t xml:space="preserve">3 CCTV with IP link</t>
  </si>
  <si>
    <t xml:space="preserve">CCTV place of installation</t>
  </si>
  <si>
    <t xml:space="preserve">4 Enrolment as per PMS portal</t>
  </si>
  <si>
    <t xml:space="preserve">5 Well-equipped Labs / Workshops</t>
  </si>
  <si>
    <t xml:space="preserve">6 NAVTTC TLMs provided</t>
  </si>
  <si>
    <t xml:space="preserve">7 Lesson plans provided</t>
  </si>
  <si>
    <t xml:space="preserve">8 Trainees versed with Course Contents</t>
  </si>
  <si>
    <t xml:space="preserve">9 Consumables provided</t>
  </si>
  <si>
    <t xml:space="preserve">10 Overall impression</t>
  </si>
  <si>
    <t xml:space="preserve">Q/A: chapters / modules covered</t>
  </si>
  <si>
    <t xml:space="preserve">Duration of Trade</t>
  </si>
  <si>
    <t xml:space="preserve">Date of Visit</t>
  </si>
  <si>
    <t xml:space="preserve">Instructor Name</t>
  </si>
  <si>
    <t xml:space="preserve">Instructor Qualification</t>
  </si>
  <si>
    <t xml:space="preserve">Instructor Experience (years)</t>
  </si>
  <si>
    <t xml:space="preserve">Recommendation for Release</t>
  </si>
  <si>
    <t xml:space="preserve">Monitor Remarks</t>
  </si>
  <si>
    <t xml:space="preserve">Source Province</t>
  </si>
  <si>
    <t xml:space="preserve">Source Attendance % (CNIC / Present)</t>
  </si>
  <si>
    <t xml:space="preserve">Source MARKS/100 (institute)</t>
  </si>
  <si>
    <t xml:space="preserve">Package-02</t>
  </si>
  <si>
    <t xml:space="preserve">PMYSDP Batch I</t>
  </si>
  <si>
    <t xml:space="preserve">ICT</t>
  </si>
  <si>
    <t xml:space="preserve">Islamabad</t>
  </si>
  <si>
    <t xml:space="preserve">Ayesha Salon &amp; Spa</t>
  </si>
  <si>
    <t xml:space="preserve">Beautician</t>
  </si>
  <si>
    <t xml:space="preserve">Yes</t>
  </si>
  <si>
    <t xml:space="preserve">Visible Location</t>
  </si>
  <si>
    <t xml:space="preserve">Fully Available</t>
  </si>
  <si>
    <t xml:space="preserve">Excellent</t>
  </si>
  <si>
    <t xml:space="preserve">Three Months</t>
  </si>
  <si>
    <t xml:space="preserve">Monday, 15 April 2024</t>
  </si>
  <si>
    <t xml:space="preserve">Ayesha Javed</t>
  </si>
  <si>
    <t xml:space="preserve">Becholers</t>
  </si>
  <si>
    <t xml:space="preserve">Students are well known with all equipment, learning material full provided. Practically room has huge space for all students. Overall environment is good.</t>
  </si>
  <si>
    <t xml:space="preserve">GATEWAY EDUCATION SYSTEM</t>
  </si>
  <si>
    <t xml:space="preserve">Amazon Virtual Assistant</t>
  </si>
  <si>
    <t xml:space="preserve">Not Applicable</t>
  </si>
  <si>
    <t xml:space="preserve">Very Good</t>
  </si>
  <si>
    <t xml:space="preserve">Samia Rashid</t>
  </si>
  <si>
    <t xml:space="preserve">Master in computer science</t>
  </si>
  <si>
    <t xml:space="preserve">All tools and equipments are ok students are well responded. And all facilities provided.</t>
  </si>
  <si>
    <t xml:space="preserve">Certificate in IT (Web Development)</t>
  </si>
  <si>
    <t xml:space="preserve">Mohsin Mujtaba khan</t>
  </si>
  <si>
    <t xml:space="preserve">Synchcom Private Limited</t>
  </si>
  <si>
    <t xml:space="preserve">Advanced programming/ Coding (Machine Learning; Data Mining)</t>
  </si>
  <si>
    <t xml:space="preserve">No</t>
  </si>
  <si>
    <t xml:space="preserve">Syed Muhammad Kashif Alam</t>
  </si>
  <si>
    <t xml:space="preserve">MSc IT</t>
  </si>
  <si>
    <t xml:space="preserve">Equipments provided Students are satisfied Trainer have fully grip on topic. Jobs available for students On job training process</t>
  </si>
  <si>
    <t xml:space="preserve">Javascript Fullstack (e.g. MEAN/MERN)</t>
  </si>
  <si>
    <t xml:space="preserve">Muhammad Sajid Iqbal</t>
  </si>
  <si>
    <t xml:space="preserve">BS Computer Sciencw</t>
  </si>
  <si>
    <t xml:space="preserve">Government Polytechnic Institute for Women, H-8/1, Islamabad</t>
  </si>
  <si>
    <t xml:space="preserve">Graphic Designing (UI/UX Designer)</t>
  </si>
  <si>
    <t xml:space="preserve">Thursday, 18 April 2024</t>
  </si>
  <si>
    <t xml:space="preserve">Fazeelat BiBi</t>
  </si>
  <si>
    <t xml:space="preserve">BA. B.ED, Graphic designing diploma. Web development.</t>
  </si>
  <si>
    <t xml:space="preserve">Institute's lab is fully equipment. Instructor and trainees attendance is quite good as per PMS portal record. Learning material and PC provided to all trainees and have more capacity for more students.</t>
  </si>
  <si>
    <t xml:space="preserve">Sina Instiute Of Networks &amp; Aesthetics</t>
  </si>
  <si>
    <t xml:space="preserve">Fiber Optic Technician</t>
  </si>
  <si>
    <t xml:space="preserve">Aatif Ameen</t>
  </si>
  <si>
    <t xml:space="preserve">MSc Electronics</t>
  </si>
  <si>
    <t xml:space="preserve">Instructor experienced All Students participate in practical Equipments provided Building infrastructure is good</t>
  </si>
  <si>
    <t xml:space="preserve">Network Administrator (CISCO, HUAWEI, IBM)</t>
  </si>
  <si>
    <t xml:space="preserve">Muqsid</t>
  </si>
  <si>
    <t xml:space="preserve">MS Computer Science</t>
  </si>
  <si>
    <t xml:space="preserve">Construction Technology Training Institute</t>
  </si>
  <si>
    <t xml:space="preserve">Auto CAD (Constrcution, Mechanical, Electrical)</t>
  </si>
  <si>
    <t xml:space="preserve">Ali Abbas</t>
  </si>
  <si>
    <t xml:space="preserve">DAE civil</t>
  </si>
  <si>
    <t xml:space="preserve">Every thing is ok. All tools and equipments were standard. Instructor were cooperative with students. Trainees were well responded.</t>
  </si>
  <si>
    <t xml:space="preserve">Auto Electrician</t>
  </si>
  <si>
    <t xml:space="preserve">Asif Imran</t>
  </si>
  <si>
    <t xml:space="preserve">Ms Industrial and Mechanical</t>
  </si>
  <si>
    <t xml:space="preserve">Auto Mechanic (Diesel / Petrol)</t>
  </si>
  <si>
    <t xml:space="preserve">Six Months</t>
  </si>
  <si>
    <t xml:space="preserve">Junaid Safiullah</t>
  </si>
  <si>
    <t xml:space="preserve">BE Mechnical</t>
  </si>
  <si>
    <t xml:space="preserve">Block Chain Programming</t>
  </si>
  <si>
    <t xml:space="preserve">Muhammad Hassan mujtaba</t>
  </si>
  <si>
    <t xml:space="preserve">Ms computer science</t>
  </si>
  <si>
    <t xml:space="preserve">Heating Ventilation, Refrigeration &amp; Air Conditioning (HVACR)</t>
  </si>
  <si>
    <t xml:space="preserve">Muhammad Abbas</t>
  </si>
  <si>
    <t xml:space="preserve">Bs Mech Engineering</t>
  </si>
  <si>
    <t xml:space="preserve">Heavy Machinery Operator (including Bulldozer, Loader, Crane, Dozzier, Grader, Excavator etc)</t>
  </si>
  <si>
    <t xml:space="preserve">Faheem Ahmad</t>
  </si>
  <si>
    <t xml:space="preserve">HMO course</t>
  </si>
  <si>
    <t xml:space="preserve">Plumbing &amp; Solar Water Heating Technician</t>
  </si>
  <si>
    <t xml:space="preserve">Muhammad Kamran Ellahi</t>
  </si>
  <si>
    <t xml:space="preserve">Riphah Institute of Hospitality and Culinary Arts</t>
  </si>
  <si>
    <t xml:space="preserve">Cooking / Chef</t>
  </si>
  <si>
    <t xml:space="preserve">Friday, 19 April 2024</t>
  </si>
  <si>
    <t xml:space="preserve">Javaria Majid</t>
  </si>
  <si>
    <t xml:space="preserve">MA English</t>
  </si>
  <si>
    <t xml:space="preserve">Advance Equipments provided Instructor experienced  Assessments taken, Hotel management.</t>
  </si>
  <si>
    <t xml:space="preserve">Beauty Academy by Almas</t>
  </si>
  <si>
    <t xml:space="preserve">Sumaira Suleman</t>
  </si>
  <si>
    <t xml:space="preserve">Bed in education</t>
  </si>
  <si>
    <t xml:space="preserve">Overall all tools and equipment are good. Students are well responded. Weekly monthly plane available to very one and done most projects.</t>
  </si>
  <si>
    <t xml:space="preserve">Hazza Institute of Technology, Islamabad</t>
  </si>
  <si>
    <t xml:space="preserve">ZunNurain khalid</t>
  </si>
  <si>
    <t xml:space="preserve">BSSE, certification of Design thinking, Certification of App designing, Captcha Studio.</t>
  </si>
  <si>
    <t xml:space="preserve">Insitute meets all the requirements and sops which is defined by Navttc.</t>
  </si>
  <si>
    <t xml:space="preserve">MetaPi Private Limited</t>
  </si>
  <si>
    <t xml:space="preserve">Cloud Computing - AWS</t>
  </si>
  <si>
    <t xml:space="preserve">Engr. Ajmal Shah Seemab</t>
  </si>
  <si>
    <t xml:space="preserve">Well equipped Well furnished Availability of relevant things Students are well versed Good environment</t>
  </si>
  <si>
    <t xml:space="preserve">Digital Forensic &amp; Cyber Security</t>
  </si>
  <si>
    <t xml:space="preserve">Hazrat Umer</t>
  </si>
  <si>
    <t xml:space="preserve">MS Information Security</t>
  </si>
  <si>
    <t xml:space="preserve">Partially Available</t>
  </si>
  <si>
    <t xml:space="preserve">Mohammed Shoaib</t>
  </si>
  <si>
    <t xml:space="preserve">BS Computer Science</t>
  </si>
  <si>
    <t xml:space="preserve">AUTOTECH VISION (PRIVATE LIMITED)</t>
  </si>
  <si>
    <t xml:space="preserve">Monday, 22 April 2024</t>
  </si>
  <si>
    <t xml:space="preserve">Muhammad Talha Tanver</t>
  </si>
  <si>
    <t xml:space="preserve">DAE Mechanical</t>
  </si>
  <si>
    <t xml:space="preserve">All tools and equipments are provided to every one. Practicals work are more focus. Students well trained. Safety tools are goods.</t>
  </si>
  <si>
    <t xml:space="preserve">Hunerkada College of Visual and Performing Arts</t>
  </si>
  <si>
    <t xml:space="preserve">Documentary &amp; Film Making (Digital Broadcasting)</t>
  </si>
  <si>
    <t xml:space="preserve">Amir Tehseen Rao</t>
  </si>
  <si>
    <t xml:space="preserve">Bachelors in Arts</t>
  </si>
  <si>
    <t xml:space="preserve">The institute is owned by Jamal Shah, a TV actor and a week known director and a producer. Having an experience of almost 40 years. The teachers are very professional. Work with private productions and produce and directed tv shows and drama serials.</t>
  </si>
  <si>
    <t xml:space="preserve">Quaid-i-Azam University</t>
  </si>
  <si>
    <t xml:space="preserve">Advance Web application Development</t>
  </si>
  <si>
    <t xml:space="preserve">Abdur Rehman Khan</t>
  </si>
  <si>
    <t xml:space="preserve">Bs in CS</t>
  </si>
  <si>
    <t xml:space="preserve">The learning atmosphere is better. Instructors are well versed and student interaction with instructor is good. Other than that the institution has a well equiped computer lab with all the facilities required are available. However, only one of the three</t>
  </si>
  <si>
    <t xml:space="preserve">Cloud Computing</t>
  </si>
  <si>
    <t xml:space="preserve">Adnanullah</t>
  </si>
  <si>
    <t xml:space="preserve">Msc CS</t>
  </si>
  <si>
    <t xml:space="preserve">Cloud Computing - Microsoft</t>
  </si>
  <si>
    <t xml:space="preserve">Cyber Security (CEH, CHFI)</t>
  </si>
  <si>
    <t xml:space="preserve">Malik Huzaifa Arif</t>
  </si>
  <si>
    <t xml:space="preserve">MTBA Corporation Private Limited (JV Consortium - Haris Institute)</t>
  </si>
  <si>
    <t xml:space="preserve">Data Mining / Business Intelligence</t>
  </si>
  <si>
    <t xml:space="preserve">Average</t>
  </si>
  <si>
    <t xml:space="preserve">Arooj Imtiaz</t>
  </si>
  <si>
    <t xml:space="preserve">Ms. human resource Management</t>
  </si>
  <si>
    <t xml:space="preserve">Documents and PMS portal was updated.  Attendance were pending on PMS portal for so many days.   No proper supporting staff are available. No computer labs are available.  As instructor said student have their own laptops but No Laptops were available at</t>
  </si>
  <si>
    <t xml:space="preserve">eCommerce</t>
  </si>
  <si>
    <t xml:space="preserve">Sahana Islam</t>
  </si>
  <si>
    <t xml:space="preserve">Becholers of IT.</t>
  </si>
  <si>
    <t xml:space="preserve">Alhamd Islamic University</t>
  </si>
  <si>
    <t xml:space="preserve">Advance Python Programming &amp; Applications</t>
  </si>
  <si>
    <t xml:space="preserve">Waqas Ahmed</t>
  </si>
  <si>
    <t xml:space="preserve">Trainer experienced Modules covered according outline Most of Trainees satisfied  Equipments  fully provided</t>
  </si>
  <si>
    <t xml:space="preserve">Bharakahu Polytechnic Institute</t>
  </si>
  <si>
    <t xml:space="preserve">Good</t>
  </si>
  <si>
    <t xml:space="preserve">Saturday, 20 April 2024</t>
  </si>
  <si>
    <t xml:space="preserve">Asmat</t>
  </si>
  <si>
    <t xml:space="preserve">Matric</t>
  </si>
  <si>
    <t xml:space="preserve">There is no safety charts available.  Fire fighting and first aid box not available. But dress designing trade going good.  Instructor covered most part of course. Students have grip on covered modules.</t>
  </si>
  <si>
    <t xml:space="preserve">Fashion Design &amp; Dress Making</t>
  </si>
  <si>
    <t xml:space="preserve">Nadia</t>
  </si>
  <si>
    <t xml:space="preserve">BA</t>
  </si>
  <si>
    <t xml:space="preserve">Central Training Academy</t>
  </si>
  <si>
    <t xml:space="preserve">Muhammad Uzair Zia</t>
  </si>
  <si>
    <t xml:space="preserve">MBA</t>
  </si>
  <si>
    <t xml:space="preserve">They are professional and doing great work with practical proves and evidence.  Fully cooperate with inspection team to provide all data and ever details that is required for inspection. Students are fully satisfied with training.</t>
  </si>
  <si>
    <t xml:space="preserve">Graphic Design and Video Editing</t>
  </si>
  <si>
    <t xml:space="preserve">Amna Minhas</t>
  </si>
  <si>
    <t xml:space="preserve">BS</t>
  </si>
  <si>
    <t xml:space="preserve">Electric Vehicle Academy (Private) Limited</t>
  </si>
  <si>
    <t xml:space="preserve">Intelliegent Hybrid &amp; Electric Vehicles</t>
  </si>
  <si>
    <t xml:space="preserve">Because there is nothing available about the trade.</t>
  </si>
  <si>
    <t xml:space="preserve">Poor</t>
  </si>
  <si>
    <t xml:space="preserve">Not Availabe</t>
  </si>
  <si>
    <t xml:space="preserve">No any Instructor</t>
  </si>
  <si>
    <t xml:space="preserve">American Lycetuff Junior &amp; Upper School, PWD, Islamabad</t>
  </si>
  <si>
    <t xml:space="preserve">Care Worker (CMA)</t>
  </si>
  <si>
    <t xml:space="preserve">Tuesday, 23 April 2024</t>
  </si>
  <si>
    <t xml:space="preserve">Dr.Umar Farooq khan</t>
  </si>
  <si>
    <t xml:space="preserve">Master in public health</t>
  </si>
  <si>
    <t xml:space="preserve">Overall course are covered students well responded instructor well trained. Course outline are provided to more than students assessments result are very good.</t>
  </si>
  <si>
    <t xml:space="preserve">Ibraheem Naveed</t>
  </si>
  <si>
    <t xml:space="preserve">Ms in computer science</t>
  </si>
  <si>
    <t xml:space="preserve">Korean Language (Skilled worker level certification)</t>
  </si>
  <si>
    <t xml:space="preserve">Asad Mehmood</t>
  </si>
  <si>
    <t xml:space="preserve">Bsc in Civil Engineering</t>
  </si>
  <si>
    <t xml:space="preserve">Early Childhood�Education (with certification)</t>
  </si>
  <si>
    <t xml:space="preserve">Nadia Farooq</t>
  </si>
  <si>
    <t xml:space="preserve">Master of Arts (Education)</t>
  </si>
  <si>
    <t xml:space="preserve">English Language (IELTS / PSL)</t>
  </si>
  <si>
    <t xml:space="preserve">Anum Mehboob</t>
  </si>
  <si>
    <t xml:space="preserve">Master in Business Admisitration</t>
  </si>
  <si>
    <t xml:space="preserve">German Language (Skilled worker level certification)</t>
  </si>
  <si>
    <t xml:space="preserve">Ms. Tasnin khan</t>
  </si>
  <si>
    <t xml:space="preserve">Certificate in European language german</t>
  </si>
  <si>
    <t xml:space="preserve">Gym Trainer</t>
  </si>
  <si>
    <t xml:space="preserve">Rehan Muzaffar</t>
  </si>
  <si>
    <t xml:space="preserve">Bs Business Administration</t>
  </si>
  <si>
    <t xml:space="preserve">Japanese Language (N4) (Skilled worker level certification)</t>
  </si>
  <si>
    <t xml:space="preserve">Hamza Arif</t>
  </si>
  <si>
    <t xml:space="preserve">Mass Communication</t>
  </si>
  <si>
    <t xml:space="preserve">International Center for Excellence</t>
  </si>
  <si>
    <t xml:space="preserve">Ateeq ur Rehman.</t>
  </si>
  <si>
    <t xml:space="preserve">Bcs</t>
  </si>
  <si>
    <t xml:space="preserve">Class room environment is very good. Equipment is full functional. CCTV cameras are accuratly installed. Attendance is synchronized with PMS portal.</t>
  </si>
  <si>
    <t xml:space="preserve">Khurram shahid</t>
  </si>
  <si>
    <t xml:space="preserve">MBA, MIT</t>
  </si>
  <si>
    <t xml:space="preserve">Digital Marketing &amp; Search Engine Optimization (SEO)</t>
  </si>
  <si>
    <t xml:space="preserve">Shujahat Murtaza Ahmed</t>
  </si>
  <si>
    <t xml:space="preserve">Bscs.</t>
  </si>
  <si>
    <t xml:space="preserve">Samana Hassnain</t>
  </si>
  <si>
    <t xml:space="preserve">BS.CE</t>
  </si>
  <si>
    <t xml:space="preserve">Women Welfare &amp; Development Centre, Islamabad</t>
  </si>
  <si>
    <t xml:space="preserve">Wednesday, 24 April 2024</t>
  </si>
  <si>
    <t xml:space="preserve">Uzma Basit</t>
  </si>
  <si>
    <t xml:space="preserve">The director of the institute is awarded by Sitara i Imtiaz for her contributions in women welfare. The students are punctual their attendance uploaded to the portal regularly. The discipline of the institute is admirable. The staff is hardworking. The st</t>
  </si>
  <si>
    <t xml:space="preserve">Hoorya</t>
  </si>
  <si>
    <t xml:space="preserve">Master in political science.</t>
  </si>
  <si>
    <t xml:space="preserve">National Center of Artificial Intelligence , NUST Islamabad</t>
  </si>
  <si>
    <t xml:space="preserve">Artificial Intelligence (Robotics)</t>
  </si>
  <si>
    <t xml:space="preserve">Saifullah Zadran</t>
  </si>
  <si>
    <t xml:space="preserve">Bs in Mechanics</t>
  </si>
  <si>
    <t xml:space="preserve">The institute is chair by Dr Yasir Ayaz, awarded by pride of performance for his services in AI robotics. The learning atmosphere is better. The classrooms the equipments available for the students are plenty. The institute is situated in the premises of</t>
  </si>
  <si>
    <t xml:space="preserve">Internet of Things (IoT) System Development &amp; Applications</t>
  </si>
  <si>
    <t xml:space="preserve">Ahmad Husnain Johar</t>
  </si>
  <si>
    <t xml:space="preserve">Bs in electronics Ms Robotics and artificial intelligence</t>
  </si>
  <si>
    <t xml:space="preserve">Rabia Foundation Academy</t>
  </si>
  <si>
    <t xml:space="preserve">Moon Aamir</t>
  </si>
  <si>
    <t xml:space="preserve">Bs computer science</t>
  </si>
  <si>
    <t xml:space="preserve">Overall good but the trade graphic designing  Tools are partially. Also the outline of course are not given to major students.</t>
  </si>
  <si>
    <t xml:space="preserve">Graphic Design (Print Media)</t>
  </si>
  <si>
    <t xml:space="preserve">Ayaz Abdullah</t>
  </si>
  <si>
    <t xml:space="preserve">MSc computer science</t>
  </si>
  <si>
    <t xml:space="preserve">INSTITUTE OF COST AND MANAGEMENT ACCOUNTANTS OF PAKISTAN, ISLAMABAD CAMPUS</t>
  </si>
  <si>
    <t xml:space="preserve">Computerized Accounting (Peachtree; Quickbook)</t>
  </si>
  <si>
    <t xml:space="preserve">Sajid Ali</t>
  </si>
  <si>
    <t xml:space="preserve">MA Economics</t>
  </si>
  <si>
    <t xml:space="preserve">Campus and class rooms are very professionally maintained. Overall campus is very neat and clean. Students also urge that Navttc should give more trades to this Insitute. Like e-commerce, video editing, SEO. As instructor is very competent and educated.</t>
  </si>
  <si>
    <t xml:space="preserve">National University of Technology</t>
  </si>
  <si>
    <t xml:space="preserve">ASIF</t>
  </si>
  <si>
    <t xml:space="preserve">Ms Engenieering</t>
  </si>
  <si>
    <t xml:space="preserve">Most of facilitation provided to trainees Equipments provided most of course covered and trainees satisfied of training. Latest labs.</t>
  </si>
  <si>
    <t xml:space="preserve">Front Desk Manager / Receptionist</t>
  </si>
  <si>
    <t xml:space="preserve">AMNA BIBI</t>
  </si>
  <si>
    <t xml:space="preserve">Bilal Mehmood</t>
  </si>
  <si>
    <t xml:space="preserve">MS Computer science</t>
  </si>
  <si>
    <t xml:space="preserve">Naveed Khan</t>
  </si>
  <si>
    <t xml:space="preserve">Mphil CS</t>
  </si>
  <si>
    <t xml:space="preserve">Industrial Stitching Machine Operator</t>
  </si>
  <si>
    <t xml:space="preserve">Shams ul haq</t>
  </si>
  <si>
    <t xml:space="preserve">BA taxtile and fashion designing</t>
  </si>
  <si>
    <t xml:space="preserve">Muhammad Adil</t>
  </si>
  <si>
    <t xml:space="preserve">MSc Electrical engineering</t>
  </si>
  <si>
    <t xml:space="preserve">Mobile Application Development</t>
  </si>
  <si>
    <t xml:space="preserve">Faizan</t>
  </si>
  <si>
    <t xml:space="preserve">Ms Computer s</t>
  </si>
  <si>
    <t xml:space="preserve">Model Child Welfare Centre Humak</t>
  </si>
  <si>
    <t xml:space="preserve">Thursday, 25 April 2024</t>
  </si>
  <si>
    <t xml:space="preserve">Fareeha Qadeer</t>
  </si>
  <si>
    <t xml:space="preserve">Graduation</t>
  </si>
  <si>
    <t xml:space="preserve">•Well experienced staff.  •Trainees are well versed.  •Practical and theoretical work done on time in a good way. •Instructors do very struggle with students.  •Trainees are well trained practically.  •They provide assessment plans on weekly b</t>
  </si>
  <si>
    <t xml:space="preserve">Sehrish Ibrahim</t>
  </si>
  <si>
    <t xml:space="preserve">Bachelor in Fine Art's</t>
  </si>
  <si>
    <t xml:space="preserve">NSETS Private Limited</t>
  </si>
  <si>
    <t xml:space="preserve">Nayab Kubra</t>
  </si>
  <si>
    <t xml:space="preserve">Diploma in Fasion Design</t>
  </si>
  <si>
    <t xml:space="preserve">They share their building with other organization on partnership, in which the NSETS have teach two trades (Fasion design, and Hand &amp; machine embroidery).  In the building their is an other party I don't know their work something like medical clinic.</t>
  </si>
  <si>
    <t xml:space="preserve">Hand &amp; Machine Embroidery</t>
  </si>
  <si>
    <t xml:space="preserve">Diploma in Fasion design</t>
  </si>
  <si>
    <t xml:space="preserve">Saeed Ahmed</t>
  </si>
  <si>
    <t xml:space="preserve">Fsc</t>
  </si>
  <si>
    <t xml:space="preserve">Salon De Rabiya</t>
  </si>
  <si>
    <t xml:space="preserve">Anya khan</t>
  </si>
  <si>
    <t xml:space="preserve">I.com</t>
  </si>
  <si>
    <t xml:space="preserve">Over all every thing is good instructors are more extrah knowledged are provided to trainees. Learning materials are provided partially. Students are well responded.</t>
  </si>
  <si>
    <t xml:space="preserve">Muhammad Maaz</t>
  </si>
  <si>
    <t xml:space="preserve">B.com</t>
  </si>
  <si>
    <t xml:space="preserve">MicroMerger</t>
  </si>
  <si>
    <t xml:space="preserve">Full Stack Development</t>
  </si>
  <si>
    <t xml:space="preserve">Rao Asad Abbas</t>
  </si>
  <si>
    <t xml:space="preserve">Mcs, PHP, CCNA, java.</t>
  </si>
  <si>
    <t xml:space="preserve">Lab equipment are fully functional.  Attendance maintained.</t>
  </si>
  <si>
    <t xml:space="preserve">NASR Technical Training Insitute</t>
  </si>
  <si>
    <t xml:space="preserve">Afshan jabin</t>
  </si>
  <si>
    <t xml:space="preserve">portal not working  Not took attendance picture on portal Trainers covered their course according to plan Trainees got knowledge about covered modules most of the trainers undergraduate.</t>
  </si>
  <si>
    <t xml:space="preserve">Muhammad Hamza</t>
  </si>
  <si>
    <t xml:space="preserve">Intermediate</t>
  </si>
  <si>
    <t xml:space="preserve">Mobile Phone Repairing</t>
  </si>
  <si>
    <t xml:space="preserve">Shoaib tanveee</t>
  </si>
  <si>
    <t xml:space="preserve">DAE</t>
  </si>
  <si>
    <t xml:space="preserve">Professional Photography, Documentary Ad Making</t>
  </si>
  <si>
    <t xml:space="preserve">Abdullah Azhar</t>
  </si>
  <si>
    <t xml:space="preserve">American lycetuff Bhara Kahu Campus Simly dam road</t>
  </si>
  <si>
    <t xml:space="preserve">Muhammad Haris</t>
  </si>
  <si>
    <t xml:space="preserve">Mcs, Ms AI</t>
  </si>
  <si>
    <t xml:space="preserve">The institution has 8 trades. 3 IT related 1 Early childhood 1 photography and 3 languages courses. Only one computer where taught 3 trades. Due to the gap between the classes the students can used computuers. Also few students were not verified due to unavailibility of CNIC</t>
  </si>
  <si>
    <t xml:space="preserve">Asad Mahmood</t>
  </si>
  <si>
    <t xml:space="preserve">Bs in Civil engineering and diploma in Korean language</t>
  </si>
  <si>
    <t xml:space="preserve">M. Rashid Manzoor</t>
  </si>
  <si>
    <t xml:space="preserve">Mphil in CS</t>
  </si>
  <si>
    <t xml:space="preserve">Muhammad Uzair</t>
  </si>
  <si>
    <t xml:space="preserve">Mphil in Development Studies, MA in education</t>
  </si>
  <si>
    <t xml:space="preserve">Zershan Akbar</t>
  </si>
  <si>
    <t xml:space="preserve">Bs in translation and Interpretation</t>
  </si>
  <si>
    <t xml:space="preserve">Muaaz Ali</t>
  </si>
  <si>
    <t xml:space="preserve">Certificate in Japanese language and literature</t>
  </si>
  <si>
    <t xml:space="preserve">Ms in CS and B.tech electronics</t>
  </si>
  <si>
    <t xml:space="preserve">International Career Development</t>
  </si>
  <si>
    <t xml:space="preserve">Najamul Hassan</t>
  </si>
  <si>
    <t xml:space="preserve">The institution has a cooperative staff. The students are well managed according to their availability for the class, as working people are also attending the courses. The students of the language courses can speak the languages they are learning. The stu</t>
  </si>
  <si>
    <t xml:space="preserve">Muhammad Furqan Tariq</t>
  </si>
  <si>
    <t xml:space="preserve">Msc Engineering, Advanced Korean Language Diploma</t>
  </si>
  <si>
    <t xml:space="preserve">Javeria Wajahat</t>
  </si>
  <si>
    <t xml:space="preserve">Bachelors in Computer Science</t>
  </si>
  <si>
    <t xml:space="preserve">Rashida Khalid</t>
  </si>
  <si>
    <t xml:space="preserve">Matters in Business and Administration</t>
  </si>
  <si>
    <t xml:space="preserve">Waqas Ali</t>
  </si>
  <si>
    <t xml:space="preserve">Ms in Mass Communication</t>
  </si>
  <si>
    <t xml:space="preserve">Siddiquia Institute of Applied Technologies Islamabad</t>
  </si>
  <si>
    <t xml:space="preserve">Friday, 26 April 2024</t>
  </si>
  <si>
    <t xml:space="preserve">Syed Zaigham Haider</t>
  </si>
  <si>
    <t xml:space="preserve">Bs in Software Engineering</t>
  </si>
  <si>
    <t xml:space="preserve">The institute had a wide building and boundary. Plenty of computers and tools are there for the students to practice. The attendance is uploading to the portal but students do not mark their attendance through finger print machine. However, machine is syn</t>
  </si>
  <si>
    <t xml:space="preserve">Rafiq Ahmad</t>
  </si>
  <si>
    <t xml:space="preserve">BA AND DIT</t>
  </si>
  <si>
    <t xml:space="preserve">Sunbeams</t>
  </si>
  <si>
    <t xml:space="preserve">Tehreem Younis</t>
  </si>
  <si>
    <t xml:space="preserve">Master in Textile</t>
  </si>
  <si>
    <t xml:space="preserve">Overall good instructor are well qualified and have experience.Students well responded. But syllabus of course are not giving to students.</t>
  </si>
  <si>
    <t xml:space="preserve">ICD College</t>
  </si>
  <si>
    <t xml:space="preserve">Rasikh Altaf</t>
  </si>
  <si>
    <t xml:space="preserve">Bachelor in Computer Science</t>
  </si>
  <si>
    <t xml:space="preserve">• Very Cooperative staff, provide all the requirements for inspection.  • Well experienced.  • Students are satisfied.  • Tools &amp; equipments are available.</t>
  </si>
  <si>
    <t xml:space="preserve">Muhammad Aqeel</t>
  </si>
  <si>
    <t xml:space="preserve">Bsc Electrical Engineering</t>
  </si>
  <si>
    <t xml:space="preserve">Applied Technologies Institute and Driving School NLC Dina</t>
  </si>
  <si>
    <t xml:space="preserve">Muhammad Ramzan</t>
  </si>
  <si>
    <t xml:space="preserve">FA</t>
  </si>
  <si>
    <t xml:space="preserve">Machinery provided. Provision of jobs during training on some scenarios. Safety charts not available. Auto Electrician, there is industry linkage, so trainees facing some issue of internships and getting opportunities. In one trade  trainees have no knowl</t>
  </si>
  <si>
    <t xml:space="preserve">Driver (HTV)</t>
  </si>
  <si>
    <t xml:space="preserve">Tauseerf Haider</t>
  </si>
  <si>
    <t xml:space="preserve">zafar mehmood</t>
  </si>
  <si>
    <t xml:space="preserve">Askari Institute of Technology (Islamabad)</t>
  </si>
  <si>
    <t xml:space="preserve">Mehtab</t>
  </si>
  <si>
    <t xml:space="preserve">BS computer Science</t>
  </si>
  <si>
    <t xml:space="preserve">TLM  not provided to trainees. Lesson plan not shared with trainees. Accompanying equipments trainees were enough and lab was in good condition. Trainees had sufficient knowledge regarding the training they have received so far.. Sign board not available.</t>
  </si>
  <si>
    <t xml:space="preserve">Rawal Institute of Science &amp; Technology</t>
  </si>
  <si>
    <t xml:space="preserve">I meet with the focal person, They withdraw their courses from NAVTTC.  No any students enrolled in the Institute.  They left the Institute building because of rent.</t>
  </si>
  <si>
    <t xml:space="preserve">Not Installed</t>
  </si>
  <si>
    <t xml:space="preserve">Monday, 29 April 2024</t>
  </si>
  <si>
    <t xml:space="preserve">...</t>
  </si>
  <si>
    <t xml:space="preserve">NAVTTC Centre of Excellence in Modern Technologies, Islamabad</t>
  </si>
  <si>
    <t xml:space="preserve">Advanced CNC</t>
  </si>
  <si>
    <t xml:space="preserve">Muhammad Alyas Subhani</t>
  </si>
  <si>
    <t xml:space="preserve">Bsc Chemical Engineering</t>
  </si>
  <si>
    <t xml:space="preserve">Overall good but  some issue are facing like internet problem in many classes.The connection are very slow.some material are not fully provided and some trade related material still now provide to trainees.</t>
  </si>
  <si>
    <t xml:space="preserve">Abdul Hannan</t>
  </si>
  <si>
    <t xml:space="preserve">BE Electrical Engineering</t>
  </si>
  <si>
    <t xml:space="preserve">Khurram Ahmad</t>
  </si>
  <si>
    <t xml:space="preserve">Bachelor of Arts</t>
  </si>
  <si>
    <t xml:space="preserve">Sameeran Raja</t>
  </si>
  <si>
    <t xml:space="preserve">F.A</t>
  </si>
  <si>
    <t xml:space="preserve">Muhammad Yasir</t>
  </si>
  <si>
    <t xml:space="preserve">Own business</t>
  </si>
  <si>
    <t xml:space="preserve">Irfan Karim</t>
  </si>
  <si>
    <t xml:space="preserve">BsMs bachelor's in Advertising</t>
  </si>
  <si>
    <t xml:space="preserve">Industrial Electrician</t>
  </si>
  <si>
    <t xml:space="preserve">Abdul Rehman</t>
  </si>
  <si>
    <t xml:space="preserve">Shahid Hussain</t>
  </si>
  <si>
    <t xml:space="preserve">Diploma of Associate Engineer</t>
  </si>
  <si>
    <t xml:space="preserve">National Excellence Institute</t>
  </si>
  <si>
    <t xml:space="preserve">Fawad Raheem</t>
  </si>
  <si>
    <t xml:space="preserve">The institute had a wide building. A good learning atmosphere and a cooperative staff. Tools are plenty for the students to work with. All the students are busy during the class work and all have their PCs do for work. The classrooms are ride and equipped</t>
  </si>
  <si>
    <t xml:space="preserve">Artificial Intelligence (Machine Learning; Deep Learning; Communication)</t>
  </si>
  <si>
    <t xml:space="preserve">Wasim Akhtar</t>
  </si>
  <si>
    <t xml:space="preserve">Mphil in Deep learning</t>
  </si>
  <si>
    <t xml:space="preserve">Yasir Ali</t>
  </si>
  <si>
    <t xml:space="preserve">Master in CS</t>
  </si>
  <si>
    <t xml:space="preserve">Awais Iqbal</t>
  </si>
  <si>
    <t xml:space="preserve">Matters in Patient Care</t>
  </si>
  <si>
    <t xml:space="preserve">Zafar Iqbal</t>
  </si>
  <si>
    <t xml:space="preserve">Ms in Computer Science</t>
  </si>
  <si>
    <t xml:space="preserve">Dr Yasir</t>
  </si>
  <si>
    <t xml:space="preserve">Phd in Artificial Intelligence</t>
  </si>
  <si>
    <t xml:space="preserve">Arsalan Waheed</t>
  </si>
  <si>
    <t xml:space="preserve">Bs CS</t>
  </si>
  <si>
    <t xml:space="preserve">Samia Ehtisham</t>
  </si>
  <si>
    <t xml:space="preserve">BBA in Finance</t>
  </si>
  <si>
    <t xml:space="preserve">Sehrish Aslam</t>
  </si>
  <si>
    <t xml:space="preserve">Phd in English Language</t>
  </si>
  <si>
    <t xml:space="preserve">Dr Asadullah</t>
  </si>
  <si>
    <t xml:space="preserve">PhD in Physics, Diploma in Language</t>
  </si>
  <si>
    <t xml:space="preserve">Hamna Shahid</t>
  </si>
  <si>
    <t xml:space="preserve">London Continental Restaurant Private Limited</t>
  </si>
  <si>
    <t xml:space="preserve">Professional Chef</t>
  </si>
  <si>
    <t xml:space="preserve">Tuesday, 30 April 2024</t>
  </si>
  <si>
    <t xml:space="preserve">Imran Chef</t>
  </si>
  <si>
    <t xml:space="preserve">BS Hospitality Management</t>
  </si>
  <si>
    <t xml:space="preserve">The Instructors of both trades teaching in a good way, the trainees are gaining their instructions and lessons.  One day they teach them and the next day experience them practically.  Students attend their classes in a open roof top.</t>
  </si>
  <si>
    <t xml:space="preserve">Restaurant Manager</t>
  </si>
  <si>
    <t xml:space="preserve">Zahid Hussain</t>
  </si>
  <si>
    <t xml:space="preserve">Msc In Tourism and hospitality management</t>
  </si>
  <si>
    <t xml:space="preserve">London Continental Restaurant Sector I-9</t>
  </si>
  <si>
    <t xml:space="preserve">Sabit khan</t>
  </si>
  <si>
    <t xml:space="preserve">Biomatric device is synchronized with PMS portal. Chef (Instructor) is very professional, highly skilled. Attendance management system is as per PMS portal.</t>
  </si>
  <si>
    <t xml:space="preserve">New Gen Education</t>
  </si>
  <si>
    <t xml:space="preserve">Muhammad Umair</t>
  </si>
  <si>
    <t xml:space="preserve">M.CS</t>
  </si>
  <si>
    <t xml:space="preserve">Overall good, material and TLMS were present, need some more PC based resources otherwise everthing was excellent</t>
  </si>
  <si>
    <t xml:space="preserve">Institute of West London</t>
  </si>
  <si>
    <t xml:space="preserve">Saman Rashid</t>
  </si>
  <si>
    <t xml:space="preserve">Not Available</t>
  </si>
  <si>
    <t xml:space="preserve">Institute was good, curriculam should be revised for some tardes, duration of 1 trade was shifted from 6 months to 3 months leading to mismanagement</t>
  </si>
  <si>
    <t xml:space="preserve">Graphic Designing (Print)</t>
  </si>
  <si>
    <t xml:space="preserve">Kaleem Ullah</t>
  </si>
  <si>
    <t xml:space="preserve">English (IELTS)</t>
  </si>
  <si>
    <t xml:space="preserve">Mr. Nadeem Khan</t>
  </si>
  <si>
    <t xml:space="preserve">German Language</t>
  </si>
  <si>
    <t xml:space="preserve">Zaeen Shakeel</t>
  </si>
  <si>
    <t xml:space="preserve">Game Development</t>
  </si>
  <si>
    <t xml:space="preserve">Shayan Faisal</t>
  </si>
  <si>
    <t xml:space="preserve">Project Management</t>
  </si>
  <si>
    <t xml:space="preserve">One Month</t>
  </si>
  <si>
    <t xml:space="preserve">Sanaullah</t>
  </si>
  <si>
    <t xml:space="preserve">Nano Cyber Pvt Limited</t>
  </si>
  <si>
    <t xml:space="preserve">Advance Python Programming</t>
  </si>
  <si>
    <t xml:space="preserve">Arsalan Ali</t>
  </si>
  <si>
    <t xml:space="preserve">MS IS</t>
  </si>
  <si>
    <t xml:space="preserve">Cloud Computing (AWS)</t>
  </si>
  <si>
    <t xml:space="preserve">Syed Sharjeel Ahmed</t>
  </si>
  <si>
    <t xml:space="preserve">MS CS</t>
  </si>
  <si>
    <t xml:space="preserve">Sales Force certification</t>
  </si>
  <si>
    <t xml:space="preserve">Mehboob Ali</t>
  </si>
  <si>
    <t xml:space="preserve">Corvit Networks Pvt. LTD. Islamabad</t>
  </si>
  <si>
    <t xml:space="preserve">Malik Maaz Mehboob</t>
  </si>
  <si>
    <t xml:space="preserve">BS CS</t>
  </si>
  <si>
    <t xml:space="preserve">Government should provide laptop after completion, Course outlines should be in line with the international certification.</t>
  </si>
  <si>
    <t xml:space="preserve">Cloud Comuputing (AWS)</t>
  </si>
  <si>
    <t xml:space="preserve">Adnan Ullah</t>
  </si>
  <si>
    <t xml:space="preserve">Network Administrator (CISCO)</t>
  </si>
  <si>
    <t xml:space="preserve">Fahad</t>
  </si>
  <si>
    <t xml:space="preserve">Cloud Comuputing (Microsoft Azure)</t>
  </si>
  <si>
    <t xml:space="preserve">Nasir Saleem</t>
  </si>
  <si>
    <t xml:space="preserve">BS TE</t>
  </si>
  <si>
    <t xml:space="preserve">Javed Iqbal</t>
  </si>
  <si>
    <t xml:space="preserve">BS ME</t>
  </si>
  <si>
    <t xml:space="preserve">Alberuni Tech Private Limited</t>
  </si>
  <si>
    <t xml:space="preserve">Professional Project Management</t>
  </si>
  <si>
    <t xml:space="preserve">Usman Ali Bajwa</t>
  </si>
  <si>
    <t xml:space="preserve">MS TE</t>
  </si>
  <si>
    <t xml:space="preserve">Overall good, material and TLMS were present, need some more PC based resources otherwise everthing was excellent also there was no signboard of NAVTTC and no fire fighting system</t>
  </si>
  <si>
    <t xml:space="preserve">Full Stack</t>
  </si>
  <si>
    <t xml:space="preserve">Hafiz Jawad</t>
  </si>
  <si>
    <t xml:space="preserve">Excellence Delivered ExD (Private) Ltd.</t>
  </si>
  <si>
    <t xml:space="preserve">Salesforce Certified Administrator</t>
  </si>
  <si>
    <t xml:space="preserve">Principal informed that we have withdrawn the application from this program.</t>
  </si>
  <si>
    <t xml:space="preserve">Genlite Solutions (pvt) Ltd Islamabad</t>
  </si>
  <si>
    <t xml:space="preserve">Zulqarnain</t>
  </si>
  <si>
    <t xml:space="preserve">Overall the learning environment was good, biometric was also connected with the institutes portal but they told me the attendance automatically send to NAVTTC.</t>
  </si>
  <si>
    <t xml:space="preserve">Humayun Mazhar</t>
  </si>
  <si>
    <t xml:space="preserve">AJK</t>
  </si>
  <si>
    <t xml:space="preserve">Mirpur</t>
  </si>
  <si>
    <t xml:space="preserve">Government College Of Technology New City Mirpur</t>
  </si>
  <si>
    <t xml:space="preserve">Waleed</t>
  </si>
  <si>
    <t xml:space="preserve">B tech owners</t>
  </si>
  <si>
    <t xml:space="preserve">Engagement level was good, instructor were qualified.</t>
  </si>
  <si>
    <t xml:space="preserve">Azad Jammu Kashmir</t>
  </si>
  <si>
    <t xml:space="preserve">Usman</t>
  </si>
  <si>
    <t xml:space="preserve">Mcs</t>
  </si>
  <si>
    <t xml:space="preserve">Muzaffarabad</t>
  </si>
  <si>
    <t xml:space="preserve">Jawad Vocational and Technical Institute</t>
  </si>
  <si>
    <t xml:space="preserve">Sundus Kazmi</t>
  </si>
  <si>
    <t xml:space="preserve">Diploma in Beautician of Islamabad AZ Salon</t>
  </si>
  <si>
    <t xml:space="preserve">Instructor well trained Building Perfectly managed Tools fully functional  Safety tools fully updated  Management Cooperative and Supportive</t>
  </si>
  <si>
    <t xml:space="preserve">Bagh</t>
  </si>
  <si>
    <t xml:space="preserve">Governmenet Boys postgraduate College Bagh</t>
  </si>
  <si>
    <t xml:space="preserve">Dr anees</t>
  </si>
  <si>
    <t xml:space="preserve">Phd</t>
  </si>
  <si>
    <t xml:space="preserve">Since it's a government facility and they're providing this module</t>
  </si>
  <si>
    <t xml:space="preserve">Niaz ahmed khan</t>
  </si>
  <si>
    <t xml:space="preserve">B.com.dit</t>
  </si>
  <si>
    <t xml:space="preserve">College Of Tourism &amp; Hotel Management Azad Jammu &amp; Kashmir</t>
  </si>
  <si>
    <t xml:space="preserve">Subhan shabir</t>
  </si>
  <si>
    <t xml:space="preserve">Newly start 1st time</t>
  </si>
  <si>
    <t xml:space="preserve">Sufiyan khan usmani</t>
  </si>
  <si>
    <t xml:space="preserve">Bs hons Toursim and hospitality management</t>
  </si>
  <si>
    <t xml:space="preserve">Lahore School System Vocational Training Institute (LSSVTI), Mirpur</t>
  </si>
  <si>
    <t xml:space="preserve">Mubashir</t>
  </si>
  <si>
    <t xml:space="preserve">MCS</t>
  </si>
  <si>
    <t xml:space="preserve">Administration was good, trainees were present, instructor was qualified and experienced.</t>
  </si>
  <si>
    <t xml:space="preserve">Modern Kashmir Arts Center Gojra Muzaffarabad</t>
  </si>
  <si>
    <t xml:space="preserve">Farkhanda Munir</t>
  </si>
  <si>
    <t xml:space="preserve">Fashion Desigining Dress Making 2 years Diploma</t>
  </si>
  <si>
    <t xml:space="preserve">Experienced  Well Work Done Faculty Supporting  Students Enthusiastic</t>
  </si>
  <si>
    <t xml:space="preserve">Zari Altaf</t>
  </si>
  <si>
    <t xml:space="preserve">Tailoring, Knitting and Embroidery</t>
  </si>
  <si>
    <t xml:space="preserve">Skills Valley Muzaffarabad Campus</t>
  </si>
  <si>
    <t xml:space="preserve">Culinary Arts - Professional Cook</t>
  </si>
  <si>
    <t xml:space="preserve">Sobia Akram</t>
  </si>
  <si>
    <t xml:space="preserve">DCA (Diploma in Colnairy Art)</t>
  </si>
  <si>
    <t xml:space="preserve">Staff and Students very well trained. Professionally Grown Ethically Developed</t>
  </si>
  <si>
    <t xml:space="preserve">Govt Degree College Dhirkot</t>
  </si>
  <si>
    <t xml:space="preserve">Kashif sabir</t>
  </si>
  <si>
    <t xml:space="preserve">Bs software engineering</t>
  </si>
  <si>
    <t xml:space="preserve">Cooperative staff helping students in admissions emergency accessories are available.</t>
  </si>
  <si>
    <t xml:space="preserve">Ihsas e Insanait vocational and computer institude</t>
  </si>
  <si>
    <t xml:space="preserve">Abdul manan</t>
  </si>
  <si>
    <t xml:space="preserve">Ms communication</t>
  </si>
  <si>
    <t xml:space="preserve">Area was very far but still there were good facilities provided and trades were intresting</t>
  </si>
  <si>
    <t xml:space="preserve">CORVIT Networks Pvt. Ltd-Muzaffarabad</t>
  </si>
  <si>
    <t xml:space="preserve">Ahmed Imtiaz</t>
  </si>
  <si>
    <t xml:space="preserve">BS CS CCNA CCNP AZ900 AWS- Associate Training HCIA Cloud Computing</t>
  </si>
  <si>
    <t xml:space="preserve">Manager have International Links Fully Equipped Institute  Teachers very well experienced and educated</t>
  </si>
  <si>
    <t xml:space="preserve">Farhood Nishat</t>
  </si>
  <si>
    <t xml:space="preserve">Masters in Information Security</t>
  </si>
  <si>
    <t xml:space="preserve">Faisal Shahzad</t>
  </si>
  <si>
    <t xml:space="preserve">Bachelore IT Bets College Lahore Digital Marketing UIUX Textile Engineering</t>
  </si>
  <si>
    <t xml:space="preserve">BS CS CCNA CCNP AZ900 AWS Associate HCIA- Cloud Computing</t>
  </si>
  <si>
    <t xml:space="preserve">Government Vocational Training Center Hattian Dupatta</t>
  </si>
  <si>
    <t xml:space="preserve">Sawera nazir</t>
  </si>
  <si>
    <t xml:space="preserve">Bs hons soft engineering</t>
  </si>
  <si>
    <t xml:space="preserve">Program run smoothly</t>
  </si>
  <si>
    <t xml:space="preserve">Government vocational training institute muzaffarabad</t>
  </si>
  <si>
    <t xml:space="preserve">Muhammad waseem</t>
  </si>
  <si>
    <t xml:space="preserve">All are well</t>
  </si>
  <si>
    <t xml:space="preserve">Khawaja Muhammad Faheem</t>
  </si>
  <si>
    <t xml:space="preserve">Ms telecom and networking</t>
  </si>
  <si>
    <t xml:space="preserve">Student Consulting Network (Pvt) Ltd. Mirpur</t>
  </si>
  <si>
    <t xml:space="preserve">Hamza zahid</t>
  </si>
  <si>
    <t xml:space="preserve">BBA owners</t>
  </si>
  <si>
    <t xml:space="preserve">Administration is good, good Labs, instructors are qualified.</t>
  </si>
  <si>
    <t xml:space="preserve">Alisha Asghar</t>
  </si>
  <si>
    <t xml:space="preserve">Bachelors in computer sciences</t>
  </si>
  <si>
    <t xml:space="preserve">UA International</t>
  </si>
  <si>
    <t xml:space="preserve">Raja usman</t>
  </si>
  <si>
    <t xml:space="preserve">Administration was good, students were present, the instructors are qualified.</t>
  </si>
  <si>
    <t xml:space="preserve">Umer jamal</t>
  </si>
  <si>
    <t xml:space="preserve">BS IT</t>
  </si>
  <si>
    <t xml:space="preserve">Hashoo Hunar Training Center (HHTC), Muzaffarabad</t>
  </si>
  <si>
    <t xml:space="preserve">Zameer Hussain</t>
  </si>
  <si>
    <t xml:space="preserve">Master HR, economics</t>
  </si>
  <si>
    <t xml:space="preserve">Kotli</t>
  </si>
  <si>
    <t xml:space="preserve">Girls Vocational Center Kotli</t>
  </si>
  <si>
    <t xml:space="preserve">Nishat Rasheed</t>
  </si>
  <si>
    <t xml:space="preserve">Administration was good, Trainees were present, the instructor was skillful.</t>
  </si>
  <si>
    <t xml:space="preserve">The University of Azad Jammu &amp; Kashmir, Muzaffarabad</t>
  </si>
  <si>
    <t xml:space="preserve">Muhammad Zaman Fakhar</t>
  </si>
  <si>
    <t xml:space="preserve">Computer systems Engineering CPT Certification by PEC</t>
  </si>
  <si>
    <t xml:space="preserve">University Lecturers Delivering  Highly Skilled Faculty Tools fully available</t>
  </si>
  <si>
    <t xml:space="preserve">Dr. Ghulam Sarwar</t>
  </si>
  <si>
    <t xml:space="preserve">PhD in Information and Communication Engineering Graphic Desigining Print Media</t>
  </si>
  <si>
    <t xml:space="preserve">Mentor institute of information technology</t>
  </si>
  <si>
    <t xml:space="preserve">Mufassir hussain butt</t>
  </si>
  <si>
    <t xml:space="preserve">Bs it</t>
  </si>
  <si>
    <t xml:space="preserve">Available of facilities</t>
  </si>
  <si>
    <t xml:space="preserve">Government Gems and Jewellary Training &amp; Processing Center, Muzaffarabad</t>
  </si>
  <si>
    <t xml:space="preserve">Gemstone Cutting and Polishing</t>
  </si>
  <si>
    <t xml:space="preserve">Touqeer Ali</t>
  </si>
  <si>
    <t xml:space="preserve">Trade was in progress with food outputs</t>
  </si>
  <si>
    <t xml:space="preserve">Govt Vocational Training Institute Kotli</t>
  </si>
  <si>
    <t xml:space="preserve">Eman bibi</t>
  </si>
  <si>
    <t xml:space="preserve">FSC</t>
  </si>
  <si>
    <t xml:space="preserve">The administration was good, trainees were present the instructors were qualified.</t>
  </si>
  <si>
    <t xml:space="preserve">Waqar Abbas</t>
  </si>
  <si>
    <t xml:space="preserve">BS software</t>
  </si>
  <si>
    <t xml:space="preserve">Muhammad Anwaar</t>
  </si>
  <si>
    <t xml:space="preserve">BSC software</t>
  </si>
  <si>
    <t xml:space="preserve">Muhammad Tanvir</t>
  </si>
  <si>
    <t xml:space="preserve">Muhammad younas</t>
  </si>
  <si>
    <t xml:space="preserve">DAE and BA</t>
  </si>
  <si>
    <t xml:space="preserve">Moon Creations School of Information Technology, Muzaffarabad</t>
  </si>
  <si>
    <t xml:space="preserve">Salahuddin Shah</t>
  </si>
  <si>
    <t xml:space="preserve">B.Com Digi Skills Google Certification 2 years Dergree from Pinsalvania University of USA</t>
  </si>
  <si>
    <t xml:space="preserve">Instructor highly skilled</t>
  </si>
  <si>
    <t xml:space="preserve">Pentium Computer Training Institute</t>
  </si>
  <si>
    <t xml:space="preserve">Yasmeen Akhtar</t>
  </si>
  <si>
    <t xml:space="preserve">MSc Economics</t>
  </si>
  <si>
    <t xml:space="preserve">Cooperative Staff Students well trained</t>
  </si>
  <si>
    <t xml:space="preserve">Lubna Shahzadi</t>
  </si>
  <si>
    <t xml:space="preserve">MCs Computer Science CBT Computer Operator Level 2 Graphic Desigining Level 3</t>
  </si>
  <si>
    <t xml:space="preserve">Jannat Beauty Parlor and Training Institute, Muzaffarabad</t>
  </si>
  <si>
    <t xml:space="preserve">Nazia</t>
  </si>
  <si>
    <t xml:space="preserve">well manage</t>
  </si>
  <si>
    <t xml:space="preserve">Jolie Dame Beauty Clinic and Institute, Muzaffarabad</t>
  </si>
  <si>
    <t xml:space="preserve">Nohseen fatima</t>
  </si>
  <si>
    <t xml:space="preserve">Ujala Institute of Science &amp; Technology, Muzaffarabad</t>
  </si>
  <si>
    <t xml:space="preserve">Adnan ahmed Raiz awan</t>
  </si>
  <si>
    <t xml:space="preserve">Bs hons computer science</t>
  </si>
  <si>
    <t xml:space="preserve">Well manage</t>
  </si>
  <si>
    <t xml:space="preserve">Nazakat Hussain</t>
  </si>
  <si>
    <t xml:space="preserve">DAE electrical</t>
  </si>
  <si>
    <t xml:space="preserve">The Cambridge international school &amp; college of Technology</t>
  </si>
  <si>
    <t xml:space="preserve">Laiba sadiq</t>
  </si>
  <si>
    <t xml:space="preserve">Bs hons (computer science)</t>
  </si>
  <si>
    <t xml:space="preserve">Facilitates are available</t>
  </si>
  <si>
    <t xml:space="preserve">Rawalakot</t>
  </si>
  <si>
    <t xml:space="preserve">Institute of professional studies Rawalakot</t>
  </si>
  <si>
    <t xml:space="preserve">Sibghatullah</t>
  </si>
  <si>
    <t xml:space="preserve">Bs Software engineering</t>
  </si>
  <si>
    <t xml:space="preserve">Instructor was qualified, administration is strong,</t>
  </si>
  <si>
    <t xml:space="preserve">Government College of Technology Rawalakot Azad Kashmir</t>
  </si>
  <si>
    <t xml:space="preserve">Syed wajji ul husnain sherazi</t>
  </si>
  <si>
    <t xml:space="preserve">Bachelors of engineering</t>
  </si>
  <si>
    <t xml:space="preserve">Administration is good, instructors are well qualified and experienced.</t>
  </si>
  <si>
    <t xml:space="preserve">Yasir javed</t>
  </si>
  <si>
    <t xml:space="preserve">MS computer sciences</t>
  </si>
  <si>
    <t xml:space="preserve">Hattian</t>
  </si>
  <si>
    <t xml:space="preserve">Government vocational training center leepa</t>
  </si>
  <si>
    <t xml:space="preserve">Saturday, 27 April 2024</t>
  </si>
  <si>
    <t xml:space="preserve">Naila jalil</t>
  </si>
  <si>
    <t xml:space="preserve">B.ed</t>
  </si>
  <si>
    <t xml:space="preserve">Starting a course in such a challenging area is difficult. It's a border area and hilly terrain. Having anything there is quite significant.</t>
  </si>
  <si>
    <t xml:space="preserve">ZAF Technologies</t>
  </si>
  <si>
    <t xml:space="preserve">Arif raza</t>
  </si>
  <si>
    <t xml:space="preserve">Instructor was qualified and experienced administration was good. Trainees were mostly present.</t>
  </si>
  <si>
    <t xml:space="preserve">Neelum</t>
  </si>
  <si>
    <t xml:space="preserve">Government Vocational Training Center Sharda Neelum</t>
  </si>
  <si>
    <t xml:space="preserve">Institute closed due to no enrollment of students</t>
  </si>
  <si>
    <t xml:space="preserve">Saturday, 26 April 2024</t>
  </si>
  <si>
    <t xml:space="preserve">Muhammad Maqbool</t>
  </si>
  <si>
    <t xml:space="preserve">GB</t>
  </si>
  <si>
    <t xml:space="preserve">Gilgit</t>
  </si>
  <si>
    <t xml:space="preserve">Hashoo Hunar Training Center (HHTC), Gilgit</t>
  </si>
  <si>
    <t xml:space="preserve">Shams ud Din</t>
  </si>
  <si>
    <t xml:space="preserve">Higher Secondary</t>
  </si>
  <si>
    <t xml:space="preserve">There was no designated kitchen, amenities, supplies, or safety gear were provided for practical tasks. Students used to wash dishes either in a small pot or outdoors. Additionally, instructors were responsible for addressing student concerns, often arran</t>
  </si>
  <si>
    <t xml:space="preserve">Gilgit Baltistan</t>
  </si>
  <si>
    <t xml:space="preserve">North Tech Solution, Gilgit</t>
  </si>
  <si>
    <t xml:space="preserve">Waqar Hussain</t>
  </si>
  <si>
    <t xml:space="preserve">Bs Media and communication</t>
  </si>
  <si>
    <t xml:space="preserve">1. The institute excels in computer-related trades but lacks resources for conventional trades like Solar and UPS PV Technician training. Addressing shortages in equipment, safety gear, and expertise is crucial.  2. Tasks assigned, such as CCTV camera ins</t>
  </si>
  <si>
    <t xml:space="preserve">UPS &amp; Solar PV Technician</t>
  </si>
  <si>
    <t xml:space="preserve">Najeeb ul Hassan</t>
  </si>
  <si>
    <t xml:space="preserve">Higher Secondary Education</t>
  </si>
  <si>
    <t xml:space="preserve">Gilgit Baltistan Overseas Trade Test &amp; Training Center, Gilgit</t>
  </si>
  <si>
    <t xml:space="preserve">Zeeshan Karim</t>
  </si>
  <si>
    <t xml:space="preserve">DAE Electrical</t>
  </si>
  <si>
    <t xml:space="preserve">I have positive feedback for the Japanese Language Trade. However, for conventional trades like HVACR and Industrial Electrician, there were some serious concerns. The re-recruitment of teachers had a negative impact on the learning pace of students. Addi</t>
  </si>
  <si>
    <t xml:space="preserve">Shoaib ud din</t>
  </si>
  <si>
    <t xml:space="preserve">Bs Electrical Engineering</t>
  </si>
  <si>
    <t xml:space="preserve">Badar Munir</t>
  </si>
  <si>
    <t xml:space="preserve">Higher Secondary Studies</t>
  </si>
  <si>
    <t xml:space="preserve">Sher Nawaz khan</t>
  </si>
  <si>
    <t xml:space="preserve">DAE Civil Engineering</t>
  </si>
  <si>
    <t xml:space="preserve">Classy beauty Salon and training institute Gilgit</t>
  </si>
  <si>
    <t xml:space="preserve">Shabina Amana</t>
  </si>
  <si>
    <t xml:space="preserve">Matriculation</t>
  </si>
  <si>
    <t xml:space="preserve">The institute has a high employment rate, with many graduates starting their own businesses or finding jobs through the institute's help. But students are worried because they don't have enough time for hands-on practice, and they say the institute doesn'</t>
  </si>
  <si>
    <t xml:space="preserve">Astore</t>
  </si>
  <si>
    <t xml:space="preserve">Deosai Technical Institute, Astore</t>
  </si>
  <si>
    <t xml:space="preserve">Saturday, 6 April 2024</t>
  </si>
  <si>
    <t xml:space="preserve">Waqas Farooq</t>
  </si>
  <si>
    <t xml:space="preserve">Bachelors in English</t>
  </si>
  <si>
    <t xml:space="preserve">Several students lacked proficiency in Urdu, making it challenging for me to comprehend their contributions, hindering their ability to complete the course effectively. The classroom was undersized, with insufficient chairs for all students. Access to the</t>
  </si>
  <si>
    <t xml:space="preserve">Government Vocational &amp; Technical Training Center Gilgit (GVTTC Gilgit)</t>
  </si>
  <si>
    <t xml:space="preserve">Wajid Ali</t>
  </si>
  <si>
    <t xml:space="preserve">Bs Political Sciences</t>
  </si>
  <si>
    <t xml:space="preserve">The institution has received positive feedback from me due to several reasons. Firstly, the quality of education provided is commendable, with knowledgeable instructors and engaging lectures. Additionally, the resources and facilities available contribute</t>
  </si>
  <si>
    <t xml:space="preserve">Sajad Ali</t>
  </si>
  <si>
    <t xml:space="preserve">BA Sociology</t>
  </si>
  <si>
    <t xml:space="preserve">Sonam Zahra</t>
  </si>
  <si>
    <t xml:space="preserve">Associate Degree in Education</t>
  </si>
  <si>
    <t xml:space="preserve">General Electrician</t>
  </si>
  <si>
    <t xml:space="preserve">Irfan Ali</t>
  </si>
  <si>
    <t xml:space="preserve">BA in Education</t>
  </si>
  <si>
    <t xml:space="preserve">Skardu</t>
  </si>
  <si>
    <t xml:space="preserve">WOMEN DEVELOPMENT BALTISTAN, SKARDU</t>
  </si>
  <si>
    <t xml:space="preserve">Farida khanum</t>
  </si>
  <si>
    <t xml:space="preserve">Higher Secondary School</t>
  </si>
  <si>
    <t xml:space="preserve">Firstly, the students have limited space, confined to a small classroom without chairs or tables for their sewing machines. Secondly, there's a shortage of sewing machines, with one machine shared between two trainees, resulting in significant delays in p</t>
  </si>
  <si>
    <t xml:space="preserve">Govt. Vocational and technical training center (GVTTC) Skardu</t>
  </si>
  <si>
    <t xml:space="preserve">Abida Batool</t>
  </si>
  <si>
    <t xml:space="preserve">Higher Secondary Schooling</t>
  </si>
  <si>
    <t xml:space="preserve">Firstly, GVTC Skardu operates in a building that it does not own. The administration has identified a site for a future building, where construction will take place. Currently, two trades operate in this building of the Government Boys School, while anoth</t>
  </si>
  <si>
    <t xml:space="preserve">Jhon Aleiya Shah</t>
  </si>
  <si>
    <t xml:space="preserve">Mehvish Aman</t>
  </si>
  <si>
    <t xml:space="preserve">Bs Biology</t>
  </si>
  <si>
    <t xml:space="preserve">AINEE, S BEAUTY SALOON &amp; TRAINING CENTRE ALAMDAR ROAD SKARDU</t>
  </si>
  <si>
    <t xml:space="preserve">Mariam Batool</t>
  </si>
  <si>
    <t xml:space="preserve">MA Islamiyat</t>
  </si>
  <si>
    <t xml:space="preserve">The institute was well-equipped with four distinct sections for various practicals. The owner generously awarded a deserving student with a free scholarship. The instructors, who were alumni of the institute themselves, significantly contributed to the ca</t>
  </si>
  <si>
    <t xml:space="preserve">KASHISH INSTITUTE OF WOMEN DEVELOPMENT SKARDU (KIWDS)</t>
  </si>
  <si>
    <t xml:space="preserve">BA Education</t>
  </si>
  <si>
    <t xml:space="preserve">Based on student queries, responses, and my own inspection, it was evident that the institute's administration lacked general information about products and operational procedures. Additionally, during informed visits, instructors were often absent. Furth</t>
  </si>
  <si>
    <t xml:space="preserve">Ghanche</t>
  </si>
  <si>
    <t xml:space="preserve">Government vocational and technical training center khaplu District Ghanche</t>
  </si>
  <si>
    <t xml:space="preserve">Abdullah Rahim</t>
  </si>
  <si>
    <t xml:space="preserve">This institute, despite being a local government body, doesn't have its own building. Instead, it uses a social welfare office. The classroom lacks necessary resources, and the practical lab is too small for all students to do practicals simultaneously. S</t>
  </si>
  <si>
    <t xml:space="preserve">Hunza</t>
  </si>
  <si>
    <t xml:space="preserve">Karakoram International University Gilgit-Baltistan Hunza campus</t>
  </si>
  <si>
    <t xml:space="preserve">Monday, 8 April 2024</t>
  </si>
  <si>
    <t xml:space="preserve">Norman Karim</t>
  </si>
  <si>
    <t xml:space="preserve">BS in Computer Science</t>
  </si>
  <si>
    <t xml:space="preserve">The university has a good IT lab and instructors who are successful on platforms like Fiverr and Upwork. The management is strong, and the campus has everything students need, like classes, labs, libraries, and cafes. Students are earning good money even</t>
  </si>
  <si>
    <t xml:space="preserve">KARAKURAM INSTITUTE OF COMMERCE &amp;TECHNOLOGY (KICT) SKARDU</t>
  </si>
  <si>
    <t xml:space="preserve">Syed Munawar Hussain</t>
  </si>
  <si>
    <t xml:space="preserve">The lower grading is due to the nature of the trades, which are conventional and labor-intensive, requiring safety measures. However, students were often seen wearing slippers while digging floors to fit pipes, using heavy equipment without following safe</t>
  </si>
  <si>
    <t xml:space="preserve">Qamar Abbas</t>
  </si>
  <si>
    <t xml:space="preserve">B.Tech Honurs</t>
  </si>
  <si>
    <t xml:space="preserve">Alshahbaz Women Vocational Training Institute, Shigar</t>
  </si>
  <si>
    <t xml:space="preserve">Sakina Bi</t>
  </si>
  <si>
    <t xml:space="preserve">The institute has a highly experienced instructor, but she is unable to read English. Consequently, she relies on an old version of the syllabus translated into Urdu. Given that the students also have limited educational backgrounds, they require the Urdu</t>
  </si>
  <si>
    <t xml:space="preserve">UROOJ BEAUTY SALOON SHIGAR</t>
  </si>
  <si>
    <t xml:space="preserve">Yasmeen Batool</t>
  </si>
  <si>
    <t xml:space="preserve">Double Masters in Political Science &amp; Education</t>
  </si>
  <si>
    <t xml:space="preserve">The district of Shigir in Baltistan is a remote area, yet this institute boasts well-maintained and furnished classrooms, labs, and practical areas. Students are equipped with proper uniforms and safety gear, including clinical gloves and nurse coats. Ove</t>
  </si>
  <si>
    <t xml:space="preserve">Ghizer</t>
  </si>
  <si>
    <t xml:space="preserve">Government Vocational &amp; Technical Training center Ghizer GB</t>
  </si>
  <si>
    <t xml:space="preserve">Saima</t>
  </si>
  <si>
    <t xml:space="preserve">Bs Education</t>
  </si>
  <si>
    <t xml:space="preserve">This school doesn't have its own building yet. The principal told me they're building one. Right now, they're using a room in Scom Technological Park. The students are learning about eCommerce. Some have laptops, but most use their phones. The school trie</t>
  </si>
  <si>
    <t xml:space="preserve">College Of Tourism &amp; Hotel Management (COTHM) Sakardu</t>
  </si>
  <si>
    <t xml:space="preserve">Amir Gul</t>
  </si>
  <si>
    <t xml:space="preserve">Diploma in Culinary Arts</t>
  </si>
  <si>
    <t xml:space="preserve">COTHM, a renowned institute in the country, provides invaluable services to the region, particularly beneficial as the industry experiences exponential growth. This will undoubtedly enhance the quality of services and contribute to long-term sustainabilit</t>
  </si>
  <si>
    <t xml:space="preserve">Travel and Tourism Manager Program</t>
  </si>
  <si>
    <t xml:space="preserve">Nasir Hussain</t>
  </si>
  <si>
    <t xml:space="preserve">MSc Tourism</t>
  </si>
  <si>
    <t xml:space="preserve">Diamer</t>
  </si>
  <si>
    <t xml:space="preserve">Government Vocational and Technical Training Center</t>
  </si>
  <si>
    <t xml:space="preserve">The Government Vocational and Technical Training Center (GVTTC) in Diamer initially operated within the premises of Government Primary School Diamer. However, they have since separated, and as a result, GVTTC no longer has its own building. The GVTTC building is under construction and soon will be completed.</t>
  </si>
  <si>
    <t xml:space="preserve">Friday, 5 April 2024</t>
  </si>
  <si>
    <t xml:space="preserve">Package-03</t>
  </si>
  <si>
    <t xml:space="preserve">PUNJAB</t>
  </si>
  <si>
    <t xml:space="preserve">Multan</t>
  </si>
  <si>
    <t xml:space="preserve">Honda Multan Pvt Ltd</t>
  </si>
  <si>
    <t xml:space="preserve">Abdul Basit</t>
  </si>
  <si>
    <t xml:space="preserve">B.SC electrical engineer</t>
  </si>
  <si>
    <t xml:space="preserve">Their 1st experience that's why everything was just good.</t>
  </si>
  <si>
    <t xml:space="preserve">Punjab</t>
  </si>
  <si>
    <t xml:space="preserve">Hightech Automotive Technician</t>
  </si>
  <si>
    <t xml:space="preserve">Muhammad Rashid</t>
  </si>
  <si>
    <t xml:space="preserve">DD technician+F.A</t>
  </si>
  <si>
    <t xml:space="preserve">Network Home Institute of Information Technology</t>
  </si>
  <si>
    <t xml:space="preserve">Abdul qadeer mudassar</t>
  </si>
  <si>
    <t xml:space="preserve">MPhil</t>
  </si>
  <si>
    <t xml:space="preserve">Overall system was very good, TLM and equipments were provided to the students, students have knowledge about course content was very good</t>
  </si>
  <si>
    <t xml:space="preserve">Hafiz fahad najam</t>
  </si>
  <si>
    <t xml:space="preserve">BSCS</t>
  </si>
  <si>
    <t xml:space="preserve">Rajan Pur</t>
  </si>
  <si>
    <t xml:space="preserve">Jinnah Science &amp; Technical College</t>
  </si>
  <si>
    <t xml:space="preserve">Abdul Qadoos</t>
  </si>
  <si>
    <t xml:space="preserve">MSC</t>
  </si>
  <si>
    <t xml:space="preserve">Institute fully equipped and students are good in</t>
  </si>
  <si>
    <t xml:space="preserve">Folia faiz</t>
  </si>
  <si>
    <t xml:space="preserve">M.A Urdu and 1 year certificate in beautician PBTE</t>
  </si>
  <si>
    <t xml:space="preserve">Rozina kousar</t>
  </si>
  <si>
    <t xml:space="preserve">One year Diploma gover vocational training institute</t>
  </si>
  <si>
    <t xml:space="preserve">Bahawalnagar</t>
  </si>
  <si>
    <t xml:space="preserve">Ittefaq college of Technology</t>
  </si>
  <si>
    <t xml:space="preserve">Management is fine. Every tool and equipment is available. Labs are wide overall infrastructure is good.</t>
  </si>
  <si>
    <t xml:space="preserve">Mubeen ahmed</t>
  </si>
  <si>
    <t xml:space="preserve">Pacific College</t>
  </si>
  <si>
    <t xml:space="preserve">Adeel shahzad</t>
  </si>
  <si>
    <t xml:space="preserve">The previous attendance on this institute's portal is very good. The overall system was excellent. Teaching and Learning Materials (TLM) and all necessary equipment were provided to the students, and all activities were conducted according to schedule.</t>
  </si>
  <si>
    <t xml:space="preserve">Shahbaz khan</t>
  </si>
  <si>
    <t xml:space="preserve">Es institute ki portal pr previous attendance boht achi hai  overall system was very good ,TLM and all equipments were provided to the students, all activities were carried as per schedule</t>
  </si>
  <si>
    <t xml:space="preserve">Punjab College of Health Technology &amp; Allied Science</t>
  </si>
  <si>
    <t xml:space="preserve">Adiba Bibi</t>
  </si>
  <si>
    <t xml:space="preserve">MA health &amp; Physical</t>
  </si>
  <si>
    <t xml:space="preserve">Lab are up to date teachers were well versed with their courses</t>
  </si>
  <si>
    <t xml:space="preserve">Hina Maqsood</t>
  </si>
  <si>
    <t xml:space="preserve">BS-IT</t>
  </si>
  <si>
    <t xml:space="preserve">Madiha kanwal</t>
  </si>
  <si>
    <t xml:space="preserve">Muhammad Sufian</t>
  </si>
  <si>
    <t xml:space="preserve">DAE MTD</t>
  </si>
  <si>
    <t xml:space="preserve">Muhammad Tayyab</t>
  </si>
  <si>
    <t xml:space="preserve">NFC Institute of Engineering &amp; Technology Multan</t>
  </si>
  <si>
    <t xml:space="preserve">Ahmad Naeem</t>
  </si>
  <si>
    <t xml:space="preserve">All facilities are available for trades</t>
  </si>
  <si>
    <t xml:space="preserve">Dr Naeem Hassan</t>
  </si>
  <si>
    <t xml:space="preserve">Muhammad Humzah Khuram</t>
  </si>
  <si>
    <t xml:space="preserve">Ms</t>
  </si>
  <si>
    <t xml:space="preserve">CORVIT SYSTEMS MULTAN</t>
  </si>
  <si>
    <t xml:space="preserve">Ali haider</t>
  </si>
  <si>
    <t xml:space="preserve">BS (IT)</t>
  </si>
  <si>
    <t xml:space="preserve">Overall system was good ,TLM and equipment were provided to the trainees ,trainer was very hardworking</t>
  </si>
  <si>
    <t xml:space="preserve">Rizwan saeed</t>
  </si>
  <si>
    <t xml:space="preserve">Bs (IT)</t>
  </si>
  <si>
    <t xml:space="preserve">Muzaffargarh</t>
  </si>
  <si>
    <t xml:space="preserve">Global College of Technology</t>
  </si>
  <si>
    <t xml:space="preserve">Welder (TIG, SMAW,MIG, SAW, ARC)</t>
  </si>
  <si>
    <t xml:space="preserve">Ali Hamza</t>
  </si>
  <si>
    <t xml:space="preserve">Students are average in sense of knowledge</t>
  </si>
  <si>
    <t xml:space="preserve">Muhammad Sadique</t>
  </si>
  <si>
    <t xml:space="preserve">BS Electrical</t>
  </si>
  <si>
    <t xml:space="preserve">Vehari</t>
  </si>
  <si>
    <t xml:space="preserve">ICD College Arifwala</t>
  </si>
  <si>
    <t xml:space="preserve">Ali shan</t>
  </si>
  <si>
    <t xml:space="preserve">The reason for this grading is that the institute was well maintained, there were four labs, computers were there.And the instructor had good education and experience.The atmosphere of the college was good</t>
  </si>
  <si>
    <t xml:space="preserve">Muhammad jaffer</t>
  </si>
  <si>
    <t xml:space="preserve">Mphil. computer science</t>
  </si>
  <si>
    <t xml:space="preserve">Bahawalpur</t>
  </si>
  <si>
    <t xml:space="preserve">Govt. Staff Training College, Bahawalpur</t>
  </si>
  <si>
    <t xml:space="preserve">Aliya khan</t>
  </si>
  <si>
    <t xml:space="preserve">Msc Arabic</t>
  </si>
  <si>
    <t xml:space="preserve">Labs are highly equipped and students are satisfied with trainer</t>
  </si>
  <si>
    <t xml:space="preserve">Rahimyar Khan</t>
  </si>
  <si>
    <t xml:space="preserve">Khawaja Fareed University of Engineering and Information Technology, Rahim Yar Khan.</t>
  </si>
  <si>
    <t xml:space="preserve">Amara Nosheen</t>
  </si>
  <si>
    <t xml:space="preserve">MS computer science</t>
  </si>
  <si>
    <t xml:space="preserve">All the things are smooth, equipments are present.Instructors are knowledgeable and have a exact understanding about their course content but the students are not too much well versed about their course content.</t>
  </si>
  <si>
    <t xml:space="preserve">Eng Muhammad Tamoor</t>
  </si>
  <si>
    <t xml:space="preserve">MS Electrical Engineering</t>
  </si>
  <si>
    <t xml:space="preserve">Muhammad Ismail</t>
  </si>
  <si>
    <t xml:space="preserve">MS computer engineering</t>
  </si>
  <si>
    <t xml:space="preserve">M-phyll in Computer science</t>
  </si>
  <si>
    <t xml:space="preserve">Rakhshanda Sehar</t>
  </si>
  <si>
    <t xml:space="preserve">MSCS</t>
  </si>
  <si>
    <t xml:space="preserve">JINNAH COLLEGE OF ENGINEERING &amp; TECHNOLOGY (JCET) BUREWALA.</t>
  </si>
  <si>
    <t xml:space="preserve">Amjad Rasool</t>
  </si>
  <si>
    <t xml:space="preserve">B.Tech</t>
  </si>
  <si>
    <t xml:space="preserve">Students were present and classes were going on.And there were tools</t>
  </si>
  <si>
    <t xml:space="preserve">Plumber / Pipe Fitter</t>
  </si>
  <si>
    <t xml:space="preserve">Faheem Abbas</t>
  </si>
  <si>
    <t xml:space="preserve">DAE civil Technology 3 years</t>
  </si>
  <si>
    <t xml:space="preserve">Menahil Saleem</t>
  </si>
  <si>
    <t xml:space="preserve">BSC polymer Engineering</t>
  </si>
  <si>
    <t xml:space="preserve">Muhammad Rafique</t>
  </si>
  <si>
    <t xml:space="preserve">HVACR 2 years certificate</t>
  </si>
  <si>
    <t xml:space="preserve">Machinist</t>
  </si>
  <si>
    <t xml:space="preserve">Muhammad Tabish</t>
  </si>
  <si>
    <t xml:space="preserve">DAE mechanical technology</t>
  </si>
  <si>
    <t xml:space="preserve">Muhammad Usman</t>
  </si>
  <si>
    <t xml:space="preserve">BSC Electrical Engineering</t>
  </si>
  <si>
    <t xml:space="preserve">Students were present and classes were going on and there were  available as per requirement</t>
  </si>
  <si>
    <t xml:space="preserve">Fashion institute of technology</t>
  </si>
  <si>
    <t xml:space="preserve">Textile Designing with CAD</t>
  </si>
  <si>
    <t xml:space="preserve">Ammara anjum</t>
  </si>
  <si>
    <t xml:space="preserve">All equipments, tools and consumable material is fully available. Good trainers, practical environment.</t>
  </si>
  <si>
    <t xml:space="preserve">Sumaira kanwal</t>
  </si>
  <si>
    <t xml:space="preserve">Government Technical Training Institute (Women), Multan</t>
  </si>
  <si>
    <t xml:space="preserve">Amna</t>
  </si>
  <si>
    <t xml:space="preserve">This institute was excellent building neatness and teacher students well knowledge.</t>
  </si>
  <si>
    <t xml:space="preserve">Noor ul ain</t>
  </si>
  <si>
    <t xml:space="preserve">MPhill English</t>
  </si>
  <si>
    <t xml:space="preserve">Khanewal</t>
  </si>
  <si>
    <t xml:space="preserve">Mueen ul Islam Polytechnic Institute Mian Channu</t>
  </si>
  <si>
    <t xml:space="preserve">Amrozia rafeeq</t>
  </si>
  <si>
    <t xml:space="preserve">Msc math</t>
  </si>
  <si>
    <t xml:space="preserve">1-The trainees were satisfied with the course and all facilities were provided  by the management</t>
  </si>
  <si>
    <t xml:space="preserve">CORVIT SYSTEMS BAHAWALPUR</t>
  </si>
  <si>
    <t xml:space="preserve">Anjum ahmed khan</t>
  </si>
  <si>
    <t xml:space="preserve">Msc electrical engneering</t>
  </si>
  <si>
    <t xml:space="preserve">Professional instructor, students perfomance is good</t>
  </si>
  <si>
    <t xml:space="preserve">Kamran lateef</t>
  </si>
  <si>
    <t xml:space="preserve">Msc computer sciences</t>
  </si>
  <si>
    <t xml:space="preserve">Muhammad usman anjum</t>
  </si>
  <si>
    <t xml:space="preserve">MS WEB AND DATA COUNT</t>
  </si>
  <si>
    <t xml:space="preserve">Quaid-E-Azam technical College</t>
  </si>
  <si>
    <t xml:space="preserve">Ansar Abbas</t>
  </si>
  <si>
    <t xml:space="preserve">M-phill in Computer Science</t>
  </si>
  <si>
    <t xml:space="preserve">All the equipments were present and all the activities were going according to schedule. All the equipments and facilities were arranged properly and they have proper set up. The teachers were well qualified and also well experienced.</t>
  </si>
  <si>
    <t xml:space="preserve">Rimsha Nawaz</t>
  </si>
  <si>
    <t xml:space="preserve">M.Sc Computer Science</t>
  </si>
  <si>
    <t xml:space="preserve">Jinnah Institute of technology</t>
  </si>
  <si>
    <t xml:space="preserve">Aqib Jabar</t>
  </si>
  <si>
    <t xml:space="preserve">Students were satisfied and labs are up-to-date</t>
  </si>
  <si>
    <t xml:space="preserve">Government College of Technology Muzaffargarh</t>
  </si>
  <si>
    <t xml:space="preserve">Aqib riaz</t>
  </si>
  <si>
    <t xml:space="preserve">Bs Electrical</t>
  </si>
  <si>
    <t xml:space="preserve">Overall good</t>
  </si>
  <si>
    <t xml:space="preserve">Umer farooq</t>
  </si>
  <si>
    <t xml:space="preserve">DAE mechanical</t>
  </si>
  <si>
    <t xml:space="preserve">JINNAH COLLEGE OF SCIENC &amp; TECHNOLOGY JAMPUR</t>
  </si>
  <si>
    <t xml:space="preserve">Aqsa maryam</t>
  </si>
  <si>
    <t xml:space="preserve">They have proper plans and students are good</t>
  </si>
  <si>
    <t xml:space="preserve">Government college of tecnology multan</t>
  </si>
  <si>
    <t xml:space="preserve">Areeba semab</t>
  </si>
  <si>
    <t xml:space="preserve">BS computer science + DDM</t>
  </si>
  <si>
    <t xml:space="preserve">Almost things were very good.</t>
  </si>
  <si>
    <t xml:space="preserve">Government College of Technology Tranda Muhammad Panah</t>
  </si>
  <si>
    <t xml:space="preserve">Asad Ali</t>
  </si>
  <si>
    <t xml:space="preserve">BSC Mechanical engineering</t>
  </si>
  <si>
    <t xml:space="preserve">They are doing well</t>
  </si>
  <si>
    <t xml:space="preserve">Muhammad UMAIR Hassan</t>
  </si>
  <si>
    <t xml:space="preserve">Executive Training Center Islamia university Bahawalnagar Campus</t>
  </si>
  <si>
    <t xml:space="preserve">Asif Ghafoor</t>
  </si>
  <si>
    <t xml:space="preserve">MPhil botany</t>
  </si>
  <si>
    <t xml:space="preserve">Equipment tools fully available, trainers are not much experienced, they are marking full attendance on PMS portal, but on manual attendance register 1 or 2 students are absent. They didn't provide learning material to students, they are just sharing less</t>
  </si>
  <si>
    <t xml:space="preserve">Barirah</t>
  </si>
  <si>
    <t xml:space="preserve">Bachelor in computer science</t>
  </si>
  <si>
    <t xml:space="preserve">Umeh habiba</t>
  </si>
  <si>
    <t xml:space="preserve">MA in computer science</t>
  </si>
  <si>
    <t xml:space="preserve">College of Tourism &amp; Hotel Management Multan</t>
  </si>
  <si>
    <t xml:space="preserve">Ata ur Rehman</t>
  </si>
  <si>
    <t xml:space="preserve">B.A</t>
  </si>
  <si>
    <t xml:space="preserve">Professional thing are available  Job oprtunity is available  Students are well engaged</t>
  </si>
  <si>
    <t xml:space="preserve">Bakery &amp; Pastery Making</t>
  </si>
  <si>
    <t xml:space="preserve">Marriyum Zahid</t>
  </si>
  <si>
    <t xml:space="preserve">Ms Bussines administraton</t>
  </si>
  <si>
    <t xml:space="preserve">Muhammad Sajjad</t>
  </si>
  <si>
    <t xml:space="preserve">Master</t>
  </si>
  <si>
    <t xml:space="preserve">MA</t>
  </si>
  <si>
    <t xml:space="preserve">Rashida Shamim</t>
  </si>
  <si>
    <t xml:space="preserve">Master in Mas communications</t>
  </si>
  <si>
    <t xml:space="preserve">Nims College of technology Bahawalpur</t>
  </si>
  <si>
    <t xml:space="preserve">Aurangzeb</t>
  </si>
  <si>
    <t xml:space="preserve">Trainers are not much experienced regarding trade, internet facility is available but not connected to all systems, only 3 systems are connected to internet, students works in groups to use internet. There's no projector available for graphic designing tr</t>
  </si>
  <si>
    <t xml:space="preserve">Zunaira khan</t>
  </si>
  <si>
    <t xml:space="preserve">Mphil</t>
  </si>
  <si>
    <t xml:space="preserve">Punjab College SadiqAbad</t>
  </si>
  <si>
    <t xml:space="preserve">Ayesha Sadiqa</t>
  </si>
  <si>
    <t xml:space="preserve">Master in Computer Science</t>
  </si>
  <si>
    <t xml:space="preserve">Somewhat , system was good,equipments were present but students were not too well versed about their course content.</t>
  </si>
  <si>
    <t xml:space="preserve">Muhammad Hanzala Bhutta</t>
  </si>
  <si>
    <t xml:space="preserve">Sultan Ahmad</t>
  </si>
  <si>
    <t xml:space="preserve">Master in zoology</t>
  </si>
  <si>
    <t xml:space="preserve">Wajeeha Ikram</t>
  </si>
  <si>
    <t xml:space="preserve">BSCS(Hons)</t>
  </si>
  <si>
    <t xml:space="preserve">Executive Training Center Islamia University Rahimyar Khan Campus</t>
  </si>
  <si>
    <t xml:space="preserve">Batoon Mohsin</t>
  </si>
  <si>
    <t xml:space="preserve">M-Phyll (International Relations)</t>
  </si>
  <si>
    <t xml:space="preserve">Overall System, Management is good, all basic equipments are present, so, as it's their 1st experience, so it was good.</t>
  </si>
  <si>
    <t xml:space="preserve">Hassan Ahmad</t>
  </si>
  <si>
    <t xml:space="preserve">M-phyll</t>
  </si>
  <si>
    <t xml:space="preserve">Nimrah Iqbal</t>
  </si>
  <si>
    <t xml:space="preserve">M/S Lasani vocational training,technical &amp; general education institute</t>
  </si>
  <si>
    <t xml:space="preserve">Bushar Amin</t>
  </si>
  <si>
    <t xml:space="preserve">BA Ed</t>
  </si>
  <si>
    <t xml:space="preserve">Students are regular and actively participating in lab</t>
  </si>
  <si>
    <t xml:space="preserve">Zarina Kousar</t>
  </si>
  <si>
    <t xml:space="preserve">PNY Trainings_Multan</t>
  </si>
  <si>
    <t xml:space="preserve">Danish Islam Khan</t>
  </si>
  <si>
    <t xml:space="preserve">Msc</t>
  </si>
  <si>
    <t xml:space="preserve">They are doing very wel and maintenance is also on excellency level good</t>
  </si>
  <si>
    <t xml:space="preserve">Qasim Ashraf</t>
  </si>
  <si>
    <t xml:space="preserve">Rao Abdul Rehman</t>
  </si>
  <si>
    <t xml:space="preserve">Faculty of Engineering, The Islamia University of Bahawalpur</t>
  </si>
  <si>
    <t xml:space="preserve">Dileep kumar</t>
  </si>
  <si>
    <t xml:space="preserve">Experienced trainers, good labs, full availability of equipments and tools.</t>
  </si>
  <si>
    <t xml:space="preserve">Dr. Asjad amin</t>
  </si>
  <si>
    <t xml:space="preserve">Muhammad shafique</t>
  </si>
  <si>
    <t xml:space="preserve">Layyah</t>
  </si>
  <si>
    <t xml:space="preserve">PARA-VETERINARY INSTITUTE KAROR LAL-EASON DISTRICT LAYYAH</t>
  </si>
  <si>
    <t xml:space="preserve">Artificial Insemination</t>
  </si>
  <si>
    <t xml:space="preserve">Dr Absar Ahmad</t>
  </si>
  <si>
    <t xml:space="preserve">M. Phill</t>
  </si>
  <si>
    <t xml:space="preserve">Everything is ok Good</t>
  </si>
  <si>
    <t xml:space="preserve">Veterniary, Poultary &amp; Dairy Assistants</t>
  </si>
  <si>
    <t xml:space="preserve">Dr Nadeem Raza</t>
  </si>
  <si>
    <t xml:space="preserve">PHD</t>
  </si>
  <si>
    <t xml:space="preserve">Institute of Continuing Education &amp; Extension, CUVAS, Bahawalpur</t>
  </si>
  <si>
    <t xml:space="preserve">Dr kaleem</t>
  </si>
  <si>
    <t xml:space="preserve">M.phl clinical veteran medicine</t>
  </si>
  <si>
    <t xml:space="preserve">As Govt university there are excellent labs and rooms students have no problem in lab equipment and material and multiple teachers are teaching as pr there speciality</t>
  </si>
  <si>
    <t xml:space="preserve">Executive Training Center Islamia University Bagawalpur</t>
  </si>
  <si>
    <t xml:space="preserve">Dr.Mujtaba nawaz</t>
  </si>
  <si>
    <t xml:space="preserve">Full fledged training ,   jobs opportunity, certification</t>
  </si>
  <si>
    <t xml:space="preserve">Syed Abu Huraira</t>
  </si>
  <si>
    <t xml:space="preserve">Zahid siddique</t>
  </si>
  <si>
    <t xml:space="preserve">MS</t>
  </si>
  <si>
    <t xml:space="preserve">Institute of Southern Punjab</t>
  </si>
  <si>
    <t xml:space="preserve">Industrial Automation (PLC/HMI/SCADA)</t>
  </si>
  <si>
    <t xml:space="preserve">Eng Adnan Rasheed</t>
  </si>
  <si>
    <t xml:space="preserve">Ms Electrical engineering</t>
  </si>
  <si>
    <t xml:space="preserve">This is a great initiative,  there should be more such courses. And we have a great capacity for students in our institute</t>
  </si>
  <si>
    <t xml:space="preserve">Majid Khawar</t>
  </si>
  <si>
    <t xml:space="preserve">Qasim Niaz</t>
  </si>
  <si>
    <t xml:space="preserve">Ms (M Phil computer science)</t>
  </si>
  <si>
    <t xml:space="preserve">Zia ur Rehman Zia</t>
  </si>
  <si>
    <t xml:space="preserve">MS informations technology</t>
  </si>
  <si>
    <t xml:space="preserve">Lodhran</t>
  </si>
  <si>
    <t xml:space="preserve">Bahauddin Zakariya University Sub Campus Lodhran (Department Of IT)</t>
  </si>
  <si>
    <t xml:space="preserve">Bs IT</t>
  </si>
  <si>
    <t xml:space="preserve">Over all everything is a good trainer is market oriented and need improvement in industry linkage</t>
  </si>
  <si>
    <t xml:space="preserve">American Lycetuff Dnk School System Lodhran kehror Pakka Road</t>
  </si>
  <si>
    <t xml:space="preserve">Trainers are qualified and also management is cooperative to the students</t>
  </si>
  <si>
    <t xml:space="preserve">Haifa siddqi</t>
  </si>
  <si>
    <t xml:space="preserve">M.edu</t>
  </si>
  <si>
    <t xml:space="preserve">Noman mahmood</t>
  </si>
  <si>
    <t xml:space="preserve">THE PROFESSIONALS INSTITUTE,LAYYAH</t>
  </si>
  <si>
    <t xml:space="preserve">Faiaz hussain</t>
  </si>
  <si>
    <t xml:space="preserve">M. A Urdu BS machinical</t>
  </si>
  <si>
    <t xml:space="preserve">Everything ok okay in instute.</t>
  </si>
  <si>
    <t xml:space="preserve">Rimsha mansoor</t>
  </si>
  <si>
    <t xml:space="preserve">College of Tourism &amp; Hotel Management Bahawalpur</t>
  </si>
  <si>
    <t xml:space="preserve">Barista Skills (Fast Food)</t>
  </si>
  <si>
    <t xml:space="preserve">Farwa majeed</t>
  </si>
  <si>
    <t xml:space="preserve">Good trainers, Good communication skills, Good ethics, friendly environment, informative course outline, labs with revelant charts and equipment, Good restaurant setup.</t>
  </si>
  <si>
    <t xml:space="preserve">Muhammad imran</t>
  </si>
  <si>
    <t xml:space="preserve">Muhammad muzamil</t>
  </si>
  <si>
    <t xml:space="preserve">Owner in hospitality and tourism</t>
  </si>
  <si>
    <t xml:space="preserve">Numan liaqat</t>
  </si>
  <si>
    <t xml:space="preserve">Advance diploma in culinary arts</t>
  </si>
  <si>
    <t xml:space="preserve">Sidra Amin</t>
  </si>
  <si>
    <t xml:space="preserve">BS computer science</t>
  </si>
  <si>
    <t xml:space="preserve">Usama jahangir</t>
  </si>
  <si>
    <t xml:space="preserve">Professional diploma in hospitality and management UK 6</t>
  </si>
  <si>
    <t xml:space="preserve">Quaid E Azam Technical College Campus II Fazilpur</t>
  </si>
  <si>
    <t xml:space="preserve">Farzana Izhar</t>
  </si>
  <si>
    <t xml:space="preserve">M.A English 1 year diploma Femina Institute</t>
  </si>
  <si>
    <t xml:space="preserve">Ther linking with Institute for jobs of the student</t>
  </si>
  <si>
    <t xml:space="preserve">Sahib Mukhtiar</t>
  </si>
  <si>
    <t xml:space="preserve">Informatics Vocational &amp; Technical Training Center Vehari</t>
  </si>
  <si>
    <t xml:space="preserve">Other Specify</t>
  </si>
  <si>
    <t xml:space="preserve">Fozia bibi</t>
  </si>
  <si>
    <t xml:space="preserve">BA and 14 month course</t>
  </si>
  <si>
    <t xml:space="preserve">Because it has tools for all students, all students have computers and multimedia is also available</t>
  </si>
  <si>
    <t xml:space="preserve">Nasheman (Home for Special Persons) Bahawalpur</t>
  </si>
  <si>
    <t xml:space="preserve">Fozia syeda</t>
  </si>
  <si>
    <t xml:space="preserve">Management and trainers are very hardworking and labs are up-to-date</t>
  </si>
  <si>
    <t xml:space="preserve">Home Appliance Repair &amp; Maintenance</t>
  </si>
  <si>
    <t xml:space="preserve">Muhammad younos</t>
  </si>
  <si>
    <t xml:space="preserve">Shabana Parveen</t>
  </si>
  <si>
    <t xml:space="preserve">MA Urdu</t>
  </si>
  <si>
    <t xml:space="preserve">IQRA TECHNICAL EDUCATION COMPLEX RAJANPUR</t>
  </si>
  <si>
    <t xml:space="preserve">Gulnaz Hameed</t>
  </si>
  <si>
    <t xml:space="preserve">All the activities were going smoothly,  the students have made projects in Fashion &amp; dress designing class. The electrician class has also made different projects, the students were well versed about their course content. All the necessary equipments wer</t>
  </si>
  <si>
    <t xml:space="preserve">Domestic Electrical Appliances Technicians</t>
  </si>
  <si>
    <t xml:space="preserve">Imran Saeed</t>
  </si>
  <si>
    <t xml:space="preserve">M.A Urdu</t>
  </si>
  <si>
    <t xml:space="preserve">Muhammad Hamza Nawaz</t>
  </si>
  <si>
    <t xml:space="preserve">DAE Mechanicals</t>
  </si>
  <si>
    <t xml:space="preserve">ACE CONNECT</t>
  </si>
  <si>
    <t xml:space="preserve">Hafiz Adeel Shehzad</t>
  </si>
  <si>
    <t xml:space="preserve">Bsc</t>
  </si>
  <si>
    <t xml:space="preserve">Result oriented organization  Provide better job opportunities for students  Award winning institute</t>
  </si>
  <si>
    <t xml:space="preserve">Jalal Khan</t>
  </si>
  <si>
    <t xml:space="preserve">Umair Iftikhar</t>
  </si>
  <si>
    <t xml:space="preserve">Bs in textile design</t>
  </si>
  <si>
    <t xml:space="preserve">Directorate Of It (Bahauddin Zakariya University Multan)</t>
  </si>
  <si>
    <t xml:space="preserve">Hafiz Muhammad Abdullah</t>
  </si>
  <si>
    <t xml:space="preserve">M.phil</t>
  </si>
  <si>
    <t xml:space="preserve">Everything is good . Everyone answered me well. All students and trainers have good knowledge about these trades . The principal is so cooperative.</t>
  </si>
  <si>
    <t xml:space="preserve">Bs engineering</t>
  </si>
  <si>
    <t xml:space="preserve">Raheel yaqoob</t>
  </si>
  <si>
    <t xml:space="preserve">MS cs</t>
  </si>
  <si>
    <t xml:space="preserve">Syed wajahat Mashkoor</t>
  </si>
  <si>
    <t xml:space="preserve">Microsoft .Net + Angular / React</t>
  </si>
  <si>
    <t xml:space="preserve">Zeeshan mazhar</t>
  </si>
  <si>
    <t xml:space="preserve">SWEDISH INSTITUTE OF TECHNOLOGY RAHIM YAR KHAN</t>
  </si>
  <si>
    <t xml:space="preserve">Hamza Akhtar</t>
  </si>
  <si>
    <t xml:space="preserve">BSc mechanical engineering</t>
  </si>
  <si>
    <t xml:space="preserve">The system was totally well maintained,  Students were awared about their course content &amp; modules. Almost all equipments were present. Their was Biometric attendance issue from some days but at the day of visit , they set-up a new biometric device, after</t>
  </si>
  <si>
    <t xml:space="preserve">Muhammad Imran</t>
  </si>
  <si>
    <t xml:space="preserve">MSC Mechanical engineering</t>
  </si>
  <si>
    <t xml:space="preserve">Rana Farhan</t>
  </si>
  <si>
    <t xml:space="preserve">BSc Cival engineering</t>
  </si>
  <si>
    <t xml:space="preserve">Amal And Ayaan Institute of Science and Technology</t>
  </si>
  <si>
    <t xml:space="preserve">Hamza Ramzan</t>
  </si>
  <si>
    <t xml:space="preserve">Msc botany</t>
  </si>
  <si>
    <t xml:space="preserve">Overall education level is good</t>
  </si>
  <si>
    <t xml:space="preserve">Muhammad Arslan</t>
  </si>
  <si>
    <t xml:space="preserve">Nazia akhtar</t>
  </si>
  <si>
    <t xml:space="preserve">Rimsha zameer</t>
  </si>
  <si>
    <t xml:space="preserve">Al marjan Resturant and training Centre</t>
  </si>
  <si>
    <t xml:space="preserve">Hannan sunny</t>
  </si>
  <si>
    <t xml:space="preserve">ADP</t>
  </si>
  <si>
    <t xml:space="preserve">Classrooms and infrastructure needs attention.  Labs, trainees and instructors are also fine.</t>
  </si>
  <si>
    <t xml:space="preserve">Sami ul malik</t>
  </si>
  <si>
    <t xml:space="preserve">The Empowerers</t>
  </si>
  <si>
    <t xml:space="preserve">Hira khan</t>
  </si>
  <si>
    <t xml:space="preserve">All system was good students were well knowledge and they were start earning from this course.</t>
  </si>
  <si>
    <t xml:space="preserve">Higher Education college mian channu</t>
  </si>
  <si>
    <t xml:space="preserve">Irfan Ahmad saleem</t>
  </si>
  <si>
    <t xml:space="preserve">BS CS with diploma</t>
  </si>
  <si>
    <t xml:space="preserve">Everything was fine; cameras were installed, PMS portal attendance was being taken, student verification was in place, and the PCs were fully functional.</t>
  </si>
  <si>
    <t xml:space="preserve">Aspire College Zahir pir</t>
  </si>
  <si>
    <t xml:space="preserve">Irfan Talib</t>
  </si>
  <si>
    <t xml:space="preserve">They don't plan yet</t>
  </si>
  <si>
    <t xml:space="preserve">Muhammad Adnan</t>
  </si>
  <si>
    <t xml:space="preserve">Diploma in information Technology</t>
  </si>
  <si>
    <t xml:space="preserve">MUX Institute Of Professional Studies &amp; Technical Trainings</t>
  </si>
  <si>
    <t xml:space="preserve">Kalsoom Rehman</t>
  </si>
  <si>
    <t xml:space="preserve">M.A Psychology + Diploma in Amazon</t>
  </si>
  <si>
    <t xml:space="preserve">All things were good</t>
  </si>
  <si>
    <t xml:space="preserve">Government college university faislabad layyah campus</t>
  </si>
  <si>
    <t xml:space="preserve">Kasir mustafa</t>
  </si>
  <si>
    <t xml:space="preserve">MSC/ MBA</t>
  </si>
  <si>
    <t xml:space="preserve">Tranner is such a good man . He answered every question i had . And the Principal also treats me very well. Every student was learning a lot from this trade</t>
  </si>
  <si>
    <t xml:space="preserve">Govt. Technical Training Institute, Rahim Yar Khan</t>
  </si>
  <si>
    <t xml:space="preserve">Khalid Mehmood</t>
  </si>
  <si>
    <t xml:space="preserve">CBT</t>
  </si>
  <si>
    <t xml:space="preserve">Just NAVTAC sign board is not present otherwise system is smooth, management is excellent,  equipments aree present, the TLMs were provided to the students, students were practicing. In auto electrician class, the 8 students were absent from start ,,, Eve</t>
  </si>
  <si>
    <t xml:space="preserve">Muhammad Uzair Quraishi</t>
  </si>
  <si>
    <t xml:space="preserve">DI Electrical</t>
  </si>
  <si>
    <t xml:space="preserve">Mushtaq Ahmad Gurmani Vocational Training Institute for Boys</t>
  </si>
  <si>
    <t xml:space="preserve">Khalil ahmad hamza</t>
  </si>
  <si>
    <t xml:space="preserve">DAE Mechanical and M.A</t>
  </si>
  <si>
    <t xml:space="preserve">Institute was excellent on the basis of this tool of Monitoring perameters all things were excellent. Classes were well managed building was good and well maintained institute system, rules and regulations were good.</t>
  </si>
  <si>
    <t xml:space="preserve">Shagufta</t>
  </si>
  <si>
    <t xml:space="preserve">Future Computer and Technical College</t>
  </si>
  <si>
    <t xml:space="preserve">Khurram Munir</t>
  </si>
  <si>
    <t xml:space="preserve">MS Project management</t>
  </si>
  <si>
    <t xml:space="preserve">Institute all staff well Trained  Management system Good All Trades Students very Competent  Institute building well Furnished All the classrooms well decorated</t>
  </si>
  <si>
    <t xml:space="preserve">Memona Niaz</t>
  </si>
  <si>
    <t xml:space="preserve">Muhammad Faraz</t>
  </si>
  <si>
    <t xml:space="preserve">Muhammad Usman Asif</t>
  </si>
  <si>
    <t xml:space="preserve">B.S.C civil Engineering</t>
  </si>
  <si>
    <t xml:space="preserve">Saima parveen</t>
  </si>
  <si>
    <t xml:space="preserve">Saqib Ali</t>
  </si>
  <si>
    <t xml:space="preserve">Shabana Anjum</t>
  </si>
  <si>
    <t xml:space="preserve">M.A Education</t>
  </si>
  <si>
    <t xml:space="preserve">Government Technical Training Institute Daulat Gate Multan</t>
  </si>
  <si>
    <t xml:space="preserve">M.Amjad</t>
  </si>
  <si>
    <t xml:space="preserve">B.tech Mechanical</t>
  </si>
  <si>
    <t xml:space="preserve">Everything was good.</t>
  </si>
  <si>
    <t xml:space="preserve">SOS MULTAN INSTITUTE OF TECHNOLOGY, MULTAN</t>
  </si>
  <si>
    <t xml:space="preserve">M.Hamza salimi</t>
  </si>
  <si>
    <t xml:space="preserve">During my visit i was found the institute well managed students and teachers were well knowledge and overall building, activities were excellent.</t>
  </si>
  <si>
    <t xml:space="preserve">MUHAMMAD NAWAZ SHAREEF UNIVERSITY OF AGRICULTURE, MULTAN</t>
  </si>
  <si>
    <t xml:space="preserve">Maryam Sohail</t>
  </si>
  <si>
    <t xml:space="preserve">Ms Software Engineering</t>
  </si>
  <si>
    <t xml:space="preserve">1)Eligibility criteria must be improved  2)Agriculture relevant courses must be added 3)Courses must be arranged by area based  4)Language barrier</t>
  </si>
  <si>
    <t xml:space="preserve">Rashida Nazeer</t>
  </si>
  <si>
    <t xml:space="preserve">Ms Computer Science</t>
  </si>
  <si>
    <t xml:space="preserve">Punjab College Zahir pir Campus</t>
  </si>
  <si>
    <t xml:space="preserve">Maureen Aslam</t>
  </si>
  <si>
    <t xml:space="preserve">They have proper plans. To create jobs in their own college.</t>
  </si>
  <si>
    <t xml:space="preserve">Muhammad Asif</t>
  </si>
  <si>
    <t xml:space="preserve">Mscs</t>
  </si>
  <si>
    <t xml:space="preserve">Directorate of Sustainable Tourism, The Islamia University of Bahawalpur</t>
  </si>
  <si>
    <t xml:space="preserve">Meher unisa Rafique</t>
  </si>
  <si>
    <t xml:space="preserve">BS in hospitality and tourism management</t>
  </si>
  <si>
    <t xml:space="preserve">Job opportunities, Good ethics, good students communication skills</t>
  </si>
  <si>
    <t xml:space="preserve">Muhammad akhtar</t>
  </si>
  <si>
    <t xml:space="preserve">Sulayem qureshi</t>
  </si>
  <si>
    <t xml:space="preserve">M.phil project management</t>
  </si>
  <si>
    <t xml:space="preserve">Federal institute of technology multan</t>
  </si>
  <si>
    <t xml:space="preserve">Mubeen Ahmad</t>
  </si>
  <si>
    <t xml:space="preserve">Graduation in cs</t>
  </si>
  <si>
    <t xml:space="preserve">Everything is good and they have many industrial links . Some students earn money from this trade and everyone answered me well and  they have a full first aid room . Everything is proper. All trainers have a good experience . And they have different labs</t>
  </si>
  <si>
    <t xml:space="preserve">Waqas zaffar</t>
  </si>
  <si>
    <t xml:space="preserve">Netlab Computer College Bahawalnagar</t>
  </si>
  <si>
    <t xml:space="preserve">Mudassir Ahmed</t>
  </si>
  <si>
    <t xml:space="preserve">Mphil computwr science</t>
  </si>
  <si>
    <t xml:space="preserve">Instructor is not well known to course outline properly, He is an assistant professor of a college, a student of this trade who is also an admin of this institute is there who used to train the students.</t>
  </si>
  <si>
    <t xml:space="preserve">The City College of Technology,Multan</t>
  </si>
  <si>
    <t xml:space="preserve">Mugheera Mumtaz</t>
  </si>
  <si>
    <t xml:space="preserve">B-Tech Mechanical</t>
  </si>
  <si>
    <t xml:space="preserve">Muhammad Ibrahim</t>
  </si>
  <si>
    <t xml:space="preserve">Govt College of Technology Rajanpur</t>
  </si>
  <si>
    <t xml:space="preserve">Muhammad AAMIR</t>
  </si>
  <si>
    <t xml:space="preserve">Bachelor of electrical engineering</t>
  </si>
  <si>
    <t xml:space="preserve">Lab and teacher are good</t>
  </si>
  <si>
    <t xml:space="preserve">Muhammad Sohaib Hashim</t>
  </si>
  <si>
    <t xml:space="preserve">Diploma of Associate engineer</t>
  </si>
  <si>
    <t xml:space="preserve">The National College</t>
  </si>
  <si>
    <t xml:space="preserve">Muhammad Ali</t>
  </si>
  <si>
    <t xml:space="preserve">MBA Banking&amp;Finance</t>
  </si>
  <si>
    <t xml:space="preserve">Overall system was good ,TLMs provided to the students &amp; all activities were carried as per schedule,</t>
  </si>
  <si>
    <t xml:space="preserve">Muhammad faheem</t>
  </si>
  <si>
    <t xml:space="preserve">Exclusive International Institute of Technical Education</t>
  </si>
  <si>
    <t xml:space="preserve">Muhammad asif</t>
  </si>
  <si>
    <t xml:space="preserve">Overall  system was good ,TLM and all equipments were provided to the students, students course content knowledge have was very good</t>
  </si>
  <si>
    <t xml:space="preserve">Mansol Technical Training Institute Sadiqabad</t>
  </si>
  <si>
    <t xml:space="preserve">Muhammad Bilal</t>
  </si>
  <si>
    <t xml:space="preserve">DAE(Diploma or Associate Engineering)</t>
  </si>
  <si>
    <t xml:space="preserve">Their are further plan for students for their job opportunities,students were well awared about their TLMs, Overall system was good, TLMs and all equipments were provided to the st. &amp; all activities were carried as per schedule.</t>
  </si>
  <si>
    <t xml:space="preserve">Advanced Welding [SMAW &amp; GTAW (6G &amp; 6GR)]</t>
  </si>
  <si>
    <t xml:space="preserve">Zeeshan Allah Dat</t>
  </si>
  <si>
    <t xml:space="preserve">BS in Mechnical</t>
  </si>
  <si>
    <t xml:space="preserve">Dr Abdul Qadeer Khan College of Technology khanewal</t>
  </si>
  <si>
    <t xml:space="preserve">The staff was good, there was a proper management system, the classrooms were well organized, the tools for each course were complete and the instructors were experienced.</t>
  </si>
  <si>
    <t xml:space="preserve">Muhammad Zaighum Akhlaq</t>
  </si>
  <si>
    <t xml:space="preserve">B.s civil engineering</t>
  </si>
  <si>
    <t xml:space="preserve">Sohail Sarwar</t>
  </si>
  <si>
    <t xml:space="preserve">B.s</t>
  </si>
  <si>
    <t xml:space="preserve">NATIONAL POLYTECHNIC INSTITUTE</t>
  </si>
  <si>
    <t xml:space="preserve">Muhammad Mohsan siddique</t>
  </si>
  <si>
    <t xml:space="preserve">DAE diploma (3 years)</t>
  </si>
  <si>
    <t xml:space="preserve">There were students and some students were working in the lab and some were working in classes and the instructor was teaching them.There were tools in the lab</t>
  </si>
  <si>
    <t xml:space="preserve">Waleed Amjad</t>
  </si>
  <si>
    <t xml:space="preserve">DAE ( 3 years)</t>
  </si>
  <si>
    <t xml:space="preserve">Punjab Institute of Technology,Vehari</t>
  </si>
  <si>
    <t xml:space="preserve">Muhammad Naeem</t>
  </si>
  <si>
    <t xml:space="preserve">BSc</t>
  </si>
  <si>
    <t xml:space="preserve">The students are almost complete but the courses are not being conducted in a standard manner, the students did not have much knowledge about the IT course, even the instructor did not have much knowledge about it.The behavior of the principal towards the</t>
  </si>
  <si>
    <t xml:space="preserve">Saifullah</t>
  </si>
  <si>
    <t xml:space="preserve">DAE civil 3 year diploma</t>
  </si>
  <si>
    <t xml:space="preserve">TECH HEAVEN TRAINING INSTITUTE</t>
  </si>
  <si>
    <t xml:space="preserve">Muhammad shafeeq</t>
  </si>
  <si>
    <t xml:space="preserve">MS telecommunication</t>
  </si>
  <si>
    <t xml:space="preserve">Their are further plan for students for their jobs opportunities, overall system was very good, TLM and all equipments were provided to the students &amp; all activities were carried as per schedule, all official documents available.</t>
  </si>
  <si>
    <t xml:space="preserve">Usama bakhsh</t>
  </si>
  <si>
    <t xml:space="preserve">Mushtaq Ahmad Gurmani Science College</t>
  </si>
  <si>
    <t xml:space="preserve">Muhammad Wajid</t>
  </si>
  <si>
    <t xml:space="preserve">Government College of Technology Kot Addu</t>
  </si>
  <si>
    <t xml:space="preserve">BS mechanical</t>
  </si>
  <si>
    <t xml:space="preserve">Every student is well aware about the practical work.and theory as well.</t>
  </si>
  <si>
    <t xml:space="preserve">Mature Resources Global Technologies Layyah Campus</t>
  </si>
  <si>
    <t xml:space="preserve">Muhammad zeeshan haider</t>
  </si>
  <si>
    <t xml:space="preserve">Everything is proper .some students earn money from this trade. Every student has a good response. Resolve the problem on time.</t>
  </si>
  <si>
    <t xml:space="preserve">ICD College Khanewal</t>
  </si>
  <si>
    <t xml:space="preserve">Mujahid Husain</t>
  </si>
  <si>
    <t xml:space="preserve">B.S IT</t>
  </si>
  <si>
    <t xml:space="preserve">There were some problems in the portal the students were not given any syllabus by the college. And there was no arrangement by the college to listen to the grievances of the children</t>
  </si>
  <si>
    <t xml:space="preserve">Multan Technical Education Centre (MTEC)</t>
  </si>
  <si>
    <t xml:space="preserve">Munazzah Shafiq</t>
  </si>
  <si>
    <t xml:space="preserve">Students are satisfied  Security wise it's a best place</t>
  </si>
  <si>
    <t xml:space="preserve">Quratulain</t>
  </si>
  <si>
    <t xml:space="preserve">The Punjab College of Technology Yazman</t>
  </si>
  <si>
    <t xml:space="preserve">Musawar zulfqar</t>
  </si>
  <si>
    <t xml:space="preserve">Training is excellent with good interaction. Very helpful course. Well equiped labs.</t>
  </si>
  <si>
    <t xml:space="preserve">Pakistan Lions Youth Council /Usama Dairies ,Training &amp; Research Institute</t>
  </si>
  <si>
    <t xml:space="preserve">From NAVTTC &amp; VTT  Provide us a list of institute. After communication with head of the institute I know that this year No Trade give by the NAVTTC. The institute also not in working position. Thats why all of questions is blank and all responses are N/A</t>
  </si>
  <si>
    <t xml:space="preserve">AIML COLLEGE AHMADPUR EAST</t>
  </si>
  <si>
    <t xml:space="preserve">Nadia Noreen</t>
  </si>
  <si>
    <t xml:space="preserve">MA Urdu 6 month course from Tevta</t>
  </si>
  <si>
    <t xml:space="preserve">Labs are up-to-date and consumable items are in excess students are satisfied with teaching methods and lab work</t>
  </si>
  <si>
    <t xml:space="preserve">Govt. College of Technology Multan</t>
  </si>
  <si>
    <t xml:space="preserve">Naveed Iqbal Malik</t>
  </si>
  <si>
    <t xml:space="preserve">Everything is good/normal. Some Students are not regular .The camera has been sent for reparing.</t>
  </si>
  <si>
    <t xml:space="preserve">CHOLISTAN INSTITUTE OF TECHNICAL EDUCATION (CITE)</t>
  </si>
  <si>
    <t xml:space="preserve">Rashida rashid</t>
  </si>
  <si>
    <t xml:space="preserve">BS ARTS</t>
  </si>
  <si>
    <t xml:space="preserve">Performance was good</t>
  </si>
  <si>
    <t xml:space="preserve">Kabir Enterprises</t>
  </si>
  <si>
    <t xml:space="preserve">Rashna Javeed</t>
  </si>
  <si>
    <t xml:space="preserve">B.A continue</t>
  </si>
  <si>
    <t xml:space="preserve">*All the staff of the college were well trained,  *the trainees were provided with all the trade related material used in the course   *The trainees were very interested in the course   *All the trainees were given pick and drop by college. And all the ex</t>
  </si>
  <si>
    <t xml:space="preserve">AL ISLAH VOCATIONAL TRAINING INSTITUTE MUZAFFARGARH</t>
  </si>
  <si>
    <t xml:space="preserve">Rehana Faiz</t>
  </si>
  <si>
    <t xml:space="preserve">Only students attendance issue because after eid holidays 1st working day otherwise overall institute was very good principal was coprative and students were well knowledge about the trade.</t>
  </si>
  <si>
    <t xml:space="preserve">Samanabbas</t>
  </si>
  <si>
    <t xml:space="preserve">Polytechnic Vocational Institute For Women Musa Virk Mian Channu</t>
  </si>
  <si>
    <t xml:space="preserve">Rubina Ataa</t>
  </si>
  <si>
    <t xml:space="preserve">BBA graduation with deploma</t>
  </si>
  <si>
    <t xml:space="preserve">all things were well managed in institute</t>
  </si>
  <si>
    <t xml:space="preserve">Sumaira Nasreen</t>
  </si>
  <si>
    <t xml:space="preserve">Graduation with other diploma</t>
  </si>
  <si>
    <t xml:space="preserve">everything was fine with the institute</t>
  </si>
  <si>
    <t xml:space="preserve">Daira Din Pannah Vocational Training Institute</t>
  </si>
  <si>
    <t xml:space="preserve">Rukhsana bibi</t>
  </si>
  <si>
    <t xml:space="preserve">Overall institute was good</t>
  </si>
  <si>
    <t xml:space="preserve">Syeda huda Fatima</t>
  </si>
  <si>
    <t xml:space="preserve">Msc mass com</t>
  </si>
  <si>
    <t xml:space="preserve">Green Vocational College Khanewal</t>
  </si>
  <si>
    <t xml:space="preserve">Rumaisa</t>
  </si>
  <si>
    <t xml:space="preserve">Bscs</t>
  </si>
  <si>
    <t xml:space="preserve">No syllabus was provided.  No Weekly/Monthly lesson plan provided. Attendance Sheet Not Proper filled.</t>
  </si>
  <si>
    <t xml:space="preserve">Saira shabeer</t>
  </si>
  <si>
    <t xml:space="preserve">exclusive Institute of Technical Education</t>
  </si>
  <si>
    <t xml:space="preserve">Motorcycle Mechanic</t>
  </si>
  <si>
    <t xml:space="preserve">Sabir Hussain</t>
  </si>
  <si>
    <t xml:space="preserve">Diploma in Motorcycle mechanic</t>
  </si>
  <si>
    <t xml:space="preserve">Syed Dawood Mustafa gillani</t>
  </si>
  <si>
    <t xml:space="preserve">College of Tourism &amp; Hotel Management, Rahim Yar Khan</t>
  </si>
  <si>
    <t xml:space="preserve">Sadaf Noreen</t>
  </si>
  <si>
    <t xml:space="preserve">Masters in Urdu</t>
  </si>
  <si>
    <t xml:space="preserve">All the things are properly settled, all equipments are present,  the practical lab is totally clean &amp; students are well versed about their course content.  The instructor is well experienced and professional.</t>
  </si>
  <si>
    <t xml:space="preserve">VOCATIONAL TRAINING INSTITUTE CHISHTIAN</t>
  </si>
  <si>
    <t xml:space="preserve">Sadia khursheed</t>
  </si>
  <si>
    <t xml:space="preserve">Experienced trainer, All equipment, tools and consumables are fully available. Fire extinguisher expired. Regular students.</t>
  </si>
  <si>
    <t xml:space="preserve">Muhammad Ali Institute Of Science And Technology, Layyah</t>
  </si>
  <si>
    <t xml:space="preserve">Sadique Hussain</t>
  </si>
  <si>
    <t xml:space="preserve">Everything is great. students have good knowledge about this trade. Some students earn money from this trade. otherwise everything is good. Tranner has great Qualification and experience.</t>
  </si>
  <si>
    <t xml:space="preserve">Uzma Shaheen</t>
  </si>
  <si>
    <t xml:space="preserve">Government College of Technology Rahim Yar Khan</t>
  </si>
  <si>
    <t xml:space="preserve">Safdar Hussain</t>
  </si>
  <si>
    <t xml:space="preserve">DA in Mechanical</t>
  </si>
  <si>
    <t xml:space="preserve">All the activities were smooth, TLMs was also provided to the students, the students are well- awared about the course content.  All the basic equipments were present. The students were practicing their exercise. But their was a issue in biometric attenda</t>
  </si>
  <si>
    <t xml:space="preserve">Saima Rameez</t>
  </si>
  <si>
    <t xml:space="preserve">B.Ed</t>
  </si>
  <si>
    <t xml:space="preserve">Dawn Vocational Training Institute</t>
  </si>
  <si>
    <t xml:space="preserve">Sahrish shafeeq</t>
  </si>
  <si>
    <t xml:space="preserve">Institute NY trainees ko  transport veda ky card recharge Kar ky diye hoe hain taky trainees ko Institute aany jany main issue na ho ,overall system was good, TLM and equipments were provided to the trainees all activities were carried as per schedule,</t>
  </si>
  <si>
    <t xml:space="preserve">Government Technical Training Institute Lodhran</t>
  </si>
  <si>
    <t xml:space="preserve">Saif Ur rehman</t>
  </si>
  <si>
    <t xml:space="preserve">Phd in management of science</t>
  </si>
  <si>
    <t xml:space="preserve">Experienced trainer, focused training, fully equipped lab, job opportunities.</t>
  </si>
  <si>
    <t xml:space="preserve">ALI COLLEGE OF TECHNOLOGY</t>
  </si>
  <si>
    <t xml:space="preserve">Saima yaqoob</t>
  </si>
  <si>
    <t xml:space="preserve">B. A with deploma</t>
  </si>
  <si>
    <t xml:space="preserve">Everything is ok</t>
  </si>
  <si>
    <t xml:space="preserve">Sumaira kousat</t>
  </si>
  <si>
    <t xml:space="preserve">F. A with DvG diploma in vocational girl</t>
  </si>
  <si>
    <t xml:space="preserve">District Industrial Home (Sanatzar), Bahawalpur</t>
  </si>
  <si>
    <t xml:space="preserve">Samina zahid</t>
  </si>
  <si>
    <t xml:space="preserve">Experienced trainers, practical and theoretical work of students is very good, focused training. Teacher and trainees interaction is Good.</t>
  </si>
  <si>
    <t xml:space="preserve">Syed apsra</t>
  </si>
  <si>
    <t xml:space="preserve">BS Software engineer</t>
  </si>
  <si>
    <t xml:space="preserve">Extreme Commerce Multan</t>
  </si>
  <si>
    <t xml:space="preserve">Sana aabid</t>
  </si>
  <si>
    <t xml:space="preserve">TLM and all equipments were provided to the students, all activities were carried as per schedule</t>
  </si>
  <si>
    <t xml:space="preserve">Vocational Training Institute Lodhran</t>
  </si>
  <si>
    <t xml:space="preserve">Sumaira shoukat</t>
  </si>
  <si>
    <t xml:space="preserve">The institute has well equipped classrooms and labs.Experienced instructors. Training is more on practical knowledge.</t>
  </si>
  <si>
    <t xml:space="preserve">Tahir Javaid</t>
  </si>
  <si>
    <t xml:space="preserve">Matric, RAC</t>
  </si>
  <si>
    <t xml:space="preserve">Descon Technical Institute Sadiqabad</t>
  </si>
  <si>
    <t xml:space="preserve">Ubaidullah</t>
  </si>
  <si>
    <t xml:space="preserve">DAE Machanical C-Swip 3.1</t>
  </si>
  <si>
    <t xml:space="preserve">Overall system was best, all the TLMs &amp; equipments were present,  the students were practicing their work, they were well versed about their course content.</t>
  </si>
  <si>
    <t xml:space="preserve">Usama Hassan</t>
  </si>
  <si>
    <t xml:space="preserve">Dera Ghazi Khan</t>
  </si>
  <si>
    <t xml:space="preserve">Government Vocational Training Institute For Women, Dera Ghazi khan</t>
  </si>
  <si>
    <t xml:space="preserve">Wajeeha Batool</t>
  </si>
  <si>
    <t xml:space="preserve">Institute was managed better</t>
  </si>
  <si>
    <t xml:space="preserve">PMYSDP Batch-I (198 Institutes) - Scoring Criteria</t>
  </si>
  <si>
    <t xml:space="preserve">Layout follows the NAVTTC PMYSDP template (Combined Sheet). Blue cells are monitor inputs; black cells are formulas. Every criterion is a separate column; the 11 maxima total 100.</t>
  </si>
  <si>
    <t xml:space="preserve">Column</t>
  </si>
  <si>
    <t xml:space="preserve">Criterion</t>
  </si>
  <si>
    <t xml:space="preserve">Scoring rule</t>
  </si>
  <si>
    <t xml:space="preserve">Max</t>
  </si>
  <si>
    <t xml:space="preserve">Type</t>
  </si>
  <si>
    <t xml:space="preserve">Taken from (source file)</t>
  </si>
  <si>
    <t xml:space="preserve">S</t>
  </si>
  <si>
    <t xml:space="preserve">Attendance Score</t>
  </si>
  <si>
    <t xml:space="preserve">Formula:  =IF(R&gt;=80%,50,IF(R&gt;=50%,30,IF(R&gt;=1%,10,0)))  — computed from Attendance % (col R)</t>
  </si>
  <si>
    <t xml:space="preserve">Formula</t>
  </si>
  <si>
    <t xml:space="preserve">Present / Approved (source T / R)</t>
  </si>
  <si>
    <t xml:space="preserve">T</t>
  </si>
  <si>
    <t xml:space="preserve">NAVTTC Program Information / Sign Board</t>
  </si>
  <si>
    <t xml:space="preserve">NAVTTC Program Information / Sign Board Installed (2.5), No (0)   |   Formula: =IF(TRIM(AI2)="Yes",2.5,0)</t>
  </si>
  <si>
    <t xml:space="preserve">AI (source AC, Q1)</t>
  </si>
  <si>
    <t xml:space="preserve">U</t>
  </si>
  <si>
    <t xml:space="preserve">Biometric Device synchronized with NAVTTC PMS Portal</t>
  </si>
  <si>
    <t xml:space="preserve">Biometric Device synchronized with NAVTTC PMS Portal Yes (10), No (0)   |   Formula: =IF(TRIM(AJ2)="Yes",10,0)</t>
  </si>
  <si>
    <t xml:space="preserve">AJ (source AD, Q2)</t>
  </si>
  <si>
    <t xml:space="preserve">V</t>
  </si>
  <si>
    <t xml:space="preserve">CCTV installed in each classroom / workshop with accessible IP link</t>
  </si>
  <si>
    <t xml:space="preserve">CCTV installed in each classroom / workshop with accessible IP link Yes (5), No (0)   |   Formula: =IF(TRIM(AK2)="Yes",5,0)</t>
  </si>
  <si>
    <t xml:space="preserve">AK (source AE, Q3)</t>
  </si>
  <si>
    <t xml:space="preserve">W</t>
  </si>
  <si>
    <t xml:space="preserve">Trainees Enrolment as per NAVTTC PMS Portal</t>
  </si>
  <si>
    <t xml:space="preserve">Trainees Enrolment as per NAVTTC PMS Portal Yes (5), No (0)   |   Formula: =IF(TRIM(AM2)="Yes",5,0)</t>
  </si>
  <si>
    <t xml:space="preserve">AM (source AG, Q4)</t>
  </si>
  <si>
    <t xml:space="preserve">X</t>
  </si>
  <si>
    <t xml:space="preserve">Well-equipped trade specific Classrooms / Labs / Workshops</t>
  </si>
  <si>
    <t xml:space="preserve">Well-equipped trade specific Classrooms / Labs / Workshops Fully Available (5), Partially Available (2.5), Not Available (0), Not Applicable (5)   |   Formula: =IF(OR(TRIM(AN2)="Fully Available",TRIM(AN2)="Not Applicable"),5,IF(TRIM(AN2)="Partially Available",2.5,0))</t>
  </si>
  <si>
    <t xml:space="preserve">AN (source AH, Q5)</t>
  </si>
  <si>
    <t xml:space="preserve">Y</t>
  </si>
  <si>
    <t xml:space="preserve">NAVTTC TLMs provided to the trainees</t>
  </si>
  <si>
    <t xml:space="preserve">NAVTTC TLMs provided to the trainees Yes (5), No (0)   |   Formula: =IF(TRIM(AO2)="Yes",5,0)</t>
  </si>
  <si>
    <t xml:space="preserve">AO (source AI, Q6)</t>
  </si>
  <si>
    <t xml:space="preserve">Z</t>
  </si>
  <si>
    <t xml:space="preserve">Weekly / Monthly Lesson Plans provided</t>
  </si>
  <si>
    <t xml:space="preserve">Weekly / Monthly Lesson Plans provided Yes (2.5), No (0)   |   Formula: =IF(TRIM(AP2)="Yes",2.5,0)</t>
  </si>
  <si>
    <t xml:space="preserve">AP (source AJ, Q7)</t>
  </si>
  <si>
    <t xml:space="preserve">AA</t>
  </si>
  <si>
    <t xml:space="preserve">Trainees well versed with Course Contents</t>
  </si>
  <si>
    <t xml:space="preserve">Trainees well versed with Course Contents Yes (5), No (0)   |   Formula: =IF(TRIM(AQ2)="Yes",5,0)</t>
  </si>
  <si>
    <t xml:space="preserve">AQ (source AK, Q8)</t>
  </si>
  <si>
    <t xml:space="preserve">AB</t>
  </si>
  <si>
    <t xml:space="preserve">Consumables / Training Material provided for practicals</t>
  </si>
  <si>
    <t xml:space="preserve">Consumables / Training Material provided for practicals Yes (5), Not Applicable (5), No (0)   |   Formula: =IF(OR(TRIM(AR2)="Yes",TRIM(AR2)="Not Applicable"),5,0)</t>
  </si>
  <si>
    <t xml:space="preserve">AR (source AM, Q9)</t>
  </si>
  <si>
    <t xml:space="preserve">AC</t>
  </si>
  <si>
    <t xml:space="preserve">Overall Impression of the Training</t>
  </si>
  <si>
    <t xml:space="preserve">Overall Impression of the Training Excellent (5), Very Good (4), Good (3), Average (2), Poor (0)   |   Formula: =IF(TRIM(AS2)="Excellent",5,IF(TRIM(AS2)="Very Good",4,IF(TRIM(AS2)="Good",3,IF(TRIM(AS2)="Average",2,0))))</t>
  </si>
  <si>
    <t xml:space="preserve">AS (source AN, Q10)</t>
  </si>
  <si>
    <t xml:space="preserve">TOTAL</t>
  </si>
  <si>
    <t xml:space="preserve">Result field</t>
  </si>
  <si>
    <t xml:space="preserve">Formula (row 2 shown)</t>
  </si>
  <si>
    <t xml:space="preserve">Notes</t>
  </si>
  <si>
    <t xml:space="preserve">R</t>
  </si>
  <si>
    <t xml:space="preserve">Attendance %</t>
  </si>
  <si>
    <t xml:space="preserve">Formula:  =IF(N(L2)=0,0,O2/L2)</t>
  </si>
  <si>
    <t xml:space="preserve">Trainees Present ÷ Approved Capacity (=O/L). In B1 'identified with CNIC' was a spot-check count, not attendance (source CNIC ÷ Present kept in an extra column). Present ÷ Approved is also the basis that reproduces the source MARKS.</t>
  </si>
  <si>
    <t xml:space="preserve">AD</t>
  </si>
  <si>
    <t xml:space="preserve">Formula:  =IF(COUNT(S2:AC2)=0,"",SUM(S2:AC2))</t>
  </si>
  <si>
    <t xml:space="preserve">Sum of the 11 criteria for that trade / batch row.</t>
  </si>
  <si>
    <t xml:space="preserve">AE</t>
  </si>
  <si>
    <t xml:space="preserve">Formula:  =IF(COUNTIF($F$2:F2,F2)=1,IFERROR(AVERAGEIF($F:$F,F2,$AD:$AD),""),"")</t>
  </si>
  <si>
    <t xml:space="preserve">Average of the institute's Trade Wise Scores, matched on Institute ID (Institute Code, col F).</t>
  </si>
  <si>
    <t xml:space="preserve">AF</t>
  </si>
  <si>
    <t xml:space="preserve">Formula:  =IF(AH2&lt;&gt;"",AH2,IF(AE2="","",IF(AE2&gt;=80,"Excellent",IF(AE2&gt;=70,"Very Good",IF(AE2&gt;=60,"Good",IF(AE2&gt;=50,"Average","Poor"))))))</t>
  </si>
  <si>
    <t xml:space="preserve">Grade bands from the template. A value typed in Grade Override (AH) replaces the formula grade.</t>
  </si>
  <si>
    <t xml:space="preserve">AG</t>
  </si>
  <si>
    <t xml:space="preserve">Input</t>
  </si>
  <si>
    <t xml:space="preserve">Monitor remarks (moved out of the grade cell so the grade stays a clean category).</t>
  </si>
  <si>
    <t xml:space="preserve">AH</t>
  </si>
  <si>
    <t xml:space="preserve">Input (list)</t>
  </si>
  <si>
    <t xml:space="preserve">Only for institutes that are Fake / Non-functional / Closed. Leave blank otherwise.</t>
  </si>
  <si>
    <t xml:space="preserve">Grade</t>
  </si>
  <si>
    <t xml:space="preserve">Total Score range</t>
  </si>
  <si>
    <t xml:space="preserve">80 - 100</t>
  </si>
  <si>
    <t xml:space="preserve">70 - 79.99</t>
  </si>
  <si>
    <t xml:space="preserve">60 - 69.99</t>
  </si>
  <si>
    <t xml:space="preserve">50 - 59.99</t>
  </si>
  <si>
    <t xml:space="preserve">Below 50</t>
  </si>
  <si>
    <t xml:space="preserve">#</t>
  </si>
  <si>
    <t xml:space="preserve">Program-specific notes / exceptions</t>
  </si>
  <si>
    <t xml:space="preserve">PMYSDP Batch-I used a different monitoring checklist (10 questions) from the other programs, so it has its own 11-criteria rubric (Attendance + 10 checklist items) totalling 100. The template layout, Trade Wise / Total / Grading formulas and grade bands are unchanged.</t>
  </si>
  <si>
    <t xml:space="preserve">Every criterion score is a FORMULA reading the monitor's answer in the grey 'raw answer' columns at the right of the Combined Sheet. To correct a score, change the answer (e.g. 'No' -&gt; 'Yes'); the score, total and grade update automatically.</t>
  </si>
  <si>
    <t xml:space="preserve">The source MARKS/100 was pulled by XLOOKUP from an external workbook ('Comparative Analysis - PMYSDP.xlsx', Scoring Data) that is not part of this file, and cannot be reproduced from the checklist. It is kept, unchanged, in 'Source MARKS/100 (institute)' for comparison only.</t>
  </si>
  <si>
    <t xml:space="preserve">Source sheet 'Combined 198' is the master (the ICT / AJK / GB / Punjab tabs are the same rows split by region; Sheet1 is a pivot). Institutes were regrouped so each one's trades sit together; 2 exact duplicate rows (CORVIT Networks Muzaffarabad) were removed.</t>
  </si>
  <si>
    <t xml:space="preserve">Enrolled = Approved Capacity - Dropped Out. Batches, Institute Trade Code and Trade Code are not in the source and are left blank.</t>
  </si>
  <si>
    <t xml:space="preserve">7 institutes that withdrew / closed / had no trainees (overall impression 'Poor', MARKS 0-15) get Grade Override = Poor, with the monitor's explanation in Remarks.</t>
  </si>
  <si>
    <t xml:space="preserve">60 institutes fall in a different grade band than their source MARKS would give - listed in the Change Log.</t>
  </si>
  <si>
    <t xml:space="preserve">Change Log - every value that differs from the source file, and why</t>
  </si>
  <si>
    <t xml:space="preserve">Combined Sheet row</t>
  </si>
  <si>
    <t xml:space="preserve">Institute</t>
  </si>
  <si>
    <t xml:space="preserve">Trade</t>
  </si>
  <si>
    <t xml:space="preserve">Field</t>
  </si>
  <si>
    <t xml:space="preserve">Source value</t>
  </si>
  <si>
    <t xml:space="preserve">New value</t>
  </si>
  <si>
    <t xml:space="preserve">Reason</t>
  </si>
  <si>
    <t xml:space="preserve">all</t>
  </si>
  <si>
    <t xml:space="preserve">All institutes</t>
  </si>
  <si>
    <t xml:space="preserve">CNIC ÷ Present × 100</t>
  </si>
  <si>
    <t xml:space="preserve">Present ÷ Approved Capacity</t>
  </si>
  <si>
    <t xml:space="preserve">Source % measured CNIC verification of those present (gave 100% when 3 of 20 attended). Present ÷ Approved measures attendance and matches how the source MARKS scored it. Source value kept in an extra column.</t>
  </si>
  <si>
    <t xml:space="preserve">(not in source)</t>
  </si>
  <si>
    <t xml:space="preserve">Package-02 / Package-03</t>
  </si>
  <si>
    <t xml:space="preserve">Assumed from region, as in the PMYSDP template and B2: ICT / AJK / GB = Package-02, Punjab = Package-03</t>
  </si>
  <si>
    <t xml:space="preserve">Islamabad / Azad Jammu Kashmir / Gilgit Baltistan / Punjab</t>
  </si>
  <si>
    <t xml:space="preserve">ICT / AJK / GB / PUNJAB</t>
  </si>
  <si>
    <t xml:space="preserve">Template naming convention</t>
  </si>
  <si>
    <t xml:space="preserve">src 159</t>
  </si>
  <si>
    <t xml:space="preserve">Row removed</t>
  </si>
  <si>
    <t xml:space="preserve">duplicate</t>
  </si>
  <si>
    <t xml:space="preserve">-</t>
  </si>
  <si>
    <t xml:space="preserve">Exact duplicate of an earlier row (every field identical)</t>
  </si>
  <si>
    <t xml:space="preserve">src 160</t>
  </si>
  <si>
    <t xml:space="preserve">(institute)</t>
  </si>
  <si>
    <t xml:space="preserve">Grade vs source MARKS band</t>
  </si>
  <si>
    <t xml:space="preserve">73 (Very Good)</t>
  </si>
  <si>
    <t xml:space="preserve">59.0 (Average)</t>
  </si>
  <si>
    <t xml:space="preserve">Source MARKS came from an external scoring file; new score is calculated from this file's checklist with the documented rubric</t>
  </si>
  <si>
    <t xml:space="preserve">65 (Good)</t>
  </si>
  <si>
    <t xml:space="preserve">56.5 (Average)</t>
  </si>
  <si>
    <t xml:space="preserve">71 (Very Good)</t>
  </si>
  <si>
    <t xml:space="preserve">61.86 (Good)</t>
  </si>
  <si>
    <t xml:space="preserve">87 (Excellent)</t>
  </si>
  <si>
    <t xml:space="preserve">76.5 (Very Good)</t>
  </si>
  <si>
    <t xml:space="preserve">76 (Very Good)</t>
  </si>
  <si>
    <t xml:space="preserve">65.83 (Good)</t>
  </si>
  <si>
    <t xml:space="preserve">85 (Excellent)</t>
  </si>
  <si>
    <t xml:space="preserve">79.0 (Very Good)</t>
  </si>
  <si>
    <t xml:space="preserve">41.5 (Poor)</t>
  </si>
  <si>
    <t xml:space="preserve">79 (Very Good)</t>
  </si>
  <si>
    <t xml:space="preserve">97.12 (Excellent)</t>
  </si>
  <si>
    <t xml:space="preserve">72 (Very Good)</t>
  </si>
  <si>
    <t xml:space="preserve">84.5 (Excellent)</t>
  </si>
  <si>
    <t xml:space="preserve">81 (Excellent)</t>
  </si>
  <si>
    <t xml:space="preserve">78.0 (Very Good)</t>
  </si>
  <si>
    <t xml:space="preserve">70 (Very Good)</t>
  </si>
  <si>
    <t xml:space="preserve">51.5 (Average)</t>
  </si>
  <si>
    <t xml:space="preserve">86 (Excellent)</t>
  </si>
  <si>
    <t xml:space="preserve">75.07 (Very Good)</t>
  </si>
  <si>
    <t xml:space="preserve">62.17 (Good)</t>
  </si>
  <si>
    <t xml:space="preserve">62.75 (Good)</t>
  </si>
  <si>
    <t xml:space="preserve">78 (Very Good)</t>
  </si>
  <si>
    <t xml:space="preserve">84.88 (Excellent)</t>
  </si>
  <si>
    <t xml:space="preserve">69 (Good)</t>
  </si>
  <si>
    <t xml:space="preserve">50.81 (Average)</t>
  </si>
  <si>
    <t xml:space="preserve">64 (Good)</t>
  </si>
  <si>
    <t xml:space="preserve">45.25 (Poor)</t>
  </si>
  <si>
    <t xml:space="preserve">66.5 (Good)</t>
  </si>
  <si>
    <t xml:space="preserve">48.0 (Poor)</t>
  </si>
  <si>
    <t xml:space="preserve">85.5 (Excellent)</t>
  </si>
  <si>
    <t xml:space="preserve">55.14 (Average)</t>
  </si>
  <si>
    <t xml:space="preserve">58.0 (Average)</t>
  </si>
  <si>
    <t xml:space="preserve">82 (Excellent)</t>
  </si>
  <si>
    <t xml:space="preserve">69.0 (Good)</t>
  </si>
  <si>
    <t xml:space="preserve">75 (Very Good)</t>
  </si>
  <si>
    <t xml:space="preserve">52.75 (Average)</t>
  </si>
  <si>
    <t xml:space="preserve">59 (Average)</t>
  </si>
  <si>
    <t xml:space="preserve">88.0 (Excellent)</t>
  </si>
  <si>
    <t xml:space="preserve">87.5 (Excellent)</t>
  </si>
  <si>
    <t xml:space="preserve">77 (Very Good)</t>
  </si>
  <si>
    <t xml:space="preserve">91.5 (Excellent)</t>
  </si>
  <si>
    <t xml:space="preserve">90.5 (Excellent)</t>
  </si>
  <si>
    <t xml:space="preserve">67 (Good)</t>
  </si>
  <si>
    <t xml:space="preserve">87.0 (Excellent)</t>
  </si>
  <si>
    <t xml:space="preserve">58 (Average)</t>
  </si>
  <si>
    <t xml:space="preserve">67.0 (Good)</t>
  </si>
  <si>
    <t xml:space="preserve">68.0 (Good)</t>
  </si>
  <si>
    <t xml:space="preserve">61 (Good)</t>
  </si>
  <si>
    <t xml:space="preserve">77.0 (Very Good)</t>
  </si>
  <si>
    <t xml:space="preserve">82.0 (Excellent)</t>
  </si>
  <si>
    <t xml:space="preserve">64.5 (Good)</t>
  </si>
  <si>
    <t xml:space="preserve">68 (Good)</t>
  </si>
  <si>
    <t xml:space="preserve">86.5 (Excellent)</t>
  </si>
  <si>
    <t xml:space="preserve">99.0 (Excellent)</t>
  </si>
  <si>
    <t xml:space="preserve">94 (Excellent)</t>
  </si>
  <si>
    <t xml:space="preserve">65.67 (Good)</t>
  </si>
  <si>
    <t xml:space="preserve">81.5 (Excellent)</t>
  </si>
  <si>
    <t xml:space="preserve">83.0 (Excellent)</t>
  </si>
  <si>
    <t xml:space="preserve">80.5 (Excellent)</t>
  </si>
  <si>
    <t xml:space="preserve">88 (Excellent)</t>
  </si>
  <si>
    <t xml:space="preserve">92 (Excellent)</t>
  </si>
  <si>
    <t xml:space="preserve">79.67 (Very Good)</t>
  </si>
  <si>
    <t xml:space="preserve">59.5 (Average)</t>
  </si>
  <si>
    <t xml:space="preserve">76.75 (Very Good)</t>
  </si>
  <si>
    <t xml:space="preserve">89.25 (Excellent)</t>
  </si>
  <si>
    <t xml:space="preserve">63.0 (Good)</t>
  </si>
  <si>
    <t xml:space="preserve">91 (Excellent)</t>
  </si>
</sst>
</file>

<file path=xl/styles.xml><?xml version="1.0" encoding="utf-8"?>
<styleSheet xmlns="http://schemas.openxmlformats.org/spreadsheetml/2006/main">
  <numFmts count="4">
    <numFmt numFmtId="164" formatCode="General"/>
    <numFmt numFmtId="165" formatCode="0%"/>
    <numFmt numFmtId="166" formatCode="0.00"/>
    <numFmt numFmtId="167" formatCode="yyyy\-mm\-dd\ h:mm:ss"/>
  </numFmts>
  <fonts count="12">
    <font>
      <sz val="11"/>
      <color theme="1"/>
      <name val="Calibri"/>
      <family val="2"/>
      <charset val="1"/>
    </font>
    <font>
      <sz val="10"/>
      <name val="Arial"/>
      <family val="0"/>
    </font>
    <font>
      <sz val="10"/>
      <name val="Arial"/>
      <family val="0"/>
    </font>
    <font>
      <sz val="10"/>
      <name val="Arial"/>
      <family val="0"/>
    </font>
    <font>
      <b val="true"/>
      <sz val="9"/>
      <color rgb="FFFFFFFF"/>
      <name val="Gill Sans MT"/>
      <family val="0"/>
      <charset val="1"/>
    </font>
    <font>
      <sz val="11"/>
      <name val="Gill Sans MT"/>
      <family val="0"/>
      <charset val="1"/>
    </font>
    <font>
      <b val="true"/>
      <sz val="11"/>
      <name val="Gill Sans MT"/>
      <family val="0"/>
      <charset val="1"/>
    </font>
    <font>
      <b val="true"/>
      <sz val="14"/>
      <color rgb="FF002060"/>
      <name val="Gill Sans MT"/>
      <family val="0"/>
      <charset val="1"/>
    </font>
    <font>
      <i val="true"/>
      <sz val="10"/>
      <name val="Gill Sans MT"/>
      <family val="0"/>
      <charset val="1"/>
    </font>
    <font>
      <b val="true"/>
      <sz val="10"/>
      <color rgb="FFFFFFFF"/>
      <name val="Gill Sans MT"/>
      <family val="0"/>
      <charset val="1"/>
    </font>
    <font>
      <sz val="10"/>
      <name val="Gill Sans MT"/>
      <family val="0"/>
      <charset val="1"/>
    </font>
    <font>
      <b val="true"/>
      <sz val="10"/>
      <name val="Gill Sans MT"/>
      <family val="0"/>
      <charset val="1"/>
    </font>
  </fonts>
  <fills count="11">
    <fill>
      <patternFill patternType="none"/>
    </fill>
    <fill>
      <patternFill patternType="gray125"/>
    </fill>
    <fill>
      <patternFill patternType="solid">
        <fgColor rgb="FF44546A"/>
        <bgColor rgb="FF333399"/>
      </patternFill>
    </fill>
    <fill>
      <patternFill patternType="solid">
        <fgColor rgb="FF002060"/>
        <bgColor rgb="FF000080"/>
      </patternFill>
    </fill>
    <fill>
      <patternFill patternType="solid">
        <fgColor rgb="FF7F7F7F"/>
        <bgColor rgb="FF969696"/>
      </patternFill>
    </fill>
    <fill>
      <patternFill patternType="solid">
        <fgColor rgb="FFE7E6E6"/>
        <bgColor rgb="FFDDEBF7"/>
      </patternFill>
    </fill>
    <fill>
      <patternFill patternType="solid">
        <fgColor rgb="FFC6EFCE"/>
        <bgColor rgb="FFDDEBF7"/>
      </patternFill>
    </fill>
    <fill>
      <patternFill patternType="solid">
        <fgColor rgb="FFDDEBF7"/>
        <bgColor rgb="FFE7E6E6"/>
      </patternFill>
    </fill>
    <fill>
      <patternFill patternType="solid">
        <fgColor rgb="FFFFF2CC"/>
        <bgColor rgb="FFFCE4D6"/>
      </patternFill>
    </fill>
    <fill>
      <patternFill patternType="solid">
        <fgColor rgb="FFFCE4D6"/>
        <bgColor rgb="FFFFF2CC"/>
      </patternFill>
    </fill>
    <fill>
      <patternFill patternType="solid">
        <fgColor rgb="FFFFC7CE"/>
        <bgColor rgb="FFFCE4D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44546A"/>
          <bgColor rgb="FF000000"/>
        </patternFill>
      </fill>
    </dxf>
    <dxf>
      <fill>
        <patternFill patternType="solid">
          <bgColor rgb="FF000000"/>
        </patternFill>
      </fill>
    </dxf>
    <dxf>
      <fill>
        <patternFill patternType="solid">
          <fgColor rgb="FFFFFFFF"/>
          <bgColor rgb="FF000000"/>
        </patternFill>
      </fill>
    </dxf>
    <dxf>
      <fill>
        <patternFill patternType="solid">
          <fgColor rgb="FF002060"/>
          <bgColor rgb="FF000000"/>
        </patternFill>
      </fill>
    </dxf>
    <dxf>
      <fill>
        <patternFill patternType="solid">
          <fgColor rgb="FFE7E6E6"/>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FFC7CE"/>
          <bgColor rgb="FF000000"/>
        </patternFill>
      </fill>
    </dxf>
    <dxf>
      <fill>
        <patternFill patternType="solid">
          <fgColor rgb="FFFFF2CC"/>
          <bgColor rgb="FF000000"/>
        </patternFill>
      </fill>
    </dxf>
    <dxf>
      <fill>
        <patternFill patternType="solid">
          <fgColor rgb="FF7F7F7F"/>
          <bgColor rgb="FF000000"/>
        </patternFill>
      </fill>
    </dxf>
    <dxf>
      <fill>
        <patternFill>
          <bgColor rgb="FFC6EFCE"/>
        </patternFill>
      </fill>
    </dxf>
    <dxf>
      <fill>
        <patternFill>
          <bgColor rgb="FFDDEBF7"/>
        </patternFill>
      </fill>
    </dxf>
    <dxf>
      <fill>
        <patternFill>
          <bgColor rgb="FFFFF2CC"/>
        </patternFill>
      </fill>
    </dxf>
    <dxf>
      <fill>
        <patternFill>
          <bgColor rgb="FFFCE4D6"/>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6EFCE"/>
      <rgbColor rgb="FFFCE4D6"/>
      <rgbColor rgb="FF99CCFF"/>
      <rgbColor rgb="FFFF99CC"/>
      <rgbColor rgb="FFCC99FF"/>
      <rgbColor rgb="FFFFC7CE"/>
      <rgbColor rgb="FF3366FF"/>
      <rgbColor rgb="FF33CCCC"/>
      <rgbColor rgb="FF99CC00"/>
      <rgbColor rgb="FFFFCC00"/>
      <rgbColor rgb="FFFF9900"/>
      <rgbColor rgb="FFFF6600"/>
      <rgbColor rgb="FF44546A"/>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I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2"/>
    <col collapsed="false" customWidth="true" hidden="false" outlineLevel="0" max="4" min="4" style="0" width="12"/>
    <col collapsed="false" customWidth="true" hidden="false" outlineLevel="0" max="5" min="5" style="0" width="15"/>
    <col collapsed="false" customWidth="true" hidden="false" outlineLevel="0" max="6" min="6" style="0" width="11"/>
    <col collapsed="false" customWidth="true" hidden="false" outlineLevel="0" max="7" min="7" style="0" width="45"/>
    <col collapsed="false" customWidth="true" hidden="false" outlineLevel="0" max="8" min="8" style="0" width="38"/>
    <col collapsed="false" customWidth="true" hidden="false" outlineLevel="0" max="9" min="9" style="0" width="9"/>
    <col collapsed="false" customWidth="true" hidden="false" outlineLevel="0" max="10" min="10" style="0" width="12"/>
    <col collapsed="false" customWidth="true" hidden="false" outlineLevel="0" max="11" min="11" style="0" width="10"/>
    <col collapsed="false" customWidth="true" hidden="false" outlineLevel="0" max="12" min="12" style="0" width="11"/>
    <col collapsed="false" customWidth="true" hidden="false" outlineLevel="0" max="13" min="13" style="0" width="14"/>
    <col collapsed="false" customWidth="true" hidden="false" outlineLevel="0" max="17" min="14" style="0" width="9"/>
    <col collapsed="false" customWidth="true" hidden="false" outlineLevel="0" max="18" min="18" style="0" width="11"/>
    <col collapsed="false" customWidth="true" hidden="false" outlineLevel="0" max="29" min="19" style="0" width="18"/>
    <col collapsed="false" customWidth="true" hidden="false" outlineLevel="0" max="31" min="30" style="0" width="11"/>
    <col collapsed="false" customWidth="true" hidden="false" outlineLevel="0" max="32" min="32" style="0" width="13"/>
    <col collapsed="false" customWidth="true" hidden="false" outlineLevel="0" max="33" min="33" style="0" width="32"/>
    <col collapsed="false" customWidth="true" hidden="false" outlineLevel="0" max="34" min="34" style="0" width="12"/>
    <col collapsed="false" customWidth="true" hidden="false" outlineLevel="0" max="56" min="35" style="0" width="16"/>
  </cols>
  <sheetData>
    <row r="1" customFormat="false" ht="7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2" t="s">
        <v>30</v>
      </c>
      <c r="AF1" s="2" t="s">
        <v>31</v>
      </c>
      <c r="AG1" s="2" t="s">
        <v>32</v>
      </c>
      <c r="AH1" s="2"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row>
    <row r="2" customFormat="false" ht="199.95" hidden="false" customHeight="false" outlineLevel="0" collapsed="false">
      <c r="A2" s="4" t="n">
        <v>1</v>
      </c>
      <c r="B2" s="4" t="s">
        <v>56</v>
      </c>
      <c r="C2" s="4" t="s">
        <v>57</v>
      </c>
      <c r="D2" s="4" t="s">
        <v>58</v>
      </c>
      <c r="E2" s="4" t="s">
        <v>59</v>
      </c>
      <c r="F2" s="4" t="n">
        <v>3376</v>
      </c>
      <c r="G2" s="5" t="s">
        <v>60</v>
      </c>
      <c r="H2" s="5" t="s">
        <v>61</v>
      </c>
      <c r="I2" s="4"/>
      <c r="J2" s="4"/>
      <c r="K2" s="4"/>
      <c r="L2" s="4" t="n">
        <v>15</v>
      </c>
      <c r="M2" s="4" t="n">
        <v>15</v>
      </c>
      <c r="N2" s="4" t="n">
        <v>0</v>
      </c>
      <c r="O2" s="4" t="n">
        <v>12</v>
      </c>
      <c r="P2" s="4" t="n">
        <v>3</v>
      </c>
      <c r="Q2" s="4" t="n">
        <v>8</v>
      </c>
      <c r="R2" s="6" t="n">
        <f aca="false">IF(N(L2)=0,0,O2/L2)</f>
        <v>0.8</v>
      </c>
      <c r="S2" s="4" t="n">
        <f aca="false">IF(R2="","",IF(R2&gt;=0.8,50,IF(R2&gt;=0.5,30,IF(R2&gt;=0.01,10,0))))</f>
        <v>50</v>
      </c>
      <c r="T2" s="4" t="n">
        <f aca="false">IF(TRIM(AI2)="Yes",2.5,0)</f>
        <v>2.5</v>
      </c>
      <c r="U2" s="4" t="n">
        <f aca="false">IF(TRIM(AJ2)="Yes",10,0)</f>
        <v>10</v>
      </c>
      <c r="V2" s="4" t="n">
        <f aca="false">IF(TRIM(AK2)="Yes",5,0)</f>
        <v>5</v>
      </c>
      <c r="W2" s="4" t="n">
        <f aca="false">IF(TRIM(AM2)="Yes",5,0)</f>
        <v>5</v>
      </c>
      <c r="X2" s="4" t="n">
        <f aca="false">IF(OR(TRIM(AN2)="Fully Available",TRIM(AN2)="Not Applicable"),5,IF(TRIM(AN2)="Partially Available",2.5,0))</f>
        <v>5</v>
      </c>
      <c r="Y2" s="4" t="n">
        <f aca="false">IF(TRIM(AO2)="Yes",5,0)</f>
        <v>5</v>
      </c>
      <c r="Z2" s="4" t="n">
        <f aca="false">IF(TRIM(AP2)="Yes",2.5,0)</f>
        <v>2.5</v>
      </c>
      <c r="AA2" s="4" t="n">
        <f aca="false">IF(TRIM(AQ2)="Yes",5,0)</f>
        <v>5</v>
      </c>
      <c r="AB2" s="4" t="n">
        <f aca="false">IF(OR(TRIM(AR2)="Yes",TRIM(AR2)="Not Applicable"),5,0)</f>
        <v>5</v>
      </c>
      <c r="AC2" s="4" t="n">
        <f aca="false">IF(TRIM(AS2)="Excellent",5,IF(TRIM(AS2)="Very Good",4,IF(TRIM(AS2)="Good",3,IF(TRIM(AS2)="Average",2,0))))</f>
        <v>5</v>
      </c>
      <c r="AD2" s="7" t="n">
        <f aca="false">IF(COUNT(S2:AC2)=0,"",SUM(S2:AC2))</f>
        <v>100</v>
      </c>
      <c r="AE2" s="7" t="n">
        <f aca="false">IF(COUNTIF($F$2:F2,F2)=1,IFERROR(AVERAGEIF($F:$F,F2,$AD:$AD),""),"")</f>
        <v>100</v>
      </c>
      <c r="AF2" s="8" t="str">
        <f aca="false">IF(AH2&lt;&gt;"",AH2,IF(AE2="","",IF(AE2&gt;=80,"Excellent",IF(AE2&gt;=70,"Very Good",IF(AE2&gt;=60,"Good",IF(AE2&gt;=50,"Average","Poor"))))))</f>
        <v>Excellent</v>
      </c>
      <c r="AG2" s="5"/>
      <c r="AH2" s="4"/>
      <c r="AI2" s="4" t="s">
        <v>62</v>
      </c>
      <c r="AJ2" s="4" t="s">
        <v>62</v>
      </c>
      <c r="AK2" s="4" t="s">
        <v>62</v>
      </c>
      <c r="AL2" s="4" t="s">
        <v>63</v>
      </c>
      <c r="AM2" s="4" t="s">
        <v>62</v>
      </c>
      <c r="AN2" s="4" t="s">
        <v>64</v>
      </c>
      <c r="AO2" s="4" t="s">
        <v>62</v>
      </c>
      <c r="AP2" s="4" t="s">
        <v>62</v>
      </c>
      <c r="AQ2" s="4" t="s">
        <v>62</v>
      </c>
      <c r="AR2" s="4" t="s">
        <v>62</v>
      </c>
      <c r="AS2" s="4" t="s">
        <v>65</v>
      </c>
      <c r="AT2" s="4" t="n">
        <v>40</v>
      </c>
      <c r="AU2" s="4" t="s">
        <v>66</v>
      </c>
      <c r="AV2" s="4" t="s">
        <v>67</v>
      </c>
      <c r="AW2" s="4" t="s">
        <v>68</v>
      </c>
      <c r="AX2" s="4" t="s">
        <v>69</v>
      </c>
      <c r="AY2" s="4" t="n">
        <v>20</v>
      </c>
      <c r="AZ2" s="4" t="s">
        <v>62</v>
      </c>
      <c r="BA2" s="4" t="s">
        <v>70</v>
      </c>
      <c r="BB2" s="4" t="s">
        <v>59</v>
      </c>
      <c r="BC2" s="6" t="n">
        <v>0.6667</v>
      </c>
      <c r="BD2" s="4" t="n">
        <v>94</v>
      </c>
    </row>
    <row r="3" customFormat="false" ht="100.7" hidden="false" customHeight="false" outlineLevel="0" collapsed="false">
      <c r="A3" s="4" t="n">
        <v>2</v>
      </c>
      <c r="B3" s="4" t="s">
        <v>56</v>
      </c>
      <c r="C3" s="4" t="s">
        <v>57</v>
      </c>
      <c r="D3" s="4" t="s">
        <v>58</v>
      </c>
      <c r="E3" s="4" t="s">
        <v>59</v>
      </c>
      <c r="F3" s="4" t="n">
        <v>4180</v>
      </c>
      <c r="G3" s="5" t="s">
        <v>71</v>
      </c>
      <c r="H3" s="5" t="s">
        <v>72</v>
      </c>
      <c r="I3" s="4"/>
      <c r="J3" s="4"/>
      <c r="K3" s="4"/>
      <c r="L3" s="4" t="n">
        <v>20</v>
      </c>
      <c r="M3" s="4" t="n">
        <v>20</v>
      </c>
      <c r="N3" s="4" t="n">
        <v>0</v>
      </c>
      <c r="O3" s="4" t="n">
        <v>9</v>
      </c>
      <c r="P3" s="4" t="n">
        <v>11</v>
      </c>
      <c r="Q3" s="4" t="n">
        <v>9</v>
      </c>
      <c r="R3" s="6" t="n">
        <f aca="false">IF(N(L3)=0,0,O3/L3)</f>
        <v>0.45</v>
      </c>
      <c r="S3" s="4" t="n">
        <f aca="false">IF(R3="","",IF(R3&gt;=0.8,50,IF(R3&gt;=0.5,30,IF(R3&gt;=0.01,10,0))))</f>
        <v>10</v>
      </c>
      <c r="T3" s="4" t="n">
        <f aca="false">IF(TRIM(AI3)="Yes",2.5,0)</f>
        <v>2.5</v>
      </c>
      <c r="U3" s="4" t="n">
        <f aca="false">IF(TRIM(AJ3)="Yes",10,0)</f>
        <v>10</v>
      </c>
      <c r="V3" s="4" t="n">
        <f aca="false">IF(TRIM(AK3)="Yes",5,0)</f>
        <v>5</v>
      </c>
      <c r="W3" s="4" t="n">
        <f aca="false">IF(TRIM(AM3)="Yes",5,0)</f>
        <v>5</v>
      </c>
      <c r="X3" s="4" t="n">
        <f aca="false">IF(OR(TRIM(AN3)="Fully Available",TRIM(AN3)="Not Applicable"),5,IF(TRIM(AN3)="Partially Available",2.5,0))</f>
        <v>5</v>
      </c>
      <c r="Y3" s="4" t="n">
        <f aca="false">IF(TRIM(AO3)="Yes",5,0)</f>
        <v>5</v>
      </c>
      <c r="Z3" s="4" t="n">
        <f aca="false">IF(TRIM(AP3)="Yes",2.5,0)</f>
        <v>2.5</v>
      </c>
      <c r="AA3" s="4" t="n">
        <f aca="false">IF(TRIM(AQ3)="Yes",5,0)</f>
        <v>5</v>
      </c>
      <c r="AB3" s="4" t="n">
        <f aca="false">IF(OR(TRIM(AR3)="Yes",TRIM(AR3)="Not Applicable"),5,0)</f>
        <v>5</v>
      </c>
      <c r="AC3" s="4" t="n">
        <f aca="false">IF(TRIM(AS3)="Excellent",5,IF(TRIM(AS3)="Very Good",4,IF(TRIM(AS3)="Good",3,IF(TRIM(AS3)="Average",2,0))))</f>
        <v>4</v>
      </c>
      <c r="AD3" s="7" t="n">
        <f aca="false">IF(COUNT(S3:AC3)=0,"",SUM(S3:AC3))</f>
        <v>59</v>
      </c>
      <c r="AE3" s="7" t="n">
        <f aca="false">IF(COUNTIF($F$2:F3,F3)=1,IFERROR(AVERAGEIF($F:$F,F3,$AD:$AD),""),"")</f>
        <v>59</v>
      </c>
      <c r="AF3" s="8" t="str">
        <f aca="false">IF(AH3&lt;&gt;"",AH3,IF(AE3="","",IF(AE3&gt;=80,"Excellent",IF(AE3&gt;=70,"Very Good",IF(AE3&gt;=60,"Good",IF(AE3&gt;=50,"Average","Poor"))))))</f>
        <v>Average</v>
      </c>
      <c r="AG3" s="5"/>
      <c r="AH3" s="4"/>
      <c r="AI3" s="4" t="s">
        <v>62</v>
      </c>
      <c r="AJ3" s="4" t="s">
        <v>62</v>
      </c>
      <c r="AK3" s="4" t="s">
        <v>62</v>
      </c>
      <c r="AL3" s="4" t="s">
        <v>63</v>
      </c>
      <c r="AM3" s="4" t="s">
        <v>62</v>
      </c>
      <c r="AN3" s="4" t="s">
        <v>64</v>
      </c>
      <c r="AO3" s="4" t="s">
        <v>62</v>
      </c>
      <c r="AP3" s="4" t="s">
        <v>62</v>
      </c>
      <c r="AQ3" s="4" t="s">
        <v>62</v>
      </c>
      <c r="AR3" s="4" t="s">
        <v>73</v>
      </c>
      <c r="AS3" s="4" t="s">
        <v>74</v>
      </c>
      <c r="AT3" s="4" t="n">
        <v>11</v>
      </c>
      <c r="AU3" s="4" t="s">
        <v>66</v>
      </c>
      <c r="AV3" s="4" t="s">
        <v>67</v>
      </c>
      <c r="AW3" s="4" t="s">
        <v>75</v>
      </c>
      <c r="AX3" s="4" t="s">
        <v>76</v>
      </c>
      <c r="AY3" s="4" t="n">
        <v>4</v>
      </c>
      <c r="AZ3" s="4" t="s">
        <v>62</v>
      </c>
      <c r="BA3" s="4" t="s">
        <v>77</v>
      </c>
      <c r="BB3" s="4" t="s">
        <v>59</v>
      </c>
      <c r="BC3" s="6" t="n">
        <v>1</v>
      </c>
      <c r="BD3" s="4" t="n">
        <v>73</v>
      </c>
    </row>
    <row r="4" customFormat="false" ht="100.7" hidden="false" customHeight="false" outlineLevel="0" collapsed="false">
      <c r="A4" s="4"/>
      <c r="B4" s="4" t="s">
        <v>56</v>
      </c>
      <c r="C4" s="4" t="s">
        <v>57</v>
      </c>
      <c r="D4" s="4" t="s">
        <v>58</v>
      </c>
      <c r="E4" s="4" t="s">
        <v>59</v>
      </c>
      <c r="F4" s="4" t="n">
        <v>4180</v>
      </c>
      <c r="G4" s="5" t="s">
        <v>71</v>
      </c>
      <c r="H4" s="5" t="s">
        <v>78</v>
      </c>
      <c r="I4" s="4"/>
      <c r="J4" s="4"/>
      <c r="K4" s="4"/>
      <c r="L4" s="4" t="n">
        <v>20</v>
      </c>
      <c r="M4" s="4" t="n">
        <v>20</v>
      </c>
      <c r="N4" s="4" t="n">
        <v>0</v>
      </c>
      <c r="O4" s="4" t="n">
        <v>8</v>
      </c>
      <c r="P4" s="4" t="n">
        <v>12</v>
      </c>
      <c r="Q4" s="4" t="n">
        <v>4</v>
      </c>
      <c r="R4" s="6" t="n">
        <f aca="false">IF(N(L4)=0,0,O4/L4)</f>
        <v>0.4</v>
      </c>
      <c r="S4" s="4" t="n">
        <f aca="false">IF(R4="","",IF(R4&gt;=0.8,50,IF(R4&gt;=0.5,30,IF(R4&gt;=0.01,10,0))))</f>
        <v>10</v>
      </c>
      <c r="T4" s="4" t="n">
        <f aca="false">IF(TRIM(AI4)="Yes",2.5,0)</f>
        <v>2.5</v>
      </c>
      <c r="U4" s="4" t="n">
        <f aca="false">IF(TRIM(AJ4)="Yes",10,0)</f>
        <v>10</v>
      </c>
      <c r="V4" s="4" t="n">
        <f aca="false">IF(TRIM(AK4)="Yes",5,0)</f>
        <v>5</v>
      </c>
      <c r="W4" s="4" t="n">
        <f aca="false">IF(TRIM(AM4)="Yes",5,0)</f>
        <v>5</v>
      </c>
      <c r="X4" s="4" t="n">
        <f aca="false">IF(OR(TRIM(AN4)="Fully Available",TRIM(AN4)="Not Applicable"),5,IF(TRIM(AN4)="Partially Available",2.5,0))</f>
        <v>5</v>
      </c>
      <c r="Y4" s="4" t="n">
        <f aca="false">IF(TRIM(AO4)="Yes",5,0)</f>
        <v>5</v>
      </c>
      <c r="Z4" s="4" t="n">
        <f aca="false">IF(TRIM(AP4)="Yes",2.5,0)</f>
        <v>2.5</v>
      </c>
      <c r="AA4" s="4" t="n">
        <f aca="false">IF(TRIM(AQ4)="Yes",5,0)</f>
        <v>5</v>
      </c>
      <c r="AB4" s="4" t="n">
        <f aca="false">IF(OR(TRIM(AR4)="Yes",TRIM(AR4)="Not Applicable"),5,0)</f>
        <v>5</v>
      </c>
      <c r="AC4" s="4" t="n">
        <f aca="false">IF(TRIM(AS4)="Excellent",5,IF(TRIM(AS4)="Very Good",4,IF(TRIM(AS4)="Good",3,IF(TRIM(AS4)="Average",2,0))))</f>
        <v>4</v>
      </c>
      <c r="AD4" s="7" t="n">
        <f aca="false">IF(COUNT(S4:AC4)=0,"",SUM(S4:AC4))</f>
        <v>59</v>
      </c>
      <c r="AE4" s="7"/>
      <c r="AF4" s="8"/>
      <c r="AG4" s="5"/>
      <c r="AH4" s="4"/>
      <c r="AI4" s="4" t="s">
        <v>62</v>
      </c>
      <c r="AJ4" s="4" t="s">
        <v>62</v>
      </c>
      <c r="AK4" s="4" t="s">
        <v>62</v>
      </c>
      <c r="AL4" s="4" t="s">
        <v>63</v>
      </c>
      <c r="AM4" s="4" t="s">
        <v>62</v>
      </c>
      <c r="AN4" s="4" t="s">
        <v>64</v>
      </c>
      <c r="AO4" s="4" t="s">
        <v>62</v>
      </c>
      <c r="AP4" s="4" t="s">
        <v>62</v>
      </c>
      <c r="AQ4" s="4" t="s">
        <v>62</v>
      </c>
      <c r="AR4" s="4" t="s">
        <v>73</v>
      </c>
      <c r="AS4" s="4" t="s">
        <v>74</v>
      </c>
      <c r="AT4" s="4" t="n">
        <v>5</v>
      </c>
      <c r="AU4" s="4" t="s">
        <v>66</v>
      </c>
      <c r="AV4" s="4" t="s">
        <v>67</v>
      </c>
      <c r="AW4" s="4" t="s">
        <v>79</v>
      </c>
      <c r="AX4" s="4" t="s">
        <v>76</v>
      </c>
      <c r="AY4" s="4" t="n">
        <v>3</v>
      </c>
      <c r="AZ4" s="4" t="s">
        <v>62</v>
      </c>
      <c r="BA4" s="4" t="s">
        <v>77</v>
      </c>
      <c r="BB4" s="4" t="s">
        <v>59</v>
      </c>
      <c r="BC4" s="6" t="n">
        <v>0.5</v>
      </c>
      <c r="BD4" s="4" t="n">
        <v>73</v>
      </c>
    </row>
    <row r="5" customFormat="false" ht="157.45" hidden="false" customHeight="false" outlineLevel="0" collapsed="false">
      <c r="A5" s="4" t="n">
        <v>3</v>
      </c>
      <c r="B5" s="4" t="s">
        <v>56</v>
      </c>
      <c r="C5" s="4" t="s">
        <v>57</v>
      </c>
      <c r="D5" s="4" t="s">
        <v>58</v>
      </c>
      <c r="E5" s="4" t="s">
        <v>59</v>
      </c>
      <c r="F5" s="4" t="n">
        <v>4558</v>
      </c>
      <c r="G5" s="5" t="s">
        <v>80</v>
      </c>
      <c r="H5" s="5" t="s">
        <v>81</v>
      </c>
      <c r="I5" s="4"/>
      <c r="J5" s="4"/>
      <c r="K5" s="4"/>
      <c r="L5" s="4" t="n">
        <v>20</v>
      </c>
      <c r="M5" s="4" t="n">
        <v>20</v>
      </c>
      <c r="N5" s="4" t="n">
        <v>0</v>
      </c>
      <c r="O5" s="4" t="n">
        <v>3</v>
      </c>
      <c r="P5" s="4" t="n">
        <v>17</v>
      </c>
      <c r="Q5" s="4" t="n">
        <v>3</v>
      </c>
      <c r="R5" s="6" t="n">
        <f aca="false">IF(N(L5)=0,0,O5/L5)</f>
        <v>0.15</v>
      </c>
      <c r="S5" s="4" t="n">
        <f aca="false">IF(R5="","",IF(R5&gt;=0.8,50,IF(R5&gt;=0.5,30,IF(R5&gt;=0.01,10,0))))</f>
        <v>10</v>
      </c>
      <c r="T5" s="4" t="n">
        <f aca="false">IF(TRIM(AI5)="Yes",2.5,0)</f>
        <v>0</v>
      </c>
      <c r="U5" s="4" t="n">
        <f aca="false">IF(TRIM(AJ5)="Yes",10,0)</f>
        <v>10</v>
      </c>
      <c r="V5" s="4" t="n">
        <f aca="false">IF(TRIM(AK5)="Yes",5,0)</f>
        <v>5</v>
      </c>
      <c r="W5" s="4" t="n">
        <f aca="false">IF(TRIM(AM5)="Yes",5,0)</f>
        <v>5</v>
      </c>
      <c r="X5" s="4" t="n">
        <f aca="false">IF(OR(TRIM(AN5)="Fully Available",TRIM(AN5)="Not Applicable"),5,IF(TRIM(AN5)="Partially Available",2.5,0))</f>
        <v>5</v>
      </c>
      <c r="Y5" s="4" t="n">
        <f aca="false">IF(TRIM(AO5)="Yes",5,0)</f>
        <v>5</v>
      </c>
      <c r="Z5" s="4" t="n">
        <f aca="false">IF(TRIM(AP5)="Yes",2.5,0)</f>
        <v>2.5</v>
      </c>
      <c r="AA5" s="4" t="n">
        <f aca="false">IF(TRIM(AQ5)="Yes",5,0)</f>
        <v>5</v>
      </c>
      <c r="AB5" s="4" t="n">
        <f aca="false">IF(OR(TRIM(AR5)="Yes",TRIM(AR5)="Not Applicable"),5,0)</f>
        <v>5</v>
      </c>
      <c r="AC5" s="4" t="n">
        <f aca="false">IF(TRIM(AS5)="Excellent",5,IF(TRIM(AS5)="Very Good",4,IF(TRIM(AS5)="Good",3,IF(TRIM(AS5)="Average",2,0))))</f>
        <v>4</v>
      </c>
      <c r="AD5" s="7" t="n">
        <f aca="false">IF(COUNT(S5:AC5)=0,"",SUM(S5:AC5))</f>
        <v>56.5</v>
      </c>
      <c r="AE5" s="7" t="n">
        <f aca="false">IF(COUNTIF($F$2:F5,F5)=1,IFERROR(AVERAGEIF($F:$F,F5,$AD:$AD),""),"")</f>
        <v>56.5</v>
      </c>
      <c r="AF5" s="8" t="str">
        <f aca="false">IF(AH5&lt;&gt;"",AH5,IF(AE5="","",IF(AE5&gt;=80,"Excellent",IF(AE5&gt;=70,"Very Good",IF(AE5&gt;=60,"Good",IF(AE5&gt;=50,"Average","Poor"))))))</f>
        <v>Average</v>
      </c>
      <c r="AG5" s="5"/>
      <c r="AH5" s="4"/>
      <c r="AI5" s="4" t="s">
        <v>82</v>
      </c>
      <c r="AJ5" s="4" t="s">
        <v>62</v>
      </c>
      <c r="AK5" s="4" t="s">
        <v>62</v>
      </c>
      <c r="AL5" s="4" t="s">
        <v>63</v>
      </c>
      <c r="AM5" s="4" t="s">
        <v>62</v>
      </c>
      <c r="AN5" s="4" t="s">
        <v>64</v>
      </c>
      <c r="AO5" s="4" t="s">
        <v>62</v>
      </c>
      <c r="AP5" s="4" t="s">
        <v>62</v>
      </c>
      <c r="AQ5" s="4" t="s">
        <v>62</v>
      </c>
      <c r="AR5" s="4" t="s">
        <v>73</v>
      </c>
      <c r="AS5" s="4" t="s">
        <v>74</v>
      </c>
      <c r="AT5" s="4" t="n">
        <v>2</v>
      </c>
      <c r="AU5" s="4" t="s">
        <v>66</v>
      </c>
      <c r="AV5" s="4" t="s">
        <v>67</v>
      </c>
      <c r="AW5" s="4" t="s">
        <v>83</v>
      </c>
      <c r="AX5" s="4" t="s">
        <v>84</v>
      </c>
      <c r="AY5" s="4" t="n">
        <v>20</v>
      </c>
      <c r="AZ5" s="4" t="s">
        <v>62</v>
      </c>
      <c r="BA5" s="4" t="s">
        <v>85</v>
      </c>
      <c r="BB5" s="4" t="s">
        <v>59</v>
      </c>
      <c r="BC5" s="6" t="n">
        <v>1</v>
      </c>
      <c r="BD5" s="4" t="n">
        <v>65</v>
      </c>
    </row>
    <row r="6" customFormat="false" ht="157.45" hidden="false" customHeight="false" outlineLevel="0" collapsed="false">
      <c r="A6" s="4"/>
      <c r="B6" s="4" t="s">
        <v>56</v>
      </c>
      <c r="C6" s="4" t="s">
        <v>57</v>
      </c>
      <c r="D6" s="4" t="s">
        <v>58</v>
      </c>
      <c r="E6" s="4" t="s">
        <v>59</v>
      </c>
      <c r="F6" s="4" t="n">
        <v>4558</v>
      </c>
      <c r="G6" s="5" t="s">
        <v>80</v>
      </c>
      <c r="H6" s="5" t="s">
        <v>86</v>
      </c>
      <c r="I6" s="4"/>
      <c r="J6" s="4"/>
      <c r="K6" s="4"/>
      <c r="L6" s="4" t="n">
        <v>20</v>
      </c>
      <c r="M6" s="4" t="n">
        <v>20</v>
      </c>
      <c r="N6" s="4" t="n">
        <v>0</v>
      </c>
      <c r="O6" s="4" t="n">
        <v>4</v>
      </c>
      <c r="P6" s="4" t="n">
        <v>16</v>
      </c>
      <c r="Q6" s="4" t="n">
        <v>4</v>
      </c>
      <c r="R6" s="6" t="n">
        <f aca="false">IF(N(L6)=0,0,O6/L6)</f>
        <v>0.2</v>
      </c>
      <c r="S6" s="4" t="n">
        <f aca="false">IF(R6="","",IF(R6&gt;=0.8,50,IF(R6&gt;=0.5,30,IF(R6&gt;=0.01,10,0))))</f>
        <v>10</v>
      </c>
      <c r="T6" s="4" t="n">
        <f aca="false">IF(TRIM(AI6)="Yes",2.5,0)</f>
        <v>0</v>
      </c>
      <c r="U6" s="4" t="n">
        <f aca="false">IF(TRIM(AJ6)="Yes",10,0)</f>
        <v>10</v>
      </c>
      <c r="V6" s="4" t="n">
        <f aca="false">IF(TRIM(AK6)="Yes",5,0)</f>
        <v>5</v>
      </c>
      <c r="W6" s="4" t="n">
        <f aca="false">IF(TRIM(AM6)="Yes",5,0)</f>
        <v>5</v>
      </c>
      <c r="X6" s="4" t="n">
        <f aca="false">IF(OR(TRIM(AN6)="Fully Available",TRIM(AN6)="Not Applicable"),5,IF(TRIM(AN6)="Partially Available",2.5,0))</f>
        <v>5</v>
      </c>
      <c r="Y6" s="4" t="n">
        <f aca="false">IF(TRIM(AO6)="Yes",5,0)</f>
        <v>5</v>
      </c>
      <c r="Z6" s="4" t="n">
        <f aca="false">IF(TRIM(AP6)="Yes",2.5,0)</f>
        <v>2.5</v>
      </c>
      <c r="AA6" s="4" t="n">
        <f aca="false">IF(TRIM(AQ6)="Yes",5,0)</f>
        <v>5</v>
      </c>
      <c r="AB6" s="4" t="n">
        <f aca="false">IF(OR(TRIM(AR6)="Yes",TRIM(AR6)="Not Applicable"),5,0)</f>
        <v>5</v>
      </c>
      <c r="AC6" s="4" t="n">
        <f aca="false">IF(TRIM(AS6)="Excellent",5,IF(TRIM(AS6)="Very Good",4,IF(TRIM(AS6)="Good",3,IF(TRIM(AS6)="Average",2,0))))</f>
        <v>4</v>
      </c>
      <c r="AD6" s="7" t="n">
        <f aca="false">IF(COUNT(S6:AC6)=0,"",SUM(S6:AC6))</f>
        <v>56.5</v>
      </c>
      <c r="AE6" s="7"/>
      <c r="AF6" s="8"/>
      <c r="AG6" s="5"/>
      <c r="AH6" s="4"/>
      <c r="AI6" s="4" t="s">
        <v>82</v>
      </c>
      <c r="AJ6" s="4" t="s">
        <v>62</v>
      </c>
      <c r="AK6" s="4" t="s">
        <v>62</v>
      </c>
      <c r="AL6" s="4" t="s">
        <v>63</v>
      </c>
      <c r="AM6" s="4" t="s">
        <v>62</v>
      </c>
      <c r="AN6" s="4" t="s">
        <v>64</v>
      </c>
      <c r="AO6" s="4" t="s">
        <v>62</v>
      </c>
      <c r="AP6" s="4" t="s">
        <v>62</v>
      </c>
      <c r="AQ6" s="4" t="s">
        <v>62</v>
      </c>
      <c r="AR6" s="4" t="s">
        <v>73</v>
      </c>
      <c r="AS6" s="4" t="s">
        <v>74</v>
      </c>
      <c r="AT6" s="4" t="n">
        <v>2</v>
      </c>
      <c r="AU6" s="4" t="s">
        <v>66</v>
      </c>
      <c r="AV6" s="4" t="s">
        <v>67</v>
      </c>
      <c r="AW6" s="4" t="s">
        <v>87</v>
      </c>
      <c r="AX6" s="4" t="s">
        <v>88</v>
      </c>
      <c r="AY6" s="4" t="n">
        <v>7</v>
      </c>
      <c r="AZ6" s="4" t="s">
        <v>62</v>
      </c>
      <c r="BA6" s="4" t="s">
        <v>85</v>
      </c>
      <c r="BB6" s="4" t="s">
        <v>59</v>
      </c>
      <c r="BC6" s="6" t="n">
        <v>1</v>
      </c>
      <c r="BD6" s="4" t="n">
        <v>65</v>
      </c>
    </row>
    <row r="7" customFormat="false" ht="228.35" hidden="false" customHeight="false" outlineLevel="0" collapsed="false">
      <c r="A7" s="4" t="n">
        <v>4</v>
      </c>
      <c r="B7" s="4" t="s">
        <v>56</v>
      </c>
      <c r="C7" s="4" t="s">
        <v>57</v>
      </c>
      <c r="D7" s="4" t="s">
        <v>58</v>
      </c>
      <c r="E7" s="4" t="s">
        <v>59</v>
      </c>
      <c r="F7" s="4" t="n">
        <v>1103</v>
      </c>
      <c r="G7" s="5" t="s">
        <v>89</v>
      </c>
      <c r="H7" s="5" t="s">
        <v>90</v>
      </c>
      <c r="I7" s="4"/>
      <c r="J7" s="4"/>
      <c r="K7" s="4"/>
      <c r="L7" s="4" t="n">
        <v>20</v>
      </c>
      <c r="M7" s="4" t="n">
        <v>19</v>
      </c>
      <c r="N7" s="4" t="n">
        <v>1</v>
      </c>
      <c r="O7" s="4" t="n">
        <v>16</v>
      </c>
      <c r="P7" s="4" t="n">
        <v>3</v>
      </c>
      <c r="Q7" s="4" t="n">
        <v>10</v>
      </c>
      <c r="R7" s="6" t="n">
        <f aca="false">IF(N(L7)=0,0,O7/L7)</f>
        <v>0.8</v>
      </c>
      <c r="S7" s="4" t="n">
        <f aca="false">IF(R7="","",IF(R7&gt;=0.8,50,IF(R7&gt;=0.5,30,IF(R7&gt;=0.01,10,0))))</f>
        <v>50</v>
      </c>
      <c r="T7" s="4" t="n">
        <f aca="false">IF(TRIM(AI7)="Yes",2.5,0)</f>
        <v>2.5</v>
      </c>
      <c r="U7" s="4" t="n">
        <f aca="false">IF(TRIM(AJ7)="Yes",10,0)</f>
        <v>10</v>
      </c>
      <c r="V7" s="4" t="n">
        <f aca="false">IF(TRIM(AK7)="Yes",5,0)</f>
        <v>5</v>
      </c>
      <c r="W7" s="4" t="n">
        <f aca="false">IF(TRIM(AM7)="Yes",5,0)</f>
        <v>5</v>
      </c>
      <c r="X7" s="4" t="n">
        <f aca="false">IF(OR(TRIM(AN7)="Fully Available",TRIM(AN7)="Not Applicable"),5,IF(TRIM(AN7)="Partially Available",2.5,0))</f>
        <v>5</v>
      </c>
      <c r="Y7" s="4" t="n">
        <f aca="false">IF(TRIM(AO7)="Yes",5,0)</f>
        <v>5</v>
      </c>
      <c r="Z7" s="4" t="n">
        <f aca="false">IF(TRIM(AP7)="Yes",2.5,0)</f>
        <v>2.5</v>
      </c>
      <c r="AA7" s="4" t="n">
        <f aca="false">IF(TRIM(AQ7)="Yes",5,0)</f>
        <v>5</v>
      </c>
      <c r="AB7" s="4" t="n">
        <f aca="false">IF(OR(TRIM(AR7)="Yes",TRIM(AR7)="Not Applicable"),5,0)</f>
        <v>5</v>
      </c>
      <c r="AC7" s="4" t="n">
        <f aca="false">IF(TRIM(AS7)="Excellent",5,IF(TRIM(AS7)="Very Good",4,IF(TRIM(AS7)="Good",3,IF(TRIM(AS7)="Average",2,0))))</f>
        <v>5</v>
      </c>
      <c r="AD7" s="7" t="n">
        <f aca="false">IF(COUNT(S7:AC7)=0,"",SUM(S7:AC7))</f>
        <v>100</v>
      </c>
      <c r="AE7" s="7" t="n">
        <f aca="false">IF(COUNTIF($F$2:F7,F7)=1,IFERROR(AVERAGEIF($F:$F,F7,$AD:$AD),""),"")</f>
        <v>100</v>
      </c>
      <c r="AF7" s="8" t="str">
        <f aca="false">IF(AH7&lt;&gt;"",AH7,IF(AE7="","",IF(AE7&gt;=80,"Excellent",IF(AE7&gt;=70,"Very Good",IF(AE7&gt;=60,"Good",IF(AE7&gt;=50,"Average","Poor"))))))</f>
        <v>Excellent</v>
      </c>
      <c r="AG7" s="5"/>
      <c r="AH7" s="4"/>
      <c r="AI7" s="4" t="s">
        <v>62</v>
      </c>
      <c r="AJ7" s="4" t="s">
        <v>62</v>
      </c>
      <c r="AK7" s="4" t="s">
        <v>62</v>
      </c>
      <c r="AL7" s="4" t="s">
        <v>63</v>
      </c>
      <c r="AM7" s="4" t="s">
        <v>62</v>
      </c>
      <c r="AN7" s="4" t="s">
        <v>64</v>
      </c>
      <c r="AO7" s="4" t="s">
        <v>62</v>
      </c>
      <c r="AP7" s="4" t="s">
        <v>62</v>
      </c>
      <c r="AQ7" s="4" t="s">
        <v>62</v>
      </c>
      <c r="AR7" s="4" t="s">
        <v>73</v>
      </c>
      <c r="AS7" s="4" t="s">
        <v>65</v>
      </c>
      <c r="AT7" s="4" t="n">
        <v>7</v>
      </c>
      <c r="AU7" s="4" t="s">
        <v>66</v>
      </c>
      <c r="AV7" s="4" t="s">
        <v>91</v>
      </c>
      <c r="AW7" s="4" t="s">
        <v>92</v>
      </c>
      <c r="AX7" s="4" t="s">
        <v>93</v>
      </c>
      <c r="AY7" s="4" t="n">
        <v>19</v>
      </c>
      <c r="AZ7" s="4" t="s">
        <v>62</v>
      </c>
      <c r="BA7" s="4" t="s">
        <v>94</v>
      </c>
      <c r="BB7" s="4" t="s">
        <v>59</v>
      </c>
      <c r="BC7" s="6" t="n">
        <v>0.625</v>
      </c>
      <c r="BD7" s="4" t="n">
        <v>84</v>
      </c>
    </row>
    <row r="8" customFormat="false" ht="143.25" hidden="false" customHeight="false" outlineLevel="0" collapsed="false">
      <c r="A8" s="4" t="n">
        <v>5</v>
      </c>
      <c r="B8" s="4" t="s">
        <v>56</v>
      </c>
      <c r="C8" s="4" t="s">
        <v>57</v>
      </c>
      <c r="D8" s="4" t="s">
        <v>58</v>
      </c>
      <c r="E8" s="4" t="s">
        <v>59</v>
      </c>
      <c r="F8" s="4" t="n">
        <v>539</v>
      </c>
      <c r="G8" s="5" t="s">
        <v>95</v>
      </c>
      <c r="H8" s="5" t="s">
        <v>96</v>
      </c>
      <c r="I8" s="4"/>
      <c r="J8" s="4"/>
      <c r="K8" s="4"/>
      <c r="L8" s="4" t="n">
        <v>20</v>
      </c>
      <c r="M8" s="4" t="n">
        <v>20</v>
      </c>
      <c r="N8" s="4" t="n">
        <v>0</v>
      </c>
      <c r="O8" s="4" t="n">
        <v>17</v>
      </c>
      <c r="P8" s="4" t="n">
        <v>3</v>
      </c>
      <c r="Q8" s="4" t="n">
        <v>12</v>
      </c>
      <c r="R8" s="6" t="n">
        <f aca="false">IF(N(L8)=0,0,O8/L8)</f>
        <v>0.85</v>
      </c>
      <c r="S8" s="4" t="n">
        <f aca="false">IF(R8="","",IF(R8&gt;=0.8,50,IF(R8&gt;=0.5,30,IF(R8&gt;=0.01,10,0))))</f>
        <v>50</v>
      </c>
      <c r="T8" s="4" t="n">
        <f aca="false">IF(TRIM(AI8)="Yes",2.5,0)</f>
        <v>0</v>
      </c>
      <c r="U8" s="4" t="n">
        <f aca="false">IF(TRIM(AJ8)="Yes",10,0)</f>
        <v>10</v>
      </c>
      <c r="V8" s="4" t="n">
        <f aca="false">IF(TRIM(AK8)="Yes",5,0)</f>
        <v>5</v>
      </c>
      <c r="W8" s="4" t="n">
        <f aca="false">IF(TRIM(AM8)="Yes",5,0)</f>
        <v>5</v>
      </c>
      <c r="X8" s="4" t="n">
        <f aca="false">IF(OR(TRIM(AN8)="Fully Available",TRIM(AN8)="Not Applicable"),5,IF(TRIM(AN8)="Partially Available",2.5,0))</f>
        <v>5</v>
      </c>
      <c r="Y8" s="4" t="n">
        <f aca="false">IF(TRIM(AO8)="Yes",5,0)</f>
        <v>5</v>
      </c>
      <c r="Z8" s="4" t="n">
        <f aca="false">IF(TRIM(AP8)="Yes",2.5,0)</f>
        <v>2.5</v>
      </c>
      <c r="AA8" s="4" t="n">
        <f aca="false">IF(TRIM(AQ8)="Yes",5,0)</f>
        <v>5</v>
      </c>
      <c r="AB8" s="4" t="n">
        <f aca="false">IF(OR(TRIM(AR8)="Yes",TRIM(AR8)="Not Applicable"),5,0)</f>
        <v>5</v>
      </c>
      <c r="AC8" s="4" t="n">
        <f aca="false">IF(TRIM(AS8)="Excellent",5,IF(TRIM(AS8)="Very Good",4,IF(TRIM(AS8)="Good",3,IF(TRIM(AS8)="Average",2,0))))</f>
        <v>4</v>
      </c>
      <c r="AD8" s="7" t="n">
        <f aca="false">IF(COUNT(S8:AC8)=0,"",SUM(S8:AC8))</f>
        <v>96.5</v>
      </c>
      <c r="AE8" s="7" t="n">
        <f aca="false">IF(COUNTIF($F$2:F8,F8)=1,IFERROR(AVERAGEIF($F:$F,F8,$AD:$AD),""),"")</f>
        <v>86.5</v>
      </c>
      <c r="AF8" s="8" t="str">
        <f aca="false">IF(AH8&lt;&gt;"",AH8,IF(AE8="","",IF(AE8&gt;=80,"Excellent",IF(AE8&gt;=70,"Very Good",IF(AE8&gt;=60,"Good",IF(AE8&gt;=50,"Average","Poor"))))))</f>
        <v>Excellent</v>
      </c>
      <c r="AG8" s="5"/>
      <c r="AH8" s="4"/>
      <c r="AI8" s="4" t="s">
        <v>82</v>
      </c>
      <c r="AJ8" s="4" t="s">
        <v>62</v>
      </c>
      <c r="AK8" s="4" t="s">
        <v>62</v>
      </c>
      <c r="AL8" s="4" t="s">
        <v>63</v>
      </c>
      <c r="AM8" s="4" t="s">
        <v>62</v>
      </c>
      <c r="AN8" s="4" t="s">
        <v>64</v>
      </c>
      <c r="AO8" s="4" t="s">
        <v>62</v>
      </c>
      <c r="AP8" s="4" t="s">
        <v>62</v>
      </c>
      <c r="AQ8" s="4" t="s">
        <v>62</v>
      </c>
      <c r="AR8" s="4" t="s">
        <v>73</v>
      </c>
      <c r="AS8" s="4" t="s">
        <v>74</v>
      </c>
      <c r="AT8" s="4" t="n">
        <v>5</v>
      </c>
      <c r="AU8" s="4" t="s">
        <v>66</v>
      </c>
      <c r="AV8" s="4" t="s">
        <v>91</v>
      </c>
      <c r="AW8" s="4" t="s">
        <v>97</v>
      </c>
      <c r="AX8" s="4" t="s">
        <v>98</v>
      </c>
      <c r="AY8" s="4" t="n">
        <v>12</v>
      </c>
      <c r="AZ8" s="4" t="s">
        <v>62</v>
      </c>
      <c r="BA8" s="4" t="s">
        <v>99</v>
      </c>
      <c r="BB8" s="4" t="s">
        <v>59</v>
      </c>
      <c r="BC8" s="6" t="n">
        <v>0.7059</v>
      </c>
      <c r="BD8" s="4" t="n">
        <v>83</v>
      </c>
    </row>
    <row r="9" customFormat="false" ht="143.25" hidden="false" customHeight="false" outlineLevel="0" collapsed="false">
      <c r="A9" s="4"/>
      <c r="B9" s="4" t="s">
        <v>56</v>
      </c>
      <c r="C9" s="4" t="s">
        <v>57</v>
      </c>
      <c r="D9" s="4" t="s">
        <v>58</v>
      </c>
      <c r="E9" s="4" t="s">
        <v>59</v>
      </c>
      <c r="F9" s="4" t="n">
        <v>539</v>
      </c>
      <c r="G9" s="5" t="s">
        <v>95</v>
      </c>
      <c r="H9" s="5" t="s">
        <v>100</v>
      </c>
      <c r="I9" s="4"/>
      <c r="J9" s="4"/>
      <c r="K9" s="4"/>
      <c r="L9" s="4" t="n">
        <v>20</v>
      </c>
      <c r="M9" s="4" t="n">
        <v>20</v>
      </c>
      <c r="N9" s="4" t="n">
        <v>0</v>
      </c>
      <c r="O9" s="4" t="n">
        <v>14</v>
      </c>
      <c r="P9" s="4" t="n">
        <v>6</v>
      </c>
      <c r="Q9" s="4" t="n">
        <v>10</v>
      </c>
      <c r="R9" s="6" t="n">
        <f aca="false">IF(N(L9)=0,0,O9/L9)</f>
        <v>0.7</v>
      </c>
      <c r="S9" s="4" t="n">
        <f aca="false">IF(R9="","",IF(R9&gt;=0.8,50,IF(R9&gt;=0.5,30,IF(R9&gt;=0.01,10,0))))</f>
        <v>30</v>
      </c>
      <c r="T9" s="4" t="n">
        <f aca="false">IF(TRIM(AI9)="Yes",2.5,0)</f>
        <v>0</v>
      </c>
      <c r="U9" s="4" t="n">
        <f aca="false">IF(TRIM(AJ9)="Yes",10,0)</f>
        <v>10</v>
      </c>
      <c r="V9" s="4" t="n">
        <f aca="false">IF(TRIM(AK9)="Yes",5,0)</f>
        <v>5</v>
      </c>
      <c r="W9" s="4" t="n">
        <f aca="false">IF(TRIM(AM9)="Yes",5,0)</f>
        <v>5</v>
      </c>
      <c r="X9" s="4" t="n">
        <f aca="false">IF(OR(TRIM(AN9)="Fully Available",TRIM(AN9)="Not Applicable"),5,IF(TRIM(AN9)="Partially Available",2.5,0))</f>
        <v>5</v>
      </c>
      <c r="Y9" s="4" t="n">
        <f aca="false">IF(TRIM(AO9)="Yes",5,0)</f>
        <v>5</v>
      </c>
      <c r="Z9" s="4" t="n">
        <f aca="false">IF(TRIM(AP9)="Yes",2.5,0)</f>
        <v>2.5</v>
      </c>
      <c r="AA9" s="4" t="n">
        <f aca="false">IF(TRIM(AQ9)="Yes",5,0)</f>
        <v>5</v>
      </c>
      <c r="AB9" s="4" t="n">
        <f aca="false">IF(OR(TRIM(AR9)="Yes",TRIM(AR9)="Not Applicable"),5,0)</f>
        <v>5</v>
      </c>
      <c r="AC9" s="4" t="n">
        <f aca="false">IF(TRIM(AS9)="Excellent",5,IF(TRIM(AS9)="Very Good",4,IF(TRIM(AS9)="Good",3,IF(TRIM(AS9)="Average",2,0))))</f>
        <v>4</v>
      </c>
      <c r="AD9" s="7" t="n">
        <f aca="false">IF(COUNT(S9:AC9)=0,"",SUM(S9:AC9))</f>
        <v>76.5</v>
      </c>
      <c r="AE9" s="7"/>
      <c r="AF9" s="8"/>
      <c r="AG9" s="5"/>
      <c r="AH9" s="4"/>
      <c r="AI9" s="4" t="s">
        <v>82</v>
      </c>
      <c r="AJ9" s="4" t="s">
        <v>62</v>
      </c>
      <c r="AK9" s="4" t="s">
        <v>62</v>
      </c>
      <c r="AL9" s="4" t="s">
        <v>63</v>
      </c>
      <c r="AM9" s="4" t="s">
        <v>62</v>
      </c>
      <c r="AN9" s="4" t="s">
        <v>64</v>
      </c>
      <c r="AO9" s="4" t="s">
        <v>62</v>
      </c>
      <c r="AP9" s="4" t="s">
        <v>62</v>
      </c>
      <c r="AQ9" s="4" t="s">
        <v>62</v>
      </c>
      <c r="AR9" s="4" t="s">
        <v>73</v>
      </c>
      <c r="AS9" s="4" t="s">
        <v>74</v>
      </c>
      <c r="AT9" s="4" t="n">
        <v>2</v>
      </c>
      <c r="AU9" s="4" t="s">
        <v>66</v>
      </c>
      <c r="AV9" s="4" t="s">
        <v>91</v>
      </c>
      <c r="AW9" s="4" t="s">
        <v>101</v>
      </c>
      <c r="AX9" s="4" t="s">
        <v>102</v>
      </c>
      <c r="AY9" s="4" t="n">
        <v>10</v>
      </c>
      <c r="AZ9" s="4" t="s">
        <v>62</v>
      </c>
      <c r="BA9" s="4" t="s">
        <v>99</v>
      </c>
      <c r="BB9" s="4" t="s">
        <v>59</v>
      </c>
      <c r="BC9" s="6" t="n">
        <v>0.7143</v>
      </c>
      <c r="BD9" s="4" t="n">
        <v>83</v>
      </c>
    </row>
    <row r="10" customFormat="false" ht="157.45" hidden="false" customHeight="false" outlineLevel="0" collapsed="false">
      <c r="A10" s="4" t="n">
        <v>6</v>
      </c>
      <c r="B10" s="4" t="s">
        <v>56</v>
      </c>
      <c r="C10" s="4" t="s">
        <v>57</v>
      </c>
      <c r="D10" s="4" t="s">
        <v>58</v>
      </c>
      <c r="E10" s="4" t="s">
        <v>59</v>
      </c>
      <c r="F10" s="4" t="n">
        <v>1011</v>
      </c>
      <c r="G10" s="5" t="s">
        <v>103</v>
      </c>
      <c r="H10" s="5" t="s">
        <v>104</v>
      </c>
      <c r="I10" s="4"/>
      <c r="J10" s="4"/>
      <c r="K10" s="4"/>
      <c r="L10" s="4" t="n">
        <v>20</v>
      </c>
      <c r="M10" s="4" t="n">
        <v>20</v>
      </c>
      <c r="N10" s="4" t="n">
        <v>0</v>
      </c>
      <c r="O10" s="4" t="n">
        <v>7</v>
      </c>
      <c r="P10" s="4" t="n">
        <v>13</v>
      </c>
      <c r="Q10" s="4" t="n">
        <v>4</v>
      </c>
      <c r="R10" s="6" t="n">
        <f aca="false">IF(N(L10)=0,0,O10/L10)</f>
        <v>0.35</v>
      </c>
      <c r="S10" s="4" t="n">
        <f aca="false">IF(R10="","",IF(R10&gt;=0.8,50,IF(R10&gt;=0.5,30,IF(R10&gt;=0.01,10,0))))</f>
        <v>10</v>
      </c>
      <c r="T10" s="4" t="n">
        <f aca="false">IF(TRIM(AI10)="Yes",2.5,0)</f>
        <v>2.5</v>
      </c>
      <c r="U10" s="4" t="n">
        <f aca="false">IF(TRIM(AJ10)="Yes",10,0)</f>
        <v>10</v>
      </c>
      <c r="V10" s="4" t="n">
        <f aca="false">IF(TRIM(AK10)="Yes",5,0)</f>
        <v>5</v>
      </c>
      <c r="W10" s="4" t="n">
        <f aca="false">IF(TRIM(AM10)="Yes",5,0)</f>
        <v>5</v>
      </c>
      <c r="X10" s="4" t="n">
        <f aca="false">IF(OR(TRIM(AN10)="Fully Available",TRIM(AN10)="Not Applicable"),5,IF(TRIM(AN10)="Partially Available",2.5,0))</f>
        <v>5</v>
      </c>
      <c r="Y10" s="4" t="n">
        <f aca="false">IF(TRIM(AO10)="Yes",5,0)</f>
        <v>5</v>
      </c>
      <c r="Z10" s="4" t="n">
        <f aca="false">IF(TRIM(AP10)="Yes",2.5,0)</f>
        <v>2.5</v>
      </c>
      <c r="AA10" s="4" t="n">
        <f aca="false">IF(TRIM(AQ10)="Yes",5,0)</f>
        <v>5</v>
      </c>
      <c r="AB10" s="4" t="n">
        <f aca="false">IF(OR(TRIM(AR10)="Yes",TRIM(AR10)="Not Applicable"),5,0)</f>
        <v>5</v>
      </c>
      <c r="AC10" s="4" t="n">
        <f aca="false">IF(TRIM(AS10)="Excellent",5,IF(TRIM(AS10)="Very Good",4,IF(TRIM(AS10)="Good",3,IF(TRIM(AS10)="Average",2,0))))</f>
        <v>4</v>
      </c>
      <c r="AD10" s="7" t="n">
        <f aca="false">IF(COUNT(S10:AC10)=0,"",SUM(S10:AC10))</f>
        <v>59</v>
      </c>
      <c r="AE10" s="7" t="n">
        <f aca="false">IF(COUNTIF($F$2:F10,F10)=1,IFERROR(AVERAGEIF($F:$F,F10,$AD:$AD),""),"")</f>
        <v>61.8571428571429</v>
      </c>
      <c r="AF10" s="8" t="str">
        <f aca="false">IF(AH10&lt;&gt;"",AH10,IF(AE10="","",IF(AE10&gt;=80,"Excellent",IF(AE10&gt;=70,"Very Good",IF(AE10&gt;=60,"Good",IF(AE10&gt;=50,"Average","Poor"))))))</f>
        <v>Good</v>
      </c>
      <c r="AG10" s="5"/>
      <c r="AH10" s="4"/>
      <c r="AI10" s="4" t="s">
        <v>62</v>
      </c>
      <c r="AJ10" s="4" t="s">
        <v>62</v>
      </c>
      <c r="AK10" s="4" t="s">
        <v>62</v>
      </c>
      <c r="AL10" s="4" t="s">
        <v>63</v>
      </c>
      <c r="AM10" s="4" t="s">
        <v>62</v>
      </c>
      <c r="AN10" s="4" t="s">
        <v>64</v>
      </c>
      <c r="AO10" s="4" t="s">
        <v>62</v>
      </c>
      <c r="AP10" s="4" t="s">
        <v>62</v>
      </c>
      <c r="AQ10" s="4" t="s">
        <v>62</v>
      </c>
      <c r="AR10" s="4" t="s">
        <v>73</v>
      </c>
      <c r="AS10" s="4" t="s">
        <v>74</v>
      </c>
      <c r="AT10" s="4" t="n">
        <v>5</v>
      </c>
      <c r="AU10" s="4" t="s">
        <v>66</v>
      </c>
      <c r="AV10" s="4" t="s">
        <v>91</v>
      </c>
      <c r="AW10" s="4" t="s">
        <v>105</v>
      </c>
      <c r="AX10" s="4" t="s">
        <v>106</v>
      </c>
      <c r="AY10" s="4" t="n">
        <v>6</v>
      </c>
      <c r="AZ10" s="4" t="s">
        <v>62</v>
      </c>
      <c r="BA10" s="4" t="s">
        <v>107</v>
      </c>
      <c r="BB10" s="4" t="s">
        <v>59</v>
      </c>
      <c r="BC10" s="6" t="n">
        <v>0.5714</v>
      </c>
      <c r="BD10" s="4" t="n">
        <v>71</v>
      </c>
    </row>
    <row r="11" customFormat="false" ht="157.45" hidden="false" customHeight="false" outlineLevel="0" collapsed="false">
      <c r="A11" s="4"/>
      <c r="B11" s="4" t="s">
        <v>56</v>
      </c>
      <c r="C11" s="4" t="s">
        <v>57</v>
      </c>
      <c r="D11" s="4" t="s">
        <v>58</v>
      </c>
      <c r="E11" s="4" t="s">
        <v>59</v>
      </c>
      <c r="F11" s="4" t="n">
        <v>1011</v>
      </c>
      <c r="G11" s="5" t="s">
        <v>103</v>
      </c>
      <c r="H11" s="5" t="s">
        <v>108</v>
      </c>
      <c r="I11" s="4"/>
      <c r="J11" s="4"/>
      <c r="K11" s="4"/>
      <c r="L11" s="4" t="n">
        <v>20</v>
      </c>
      <c r="M11" s="4" t="n">
        <v>20</v>
      </c>
      <c r="N11" s="4" t="n">
        <v>0</v>
      </c>
      <c r="O11" s="4" t="n">
        <v>8</v>
      </c>
      <c r="P11" s="4" t="n">
        <v>12</v>
      </c>
      <c r="Q11" s="4" t="n">
        <v>4</v>
      </c>
      <c r="R11" s="6" t="n">
        <f aca="false">IF(N(L11)=0,0,O11/L11)</f>
        <v>0.4</v>
      </c>
      <c r="S11" s="4" t="n">
        <f aca="false">IF(R11="","",IF(R11&gt;=0.8,50,IF(R11&gt;=0.5,30,IF(R11&gt;=0.01,10,0))))</f>
        <v>10</v>
      </c>
      <c r="T11" s="4" t="n">
        <f aca="false">IF(TRIM(AI11)="Yes",2.5,0)</f>
        <v>2.5</v>
      </c>
      <c r="U11" s="4" t="n">
        <f aca="false">IF(TRIM(AJ11)="Yes",10,0)</f>
        <v>10</v>
      </c>
      <c r="V11" s="4" t="n">
        <f aca="false">IF(TRIM(AK11)="Yes",5,0)</f>
        <v>5</v>
      </c>
      <c r="W11" s="4" t="n">
        <f aca="false">IF(TRIM(AM11)="Yes",5,0)</f>
        <v>5</v>
      </c>
      <c r="X11" s="4" t="n">
        <f aca="false">IF(OR(TRIM(AN11)="Fully Available",TRIM(AN11)="Not Applicable"),5,IF(TRIM(AN11)="Partially Available",2.5,0))</f>
        <v>5</v>
      </c>
      <c r="Y11" s="4" t="n">
        <f aca="false">IF(TRIM(AO11)="Yes",5,0)</f>
        <v>5</v>
      </c>
      <c r="Z11" s="4" t="n">
        <f aca="false">IF(TRIM(AP11)="Yes",2.5,0)</f>
        <v>2.5</v>
      </c>
      <c r="AA11" s="4" t="n">
        <f aca="false">IF(TRIM(AQ11)="Yes",5,0)</f>
        <v>5</v>
      </c>
      <c r="AB11" s="4" t="n">
        <f aca="false">IF(OR(TRIM(AR11)="Yes",TRIM(AR11)="Not Applicable"),5,0)</f>
        <v>5</v>
      </c>
      <c r="AC11" s="4" t="n">
        <f aca="false">IF(TRIM(AS11)="Excellent",5,IF(TRIM(AS11)="Very Good",4,IF(TRIM(AS11)="Good",3,IF(TRIM(AS11)="Average",2,0))))</f>
        <v>4</v>
      </c>
      <c r="AD11" s="7" t="n">
        <f aca="false">IF(COUNT(S11:AC11)=0,"",SUM(S11:AC11))</f>
        <v>59</v>
      </c>
      <c r="AE11" s="7"/>
      <c r="AF11" s="8"/>
      <c r="AG11" s="5"/>
      <c r="AH11" s="4"/>
      <c r="AI11" s="4" t="s">
        <v>62</v>
      </c>
      <c r="AJ11" s="4" t="s">
        <v>62</v>
      </c>
      <c r="AK11" s="4" t="s">
        <v>62</v>
      </c>
      <c r="AL11" s="4" t="s">
        <v>63</v>
      </c>
      <c r="AM11" s="4" t="s">
        <v>62</v>
      </c>
      <c r="AN11" s="4" t="s">
        <v>64</v>
      </c>
      <c r="AO11" s="4" t="s">
        <v>62</v>
      </c>
      <c r="AP11" s="4" t="s">
        <v>62</v>
      </c>
      <c r="AQ11" s="4" t="s">
        <v>62</v>
      </c>
      <c r="AR11" s="4" t="s">
        <v>73</v>
      </c>
      <c r="AS11" s="4" t="s">
        <v>74</v>
      </c>
      <c r="AT11" s="4" t="n">
        <v>6</v>
      </c>
      <c r="AU11" s="4" t="s">
        <v>66</v>
      </c>
      <c r="AV11" s="4" t="s">
        <v>91</v>
      </c>
      <c r="AW11" s="4" t="s">
        <v>109</v>
      </c>
      <c r="AX11" s="4" t="s">
        <v>110</v>
      </c>
      <c r="AY11" s="4" t="n">
        <v>9</v>
      </c>
      <c r="AZ11" s="4" t="s">
        <v>62</v>
      </c>
      <c r="BA11" s="4" t="s">
        <v>107</v>
      </c>
      <c r="BB11" s="4" t="s">
        <v>59</v>
      </c>
      <c r="BC11" s="6" t="n">
        <v>0.5</v>
      </c>
      <c r="BD11" s="4" t="n">
        <v>71</v>
      </c>
    </row>
    <row r="12" customFormat="false" ht="157.45" hidden="false" customHeight="false" outlineLevel="0" collapsed="false">
      <c r="A12" s="4"/>
      <c r="B12" s="4" t="s">
        <v>56</v>
      </c>
      <c r="C12" s="4" t="s">
        <v>57</v>
      </c>
      <c r="D12" s="4" t="s">
        <v>58</v>
      </c>
      <c r="E12" s="4" t="s">
        <v>59</v>
      </c>
      <c r="F12" s="4" t="n">
        <v>1011</v>
      </c>
      <c r="G12" s="5" t="s">
        <v>103</v>
      </c>
      <c r="H12" s="5" t="s">
        <v>111</v>
      </c>
      <c r="I12" s="4"/>
      <c r="J12" s="4"/>
      <c r="K12" s="4"/>
      <c r="L12" s="4" t="n">
        <v>20</v>
      </c>
      <c r="M12" s="4" t="n">
        <v>20</v>
      </c>
      <c r="N12" s="4" t="n">
        <v>0</v>
      </c>
      <c r="O12" s="4" t="n">
        <v>5</v>
      </c>
      <c r="P12" s="4" t="n">
        <v>15</v>
      </c>
      <c r="Q12" s="4" t="n">
        <v>4</v>
      </c>
      <c r="R12" s="6" t="n">
        <f aca="false">IF(N(L12)=0,0,O12/L12)</f>
        <v>0.25</v>
      </c>
      <c r="S12" s="4" t="n">
        <f aca="false">IF(R12="","",IF(R12&gt;=0.8,50,IF(R12&gt;=0.5,30,IF(R12&gt;=0.01,10,0))))</f>
        <v>10</v>
      </c>
      <c r="T12" s="4" t="n">
        <f aca="false">IF(TRIM(AI12)="Yes",2.5,0)</f>
        <v>2.5</v>
      </c>
      <c r="U12" s="4" t="n">
        <f aca="false">IF(TRIM(AJ12)="Yes",10,0)</f>
        <v>10</v>
      </c>
      <c r="V12" s="4" t="n">
        <f aca="false">IF(TRIM(AK12)="Yes",5,0)</f>
        <v>5</v>
      </c>
      <c r="W12" s="4" t="n">
        <f aca="false">IF(TRIM(AM12)="Yes",5,0)</f>
        <v>5</v>
      </c>
      <c r="X12" s="4" t="n">
        <f aca="false">IF(OR(TRIM(AN12)="Fully Available",TRIM(AN12)="Not Applicable"),5,IF(TRIM(AN12)="Partially Available",2.5,0))</f>
        <v>5</v>
      </c>
      <c r="Y12" s="4" t="n">
        <f aca="false">IF(TRIM(AO12)="Yes",5,0)</f>
        <v>5</v>
      </c>
      <c r="Z12" s="4" t="n">
        <f aca="false">IF(TRIM(AP12)="Yes",2.5,0)</f>
        <v>2.5</v>
      </c>
      <c r="AA12" s="4" t="n">
        <f aca="false">IF(TRIM(AQ12)="Yes",5,0)</f>
        <v>5</v>
      </c>
      <c r="AB12" s="4" t="n">
        <f aca="false">IF(OR(TRIM(AR12)="Yes",TRIM(AR12)="Not Applicable"),5,0)</f>
        <v>5</v>
      </c>
      <c r="AC12" s="4" t="n">
        <f aca="false">IF(TRIM(AS12)="Excellent",5,IF(TRIM(AS12)="Very Good",4,IF(TRIM(AS12)="Good",3,IF(TRIM(AS12)="Average",2,0))))</f>
        <v>4</v>
      </c>
      <c r="AD12" s="7" t="n">
        <f aca="false">IF(COUNT(S12:AC12)=0,"",SUM(S12:AC12))</f>
        <v>59</v>
      </c>
      <c r="AE12" s="7"/>
      <c r="AF12" s="8"/>
      <c r="AG12" s="5"/>
      <c r="AH12" s="4"/>
      <c r="AI12" s="4" t="s">
        <v>62</v>
      </c>
      <c r="AJ12" s="4" t="s">
        <v>62</v>
      </c>
      <c r="AK12" s="4" t="s">
        <v>62</v>
      </c>
      <c r="AL12" s="4" t="s">
        <v>63</v>
      </c>
      <c r="AM12" s="4" t="s">
        <v>62</v>
      </c>
      <c r="AN12" s="4" t="s">
        <v>64</v>
      </c>
      <c r="AO12" s="4" t="s">
        <v>62</v>
      </c>
      <c r="AP12" s="4" t="s">
        <v>62</v>
      </c>
      <c r="AQ12" s="4" t="s">
        <v>62</v>
      </c>
      <c r="AR12" s="4" t="s">
        <v>73</v>
      </c>
      <c r="AS12" s="4" t="s">
        <v>74</v>
      </c>
      <c r="AT12" s="4" t="n">
        <v>4</v>
      </c>
      <c r="AU12" s="4" t="s">
        <v>112</v>
      </c>
      <c r="AV12" s="4" t="s">
        <v>91</v>
      </c>
      <c r="AW12" s="4" t="s">
        <v>113</v>
      </c>
      <c r="AX12" s="4" t="s">
        <v>114</v>
      </c>
      <c r="AY12" s="4" t="n">
        <v>2</v>
      </c>
      <c r="AZ12" s="4" t="s">
        <v>62</v>
      </c>
      <c r="BA12" s="4" t="s">
        <v>107</v>
      </c>
      <c r="BB12" s="4" t="s">
        <v>59</v>
      </c>
      <c r="BC12" s="6" t="n">
        <v>0.8</v>
      </c>
      <c r="BD12" s="4" t="n">
        <v>71</v>
      </c>
    </row>
    <row r="13" customFormat="false" ht="157.45" hidden="false" customHeight="false" outlineLevel="0" collapsed="false">
      <c r="A13" s="4"/>
      <c r="B13" s="4" t="s">
        <v>56</v>
      </c>
      <c r="C13" s="4" t="s">
        <v>57</v>
      </c>
      <c r="D13" s="4" t="s">
        <v>58</v>
      </c>
      <c r="E13" s="4" t="s">
        <v>59</v>
      </c>
      <c r="F13" s="4" t="n">
        <v>1011</v>
      </c>
      <c r="G13" s="5" t="s">
        <v>103</v>
      </c>
      <c r="H13" s="5" t="s">
        <v>115</v>
      </c>
      <c r="I13" s="4"/>
      <c r="J13" s="4"/>
      <c r="K13" s="4"/>
      <c r="L13" s="4" t="n">
        <v>20</v>
      </c>
      <c r="M13" s="4" t="n">
        <v>20</v>
      </c>
      <c r="N13" s="4" t="n">
        <v>0</v>
      </c>
      <c r="O13" s="4" t="n">
        <v>6</v>
      </c>
      <c r="P13" s="4" t="n">
        <v>14</v>
      </c>
      <c r="Q13" s="4" t="n">
        <v>4</v>
      </c>
      <c r="R13" s="6" t="n">
        <f aca="false">IF(N(L13)=0,0,O13/L13)</f>
        <v>0.3</v>
      </c>
      <c r="S13" s="4" t="n">
        <f aca="false">IF(R13="","",IF(R13&gt;=0.8,50,IF(R13&gt;=0.5,30,IF(R13&gt;=0.01,10,0))))</f>
        <v>10</v>
      </c>
      <c r="T13" s="4" t="n">
        <f aca="false">IF(TRIM(AI13)="Yes",2.5,0)</f>
        <v>2.5</v>
      </c>
      <c r="U13" s="4" t="n">
        <f aca="false">IF(TRIM(AJ13)="Yes",10,0)</f>
        <v>10</v>
      </c>
      <c r="V13" s="4" t="n">
        <f aca="false">IF(TRIM(AK13)="Yes",5,0)</f>
        <v>5</v>
      </c>
      <c r="W13" s="4" t="n">
        <f aca="false">IF(TRIM(AM13)="Yes",5,0)</f>
        <v>5</v>
      </c>
      <c r="X13" s="4" t="n">
        <f aca="false">IF(OR(TRIM(AN13)="Fully Available",TRIM(AN13)="Not Applicable"),5,IF(TRIM(AN13)="Partially Available",2.5,0))</f>
        <v>5</v>
      </c>
      <c r="Y13" s="4" t="n">
        <f aca="false">IF(TRIM(AO13)="Yes",5,0)</f>
        <v>5</v>
      </c>
      <c r="Z13" s="4" t="n">
        <f aca="false">IF(TRIM(AP13)="Yes",2.5,0)</f>
        <v>2.5</v>
      </c>
      <c r="AA13" s="4" t="n">
        <f aca="false">IF(TRIM(AQ13)="Yes",5,0)</f>
        <v>5</v>
      </c>
      <c r="AB13" s="4" t="n">
        <f aca="false">IF(OR(TRIM(AR13)="Yes",TRIM(AR13)="Not Applicable"),5,0)</f>
        <v>5</v>
      </c>
      <c r="AC13" s="4" t="n">
        <f aca="false">IF(TRIM(AS13)="Excellent",5,IF(TRIM(AS13)="Very Good",4,IF(TRIM(AS13)="Good",3,IF(TRIM(AS13)="Average",2,0))))</f>
        <v>4</v>
      </c>
      <c r="AD13" s="7" t="n">
        <f aca="false">IF(COUNT(S13:AC13)=0,"",SUM(S13:AC13))</f>
        <v>59</v>
      </c>
      <c r="AE13" s="7"/>
      <c r="AF13" s="8"/>
      <c r="AG13" s="5"/>
      <c r="AH13" s="4"/>
      <c r="AI13" s="4" t="s">
        <v>62</v>
      </c>
      <c r="AJ13" s="4" t="s">
        <v>62</v>
      </c>
      <c r="AK13" s="4" t="s">
        <v>62</v>
      </c>
      <c r="AL13" s="4" t="s">
        <v>63</v>
      </c>
      <c r="AM13" s="4" t="s">
        <v>62</v>
      </c>
      <c r="AN13" s="4" t="s">
        <v>64</v>
      </c>
      <c r="AO13" s="4" t="s">
        <v>62</v>
      </c>
      <c r="AP13" s="4" t="s">
        <v>62</v>
      </c>
      <c r="AQ13" s="4" t="s">
        <v>62</v>
      </c>
      <c r="AR13" s="4" t="s">
        <v>73</v>
      </c>
      <c r="AS13" s="4" t="s">
        <v>74</v>
      </c>
      <c r="AT13" s="4" t="n">
        <v>7</v>
      </c>
      <c r="AU13" s="4" t="s">
        <v>66</v>
      </c>
      <c r="AV13" s="4" t="s">
        <v>91</v>
      </c>
      <c r="AW13" s="4" t="s">
        <v>116</v>
      </c>
      <c r="AX13" s="4" t="s">
        <v>117</v>
      </c>
      <c r="AY13" s="4" t="n">
        <v>5</v>
      </c>
      <c r="AZ13" s="4" t="s">
        <v>62</v>
      </c>
      <c r="BA13" s="4" t="s">
        <v>107</v>
      </c>
      <c r="BB13" s="4" t="s">
        <v>59</v>
      </c>
      <c r="BC13" s="6" t="n">
        <v>0.6667</v>
      </c>
      <c r="BD13" s="4" t="n">
        <v>71</v>
      </c>
    </row>
    <row r="14" customFormat="false" ht="157.45" hidden="false" customHeight="false" outlineLevel="0" collapsed="false">
      <c r="A14" s="4"/>
      <c r="B14" s="4" t="s">
        <v>56</v>
      </c>
      <c r="C14" s="4" t="s">
        <v>57</v>
      </c>
      <c r="D14" s="4" t="s">
        <v>58</v>
      </c>
      <c r="E14" s="4" t="s">
        <v>59</v>
      </c>
      <c r="F14" s="4" t="n">
        <v>1011</v>
      </c>
      <c r="G14" s="5" t="s">
        <v>103</v>
      </c>
      <c r="H14" s="5" t="s">
        <v>118</v>
      </c>
      <c r="I14" s="4"/>
      <c r="J14" s="4"/>
      <c r="K14" s="4"/>
      <c r="L14" s="4" t="n">
        <v>20</v>
      </c>
      <c r="M14" s="4" t="n">
        <v>20</v>
      </c>
      <c r="N14" s="4" t="n">
        <v>0</v>
      </c>
      <c r="O14" s="4" t="n">
        <v>6</v>
      </c>
      <c r="P14" s="4" t="n">
        <v>14</v>
      </c>
      <c r="Q14" s="4" t="n">
        <v>4</v>
      </c>
      <c r="R14" s="6" t="n">
        <f aca="false">IF(N(L14)=0,0,O14/L14)</f>
        <v>0.3</v>
      </c>
      <c r="S14" s="4" t="n">
        <f aca="false">IF(R14="","",IF(R14&gt;=0.8,50,IF(R14&gt;=0.5,30,IF(R14&gt;=0.01,10,0))))</f>
        <v>10</v>
      </c>
      <c r="T14" s="4" t="n">
        <f aca="false">IF(TRIM(AI14)="Yes",2.5,0)</f>
        <v>2.5</v>
      </c>
      <c r="U14" s="4" t="n">
        <f aca="false">IF(TRIM(AJ14)="Yes",10,0)</f>
        <v>10</v>
      </c>
      <c r="V14" s="4" t="n">
        <f aca="false">IF(TRIM(AK14)="Yes",5,0)</f>
        <v>5</v>
      </c>
      <c r="W14" s="4" t="n">
        <f aca="false">IF(TRIM(AM14)="Yes",5,0)</f>
        <v>5</v>
      </c>
      <c r="X14" s="4" t="n">
        <f aca="false">IF(OR(TRIM(AN14)="Fully Available",TRIM(AN14)="Not Applicable"),5,IF(TRIM(AN14)="Partially Available",2.5,0))</f>
        <v>5</v>
      </c>
      <c r="Y14" s="4" t="n">
        <f aca="false">IF(TRIM(AO14)="Yes",5,0)</f>
        <v>5</v>
      </c>
      <c r="Z14" s="4" t="n">
        <f aca="false">IF(TRIM(AP14)="Yes",2.5,0)</f>
        <v>2.5</v>
      </c>
      <c r="AA14" s="4" t="n">
        <f aca="false">IF(TRIM(AQ14)="Yes",5,0)</f>
        <v>5</v>
      </c>
      <c r="AB14" s="4" t="n">
        <f aca="false">IF(OR(TRIM(AR14)="Yes",TRIM(AR14)="Not Applicable"),5,0)</f>
        <v>5</v>
      </c>
      <c r="AC14" s="4" t="n">
        <f aca="false">IF(TRIM(AS14)="Excellent",5,IF(TRIM(AS14)="Very Good",4,IF(TRIM(AS14)="Good",3,IF(TRIM(AS14)="Average",2,0))))</f>
        <v>4</v>
      </c>
      <c r="AD14" s="7" t="n">
        <f aca="false">IF(COUNT(S14:AC14)=0,"",SUM(S14:AC14))</f>
        <v>59</v>
      </c>
      <c r="AE14" s="7"/>
      <c r="AF14" s="8"/>
      <c r="AG14" s="5"/>
      <c r="AH14" s="4"/>
      <c r="AI14" s="4" t="s">
        <v>62</v>
      </c>
      <c r="AJ14" s="4" t="s">
        <v>62</v>
      </c>
      <c r="AK14" s="4" t="s">
        <v>62</v>
      </c>
      <c r="AL14" s="4" t="s">
        <v>63</v>
      </c>
      <c r="AM14" s="4" t="s">
        <v>62</v>
      </c>
      <c r="AN14" s="4" t="s">
        <v>64</v>
      </c>
      <c r="AO14" s="4" t="s">
        <v>62</v>
      </c>
      <c r="AP14" s="4" t="s">
        <v>62</v>
      </c>
      <c r="AQ14" s="4" t="s">
        <v>62</v>
      </c>
      <c r="AR14" s="4" t="s">
        <v>73</v>
      </c>
      <c r="AS14" s="4" t="s">
        <v>74</v>
      </c>
      <c r="AT14" s="4" t="n">
        <v>6</v>
      </c>
      <c r="AU14" s="4" t="s">
        <v>112</v>
      </c>
      <c r="AV14" s="4" t="s">
        <v>91</v>
      </c>
      <c r="AW14" s="4" t="s">
        <v>119</v>
      </c>
      <c r="AX14" s="4" t="s">
        <v>120</v>
      </c>
      <c r="AY14" s="4" t="n">
        <v>5</v>
      </c>
      <c r="AZ14" s="4" t="s">
        <v>62</v>
      </c>
      <c r="BA14" s="4" t="s">
        <v>107</v>
      </c>
      <c r="BB14" s="4" t="s">
        <v>59</v>
      </c>
      <c r="BC14" s="6" t="n">
        <v>0.6667</v>
      </c>
      <c r="BD14" s="4" t="n">
        <v>71</v>
      </c>
    </row>
    <row r="15" customFormat="false" ht="157.45" hidden="false" customHeight="false" outlineLevel="0" collapsed="false">
      <c r="A15" s="4"/>
      <c r="B15" s="4" t="s">
        <v>56</v>
      </c>
      <c r="C15" s="4" t="s">
        <v>57</v>
      </c>
      <c r="D15" s="4" t="s">
        <v>58</v>
      </c>
      <c r="E15" s="4" t="s">
        <v>59</v>
      </c>
      <c r="F15" s="4" t="n">
        <v>1011</v>
      </c>
      <c r="G15" s="5" t="s">
        <v>103</v>
      </c>
      <c r="H15" s="5" t="s">
        <v>121</v>
      </c>
      <c r="I15" s="4"/>
      <c r="J15" s="4"/>
      <c r="K15" s="4"/>
      <c r="L15" s="4" t="n">
        <v>20</v>
      </c>
      <c r="M15" s="4" t="n">
        <v>20</v>
      </c>
      <c r="N15" s="4" t="n">
        <v>0</v>
      </c>
      <c r="O15" s="4" t="n">
        <v>15</v>
      </c>
      <c r="P15" s="4" t="n">
        <v>5</v>
      </c>
      <c r="Q15" s="4" t="n">
        <v>10</v>
      </c>
      <c r="R15" s="6" t="n">
        <f aca="false">IF(N(L15)=0,0,O15/L15)</f>
        <v>0.75</v>
      </c>
      <c r="S15" s="4" t="n">
        <f aca="false">IF(R15="","",IF(R15&gt;=0.8,50,IF(R15&gt;=0.5,30,IF(R15&gt;=0.01,10,0))))</f>
        <v>30</v>
      </c>
      <c r="T15" s="4" t="n">
        <f aca="false">IF(TRIM(AI15)="Yes",2.5,0)</f>
        <v>2.5</v>
      </c>
      <c r="U15" s="4" t="n">
        <f aca="false">IF(TRIM(AJ15)="Yes",10,0)</f>
        <v>10</v>
      </c>
      <c r="V15" s="4" t="n">
        <f aca="false">IF(TRIM(AK15)="Yes",5,0)</f>
        <v>5</v>
      </c>
      <c r="W15" s="4" t="n">
        <f aca="false">IF(TRIM(AM15)="Yes",5,0)</f>
        <v>5</v>
      </c>
      <c r="X15" s="4" t="n">
        <f aca="false">IF(OR(TRIM(AN15)="Fully Available",TRIM(AN15)="Not Applicable"),5,IF(TRIM(AN15)="Partially Available",2.5,0))</f>
        <v>5</v>
      </c>
      <c r="Y15" s="4" t="n">
        <f aca="false">IF(TRIM(AO15)="Yes",5,0)</f>
        <v>5</v>
      </c>
      <c r="Z15" s="4" t="n">
        <f aca="false">IF(TRIM(AP15)="Yes",2.5,0)</f>
        <v>2.5</v>
      </c>
      <c r="AA15" s="4" t="n">
        <f aca="false">IF(TRIM(AQ15)="Yes",5,0)</f>
        <v>5</v>
      </c>
      <c r="AB15" s="4" t="n">
        <f aca="false">IF(OR(TRIM(AR15)="Yes",TRIM(AR15)="Not Applicable"),5,0)</f>
        <v>5</v>
      </c>
      <c r="AC15" s="4" t="n">
        <f aca="false">IF(TRIM(AS15)="Excellent",5,IF(TRIM(AS15)="Very Good",4,IF(TRIM(AS15)="Good",3,IF(TRIM(AS15)="Average",2,0))))</f>
        <v>4</v>
      </c>
      <c r="AD15" s="7" t="n">
        <f aca="false">IF(COUNT(S15:AC15)=0,"",SUM(S15:AC15))</f>
        <v>79</v>
      </c>
      <c r="AE15" s="7"/>
      <c r="AF15" s="8"/>
      <c r="AG15" s="5"/>
      <c r="AH15" s="4"/>
      <c r="AI15" s="4" t="s">
        <v>62</v>
      </c>
      <c r="AJ15" s="4" t="s">
        <v>62</v>
      </c>
      <c r="AK15" s="4" t="s">
        <v>62</v>
      </c>
      <c r="AL15" s="4" t="s">
        <v>63</v>
      </c>
      <c r="AM15" s="4" t="s">
        <v>62</v>
      </c>
      <c r="AN15" s="4" t="s">
        <v>64</v>
      </c>
      <c r="AO15" s="4" t="s">
        <v>62</v>
      </c>
      <c r="AP15" s="4" t="s">
        <v>62</v>
      </c>
      <c r="AQ15" s="4" t="s">
        <v>62</v>
      </c>
      <c r="AR15" s="4" t="s">
        <v>73</v>
      </c>
      <c r="AS15" s="4" t="s">
        <v>74</v>
      </c>
      <c r="AT15" s="4" t="n">
        <v>6</v>
      </c>
      <c r="AU15" s="4" t="s">
        <v>112</v>
      </c>
      <c r="AV15" s="4" t="s">
        <v>91</v>
      </c>
      <c r="AW15" s="4" t="s">
        <v>122</v>
      </c>
      <c r="AX15" s="4" t="s">
        <v>123</v>
      </c>
      <c r="AY15" s="4" t="n">
        <v>16</v>
      </c>
      <c r="AZ15" s="4" t="s">
        <v>62</v>
      </c>
      <c r="BA15" s="4" t="s">
        <v>107</v>
      </c>
      <c r="BB15" s="4" t="s">
        <v>59</v>
      </c>
      <c r="BC15" s="6" t="n">
        <v>0.6667</v>
      </c>
      <c r="BD15" s="4" t="n">
        <v>71</v>
      </c>
    </row>
    <row r="16" customFormat="false" ht="157.45" hidden="false" customHeight="false" outlineLevel="0" collapsed="false">
      <c r="A16" s="4"/>
      <c r="B16" s="4" t="s">
        <v>56</v>
      </c>
      <c r="C16" s="4" t="s">
        <v>57</v>
      </c>
      <c r="D16" s="4" t="s">
        <v>58</v>
      </c>
      <c r="E16" s="4" t="s">
        <v>59</v>
      </c>
      <c r="F16" s="4" t="n">
        <v>1011</v>
      </c>
      <c r="G16" s="5" t="s">
        <v>103</v>
      </c>
      <c r="H16" s="5" t="s">
        <v>124</v>
      </c>
      <c r="I16" s="4"/>
      <c r="J16" s="4"/>
      <c r="K16" s="4"/>
      <c r="L16" s="4" t="n">
        <v>20</v>
      </c>
      <c r="M16" s="4" t="n">
        <v>20</v>
      </c>
      <c r="N16" s="4" t="n">
        <v>0</v>
      </c>
      <c r="O16" s="4" t="n">
        <v>4</v>
      </c>
      <c r="P16" s="4" t="n">
        <v>16</v>
      </c>
      <c r="Q16" s="4" t="n">
        <v>3</v>
      </c>
      <c r="R16" s="6" t="n">
        <f aca="false">IF(N(L16)=0,0,O16/L16)</f>
        <v>0.2</v>
      </c>
      <c r="S16" s="4" t="n">
        <f aca="false">IF(R16="","",IF(R16&gt;=0.8,50,IF(R16&gt;=0.5,30,IF(R16&gt;=0.01,10,0))))</f>
        <v>10</v>
      </c>
      <c r="T16" s="4" t="n">
        <f aca="false">IF(TRIM(AI16)="Yes",2.5,0)</f>
        <v>2.5</v>
      </c>
      <c r="U16" s="4" t="n">
        <f aca="false">IF(TRIM(AJ16)="Yes",10,0)</f>
        <v>10</v>
      </c>
      <c r="V16" s="4" t="n">
        <f aca="false">IF(TRIM(AK16)="Yes",5,0)</f>
        <v>5</v>
      </c>
      <c r="W16" s="4" t="n">
        <f aca="false">IF(TRIM(AM16)="Yes",5,0)</f>
        <v>5</v>
      </c>
      <c r="X16" s="4" t="n">
        <f aca="false">IF(OR(TRIM(AN16)="Fully Available",TRIM(AN16)="Not Applicable"),5,IF(TRIM(AN16)="Partially Available",2.5,0))</f>
        <v>5</v>
      </c>
      <c r="Y16" s="4" t="n">
        <f aca="false">IF(TRIM(AO16)="Yes",5,0)</f>
        <v>5</v>
      </c>
      <c r="Z16" s="4" t="n">
        <f aca="false">IF(TRIM(AP16)="Yes",2.5,0)</f>
        <v>2.5</v>
      </c>
      <c r="AA16" s="4" t="n">
        <f aca="false">IF(TRIM(AQ16)="Yes",5,0)</f>
        <v>5</v>
      </c>
      <c r="AB16" s="4" t="n">
        <f aca="false">IF(OR(TRIM(AR16)="Yes",TRIM(AR16)="Not Applicable"),5,0)</f>
        <v>5</v>
      </c>
      <c r="AC16" s="4" t="n">
        <f aca="false">IF(TRIM(AS16)="Excellent",5,IF(TRIM(AS16)="Very Good",4,IF(TRIM(AS16)="Good",3,IF(TRIM(AS16)="Average",2,0))))</f>
        <v>4</v>
      </c>
      <c r="AD16" s="7" t="n">
        <f aca="false">IF(COUNT(S16:AC16)=0,"",SUM(S16:AC16))</f>
        <v>59</v>
      </c>
      <c r="AE16" s="7"/>
      <c r="AF16" s="8"/>
      <c r="AG16" s="5"/>
      <c r="AH16" s="4"/>
      <c r="AI16" s="4" t="s">
        <v>62</v>
      </c>
      <c r="AJ16" s="4" t="s">
        <v>62</v>
      </c>
      <c r="AK16" s="4" t="s">
        <v>62</v>
      </c>
      <c r="AL16" s="4" t="s">
        <v>63</v>
      </c>
      <c r="AM16" s="4" t="s">
        <v>62</v>
      </c>
      <c r="AN16" s="4" t="s">
        <v>64</v>
      </c>
      <c r="AO16" s="4" t="s">
        <v>62</v>
      </c>
      <c r="AP16" s="4" t="s">
        <v>62</v>
      </c>
      <c r="AQ16" s="4" t="s">
        <v>62</v>
      </c>
      <c r="AR16" s="4" t="s">
        <v>73</v>
      </c>
      <c r="AS16" s="4" t="s">
        <v>74</v>
      </c>
      <c r="AT16" s="4" t="n">
        <v>4</v>
      </c>
      <c r="AU16" s="4" t="s">
        <v>112</v>
      </c>
      <c r="AV16" s="4" t="s">
        <v>91</v>
      </c>
      <c r="AW16" s="4" t="s">
        <v>125</v>
      </c>
      <c r="AX16" s="4" t="s">
        <v>106</v>
      </c>
      <c r="AY16" s="4" t="n">
        <v>15</v>
      </c>
      <c r="AZ16" s="4" t="s">
        <v>62</v>
      </c>
      <c r="BA16" s="4" t="s">
        <v>107</v>
      </c>
      <c r="BB16" s="4" t="s">
        <v>59</v>
      </c>
      <c r="BC16" s="6" t="n">
        <v>0.75</v>
      </c>
      <c r="BD16" s="4" t="n">
        <v>71</v>
      </c>
    </row>
    <row r="17" customFormat="false" ht="114.9" hidden="false" customHeight="false" outlineLevel="0" collapsed="false">
      <c r="A17" s="4" t="n">
        <v>7</v>
      </c>
      <c r="B17" s="4" t="s">
        <v>56</v>
      </c>
      <c r="C17" s="4" t="s">
        <v>57</v>
      </c>
      <c r="D17" s="4" t="s">
        <v>58</v>
      </c>
      <c r="E17" s="4" t="s">
        <v>59</v>
      </c>
      <c r="F17" s="4" t="n">
        <v>6253</v>
      </c>
      <c r="G17" s="5" t="s">
        <v>126</v>
      </c>
      <c r="H17" s="5" t="s">
        <v>127</v>
      </c>
      <c r="I17" s="4"/>
      <c r="J17" s="4"/>
      <c r="K17" s="4"/>
      <c r="L17" s="4" t="n">
        <v>20</v>
      </c>
      <c r="M17" s="4" t="n">
        <v>20</v>
      </c>
      <c r="N17" s="4" t="n">
        <v>0</v>
      </c>
      <c r="O17" s="4" t="n">
        <v>11</v>
      </c>
      <c r="P17" s="4" t="n">
        <v>9</v>
      </c>
      <c r="Q17" s="4" t="n">
        <v>8</v>
      </c>
      <c r="R17" s="6" t="n">
        <f aca="false">IF(N(L17)=0,0,O17/L17)</f>
        <v>0.55</v>
      </c>
      <c r="S17" s="4" t="n">
        <f aca="false">IF(R17="","",IF(R17&gt;=0.8,50,IF(R17&gt;=0.5,30,IF(R17&gt;=0.01,10,0))))</f>
        <v>30</v>
      </c>
      <c r="T17" s="4" t="n">
        <f aca="false">IF(TRIM(AI17)="Yes",2.5,0)</f>
        <v>0</v>
      </c>
      <c r="U17" s="4" t="n">
        <f aca="false">IF(TRIM(AJ17)="Yes",10,0)</f>
        <v>10</v>
      </c>
      <c r="V17" s="4" t="n">
        <f aca="false">IF(TRIM(AK17)="Yes",5,0)</f>
        <v>5</v>
      </c>
      <c r="W17" s="4" t="n">
        <f aca="false">IF(TRIM(AM17)="Yes",5,0)</f>
        <v>5</v>
      </c>
      <c r="X17" s="4" t="n">
        <f aca="false">IF(OR(TRIM(AN17)="Fully Available",TRIM(AN17)="Not Applicable"),5,IF(TRIM(AN17)="Partially Available",2.5,0))</f>
        <v>5</v>
      </c>
      <c r="Y17" s="4" t="n">
        <f aca="false">IF(TRIM(AO17)="Yes",5,0)</f>
        <v>5</v>
      </c>
      <c r="Z17" s="4" t="n">
        <f aca="false">IF(TRIM(AP17)="Yes",2.5,0)</f>
        <v>2.5</v>
      </c>
      <c r="AA17" s="4" t="n">
        <f aca="false">IF(TRIM(AQ17)="Yes",5,0)</f>
        <v>5</v>
      </c>
      <c r="AB17" s="4" t="n">
        <f aca="false">IF(OR(TRIM(AR17)="Yes",TRIM(AR17)="Not Applicable"),5,0)</f>
        <v>5</v>
      </c>
      <c r="AC17" s="4" t="n">
        <f aca="false">IF(TRIM(AS17)="Excellent",5,IF(TRIM(AS17)="Very Good",4,IF(TRIM(AS17)="Good",3,IF(TRIM(AS17)="Average",2,0))))</f>
        <v>4</v>
      </c>
      <c r="AD17" s="7" t="n">
        <f aca="false">IF(COUNT(S17:AC17)=0,"",SUM(S17:AC17))</f>
        <v>76.5</v>
      </c>
      <c r="AE17" s="7" t="n">
        <f aca="false">IF(COUNTIF($F$2:F17,F17)=1,IFERROR(AVERAGEIF($F:$F,F17,$AD:$AD),""),"")</f>
        <v>76.5</v>
      </c>
      <c r="AF17" s="8" t="str">
        <f aca="false">IF(AH17&lt;&gt;"",AH17,IF(AE17="","",IF(AE17&gt;=80,"Excellent",IF(AE17&gt;=70,"Very Good",IF(AE17&gt;=60,"Good",IF(AE17&gt;=50,"Average","Poor"))))))</f>
        <v>Very Good</v>
      </c>
      <c r="AG17" s="5"/>
      <c r="AH17" s="4"/>
      <c r="AI17" s="4" t="s">
        <v>82</v>
      </c>
      <c r="AJ17" s="4" t="s">
        <v>62</v>
      </c>
      <c r="AK17" s="4" t="s">
        <v>62</v>
      </c>
      <c r="AL17" s="4" t="s">
        <v>63</v>
      </c>
      <c r="AM17" s="4" t="s">
        <v>62</v>
      </c>
      <c r="AN17" s="4" t="s">
        <v>64</v>
      </c>
      <c r="AO17" s="4" t="s">
        <v>62</v>
      </c>
      <c r="AP17" s="4" t="s">
        <v>62</v>
      </c>
      <c r="AQ17" s="4" t="s">
        <v>62</v>
      </c>
      <c r="AR17" s="4" t="s">
        <v>62</v>
      </c>
      <c r="AS17" s="4" t="s">
        <v>74</v>
      </c>
      <c r="AT17" s="4" t="n">
        <v>3</v>
      </c>
      <c r="AU17" s="4" t="s">
        <v>66</v>
      </c>
      <c r="AV17" s="4" t="s">
        <v>128</v>
      </c>
      <c r="AW17" s="4" t="s">
        <v>129</v>
      </c>
      <c r="AX17" s="4" t="s">
        <v>130</v>
      </c>
      <c r="AY17" s="4" t="n">
        <v>6</v>
      </c>
      <c r="AZ17" s="4" t="s">
        <v>62</v>
      </c>
      <c r="BA17" s="4" t="s">
        <v>131</v>
      </c>
      <c r="BB17" s="4" t="s">
        <v>59</v>
      </c>
      <c r="BC17" s="6" t="n">
        <v>0.7273</v>
      </c>
      <c r="BD17" s="4" t="n">
        <v>87</v>
      </c>
    </row>
    <row r="18" customFormat="false" ht="171.6" hidden="false" customHeight="false" outlineLevel="0" collapsed="false">
      <c r="A18" s="4" t="n">
        <v>8</v>
      </c>
      <c r="B18" s="4" t="s">
        <v>56</v>
      </c>
      <c r="C18" s="4" t="s">
        <v>57</v>
      </c>
      <c r="D18" s="4" t="s">
        <v>58</v>
      </c>
      <c r="E18" s="4" t="s">
        <v>59</v>
      </c>
      <c r="F18" s="4" t="n">
        <v>3100</v>
      </c>
      <c r="G18" s="5" t="s">
        <v>132</v>
      </c>
      <c r="H18" s="5" t="s">
        <v>61</v>
      </c>
      <c r="I18" s="4"/>
      <c r="J18" s="4"/>
      <c r="K18" s="4"/>
      <c r="L18" s="4" t="n">
        <v>15</v>
      </c>
      <c r="M18" s="4" t="n">
        <v>15</v>
      </c>
      <c r="N18" s="4" t="n">
        <v>0</v>
      </c>
      <c r="O18" s="4" t="n">
        <v>14</v>
      </c>
      <c r="P18" s="4" t="n">
        <v>1</v>
      </c>
      <c r="Q18" s="4" t="n">
        <v>7</v>
      </c>
      <c r="R18" s="6" t="n">
        <f aca="false">IF(N(L18)=0,0,O18/L18)</f>
        <v>0.933333333333333</v>
      </c>
      <c r="S18" s="4" t="n">
        <f aca="false">IF(R18="","",IF(R18&gt;=0.8,50,IF(R18&gt;=0.5,30,IF(R18&gt;=0.01,10,0))))</f>
        <v>50</v>
      </c>
      <c r="T18" s="4" t="n">
        <f aca="false">IF(TRIM(AI18)="Yes",2.5,0)</f>
        <v>0</v>
      </c>
      <c r="U18" s="4" t="n">
        <f aca="false">IF(TRIM(AJ18)="Yes",10,0)</f>
        <v>10</v>
      </c>
      <c r="V18" s="4" t="n">
        <f aca="false">IF(TRIM(AK18)="Yes",5,0)</f>
        <v>5</v>
      </c>
      <c r="W18" s="4" t="n">
        <f aca="false">IF(TRIM(AM18)="Yes",5,0)</f>
        <v>5</v>
      </c>
      <c r="X18" s="4" t="n">
        <f aca="false">IF(OR(TRIM(AN18)="Fully Available",TRIM(AN18)="Not Applicable"),5,IF(TRIM(AN18)="Partially Available",2.5,0))</f>
        <v>5</v>
      </c>
      <c r="Y18" s="4" t="n">
        <f aca="false">IF(TRIM(AO18)="Yes",5,0)</f>
        <v>5</v>
      </c>
      <c r="Z18" s="4" t="n">
        <f aca="false">IF(TRIM(AP18)="Yes",2.5,0)</f>
        <v>2.5</v>
      </c>
      <c r="AA18" s="4" t="n">
        <f aca="false">IF(TRIM(AQ18)="Yes",5,0)</f>
        <v>5</v>
      </c>
      <c r="AB18" s="4" t="n">
        <f aca="false">IF(OR(TRIM(AR18)="Yes",TRIM(AR18)="Not Applicable"),5,0)</f>
        <v>5</v>
      </c>
      <c r="AC18" s="4" t="n">
        <f aca="false">IF(TRIM(AS18)="Excellent",5,IF(TRIM(AS18)="Very Good",4,IF(TRIM(AS18)="Good",3,IF(TRIM(AS18)="Average",2,0))))</f>
        <v>4</v>
      </c>
      <c r="AD18" s="7" t="n">
        <f aca="false">IF(COUNT(S18:AC18)=0,"",SUM(S18:AC18))</f>
        <v>96.5</v>
      </c>
      <c r="AE18" s="7" t="n">
        <f aca="false">IF(COUNTIF($F$2:F18,F18)=1,IFERROR(AVERAGEIF($F:$F,F18,$AD:$AD),""),"")</f>
        <v>96.5</v>
      </c>
      <c r="AF18" s="8" t="str">
        <f aca="false">IF(AH18&lt;&gt;"",AH18,IF(AE18="","",IF(AE18&gt;=80,"Excellent",IF(AE18&gt;=70,"Very Good",IF(AE18&gt;=60,"Good",IF(AE18&gt;=50,"Average","Poor"))))))</f>
        <v>Excellent</v>
      </c>
      <c r="AG18" s="5"/>
      <c r="AH18" s="4"/>
      <c r="AI18" s="4" t="s">
        <v>82</v>
      </c>
      <c r="AJ18" s="4" t="s">
        <v>62</v>
      </c>
      <c r="AK18" s="4" t="s">
        <v>62</v>
      </c>
      <c r="AL18" s="4" t="s">
        <v>63</v>
      </c>
      <c r="AM18" s="4" t="s">
        <v>62</v>
      </c>
      <c r="AN18" s="4" t="s">
        <v>64</v>
      </c>
      <c r="AO18" s="4" t="s">
        <v>62</v>
      </c>
      <c r="AP18" s="4" t="s">
        <v>62</v>
      </c>
      <c r="AQ18" s="4" t="s">
        <v>62</v>
      </c>
      <c r="AR18" s="4" t="s">
        <v>62</v>
      </c>
      <c r="AS18" s="4" t="s">
        <v>74</v>
      </c>
      <c r="AT18" s="4" t="n">
        <v>8</v>
      </c>
      <c r="AU18" s="4" t="s">
        <v>66</v>
      </c>
      <c r="AV18" s="4" t="s">
        <v>128</v>
      </c>
      <c r="AW18" s="4" t="s">
        <v>133</v>
      </c>
      <c r="AX18" s="4" t="s">
        <v>134</v>
      </c>
      <c r="AY18" s="4" t="n">
        <v>5</v>
      </c>
      <c r="AZ18" s="4" t="s">
        <v>62</v>
      </c>
      <c r="BA18" s="4" t="s">
        <v>135</v>
      </c>
      <c r="BB18" s="4" t="s">
        <v>59</v>
      </c>
      <c r="BC18" s="6" t="n">
        <v>0.5</v>
      </c>
      <c r="BD18" s="4" t="n">
        <v>98</v>
      </c>
    </row>
    <row r="19" customFormat="false" ht="114.9" hidden="false" customHeight="false" outlineLevel="0" collapsed="false">
      <c r="A19" s="4" t="n">
        <v>9</v>
      </c>
      <c r="B19" s="4" t="s">
        <v>56</v>
      </c>
      <c r="C19" s="4" t="s">
        <v>57</v>
      </c>
      <c r="D19" s="4" t="s">
        <v>58</v>
      </c>
      <c r="E19" s="4" t="s">
        <v>59</v>
      </c>
      <c r="F19" s="4" t="n">
        <v>848</v>
      </c>
      <c r="G19" s="5" t="s">
        <v>136</v>
      </c>
      <c r="H19" s="5" t="s">
        <v>90</v>
      </c>
      <c r="I19" s="4"/>
      <c r="J19" s="4"/>
      <c r="K19" s="4"/>
      <c r="L19" s="4" t="n">
        <v>20</v>
      </c>
      <c r="M19" s="4" t="n">
        <v>20</v>
      </c>
      <c r="N19" s="4" t="n">
        <v>0</v>
      </c>
      <c r="O19" s="4" t="n">
        <v>17</v>
      </c>
      <c r="P19" s="4" t="n">
        <v>3</v>
      </c>
      <c r="Q19" s="4" t="n">
        <v>10</v>
      </c>
      <c r="R19" s="6" t="n">
        <f aca="false">IF(N(L19)=0,0,O19/L19)</f>
        <v>0.85</v>
      </c>
      <c r="S19" s="4" t="n">
        <f aca="false">IF(R19="","",IF(R19&gt;=0.8,50,IF(R19&gt;=0.5,30,IF(R19&gt;=0.01,10,0))))</f>
        <v>50</v>
      </c>
      <c r="T19" s="4" t="n">
        <f aca="false">IF(TRIM(AI19)="Yes",2.5,0)</f>
        <v>2.5</v>
      </c>
      <c r="U19" s="4" t="n">
        <f aca="false">IF(TRIM(AJ19)="Yes",10,0)</f>
        <v>10</v>
      </c>
      <c r="V19" s="4" t="n">
        <f aca="false">IF(TRIM(AK19)="Yes",5,0)</f>
        <v>5</v>
      </c>
      <c r="W19" s="4" t="n">
        <f aca="false">IF(TRIM(AM19)="Yes",5,0)</f>
        <v>5</v>
      </c>
      <c r="X19" s="4" t="n">
        <f aca="false">IF(OR(TRIM(AN19)="Fully Available",TRIM(AN19)="Not Applicable"),5,IF(TRIM(AN19)="Partially Available",2.5,0))</f>
        <v>5</v>
      </c>
      <c r="Y19" s="4" t="n">
        <f aca="false">IF(TRIM(AO19)="Yes",5,0)</f>
        <v>5</v>
      </c>
      <c r="Z19" s="4" t="n">
        <f aca="false">IF(TRIM(AP19)="Yes",2.5,0)</f>
        <v>2.5</v>
      </c>
      <c r="AA19" s="4" t="n">
        <f aca="false">IF(TRIM(AQ19)="Yes",5,0)</f>
        <v>5</v>
      </c>
      <c r="AB19" s="4" t="n">
        <f aca="false">IF(OR(TRIM(AR19)="Yes",TRIM(AR19)="Not Applicable"),5,0)</f>
        <v>5</v>
      </c>
      <c r="AC19" s="4" t="n">
        <f aca="false">IF(TRIM(AS19)="Excellent",5,IF(TRIM(AS19)="Very Good",4,IF(TRIM(AS19)="Good",3,IF(TRIM(AS19)="Average",2,0))))</f>
        <v>5</v>
      </c>
      <c r="AD19" s="7" t="n">
        <f aca="false">IF(COUNT(S19:AC19)=0,"",SUM(S19:AC19))</f>
        <v>100</v>
      </c>
      <c r="AE19" s="7" t="n">
        <f aca="false">IF(COUNTIF($F$2:F19,F19)=1,IFERROR(AVERAGEIF($F:$F,F19,$AD:$AD),""),"")</f>
        <v>100</v>
      </c>
      <c r="AF19" s="8" t="str">
        <f aca="false">IF(AH19&lt;&gt;"",AH19,IF(AE19="","",IF(AE19&gt;=80,"Excellent",IF(AE19&gt;=70,"Very Good",IF(AE19&gt;=60,"Good",IF(AE19&gt;=50,"Average","Poor"))))))</f>
        <v>Excellent</v>
      </c>
      <c r="AG19" s="5"/>
      <c r="AH19" s="4"/>
      <c r="AI19" s="4" t="s">
        <v>62</v>
      </c>
      <c r="AJ19" s="4" t="s">
        <v>62</v>
      </c>
      <c r="AK19" s="4" t="s">
        <v>62</v>
      </c>
      <c r="AL19" s="4" t="s">
        <v>63</v>
      </c>
      <c r="AM19" s="4" t="s">
        <v>62</v>
      </c>
      <c r="AN19" s="4" t="s">
        <v>64</v>
      </c>
      <c r="AO19" s="4" t="s">
        <v>62</v>
      </c>
      <c r="AP19" s="4" t="s">
        <v>62</v>
      </c>
      <c r="AQ19" s="4" t="s">
        <v>62</v>
      </c>
      <c r="AR19" s="4" t="s">
        <v>73</v>
      </c>
      <c r="AS19" s="4" t="s">
        <v>65</v>
      </c>
      <c r="AT19" s="4" t="n">
        <v>11</v>
      </c>
      <c r="AU19" s="4" t="s">
        <v>66</v>
      </c>
      <c r="AV19" s="4" t="s">
        <v>128</v>
      </c>
      <c r="AW19" s="4" t="s">
        <v>137</v>
      </c>
      <c r="AX19" s="4" t="s">
        <v>138</v>
      </c>
      <c r="AY19" s="4" t="n">
        <v>20</v>
      </c>
      <c r="AZ19" s="4" t="s">
        <v>62</v>
      </c>
      <c r="BA19" s="4" t="s">
        <v>139</v>
      </c>
      <c r="BB19" s="4" t="s">
        <v>59</v>
      </c>
      <c r="BC19" s="6" t="n">
        <v>0.5882</v>
      </c>
      <c r="BD19" s="4" t="n">
        <v>86</v>
      </c>
    </row>
    <row r="20" customFormat="false" ht="114.9" hidden="false" customHeight="false" outlineLevel="0" collapsed="false">
      <c r="A20" s="4" t="n">
        <v>10</v>
      </c>
      <c r="B20" s="4" t="s">
        <v>56</v>
      </c>
      <c r="C20" s="4" t="s">
        <v>57</v>
      </c>
      <c r="D20" s="4" t="s">
        <v>58</v>
      </c>
      <c r="E20" s="4" t="s">
        <v>59</v>
      </c>
      <c r="F20" s="4" t="n">
        <v>3399</v>
      </c>
      <c r="G20" s="5" t="s">
        <v>140</v>
      </c>
      <c r="H20" s="5" t="s">
        <v>141</v>
      </c>
      <c r="I20" s="4"/>
      <c r="J20" s="4"/>
      <c r="K20" s="4"/>
      <c r="L20" s="4" t="n">
        <v>40</v>
      </c>
      <c r="M20" s="4" t="n">
        <v>20</v>
      </c>
      <c r="N20" s="4" t="n">
        <v>20</v>
      </c>
      <c r="O20" s="4" t="n">
        <v>12</v>
      </c>
      <c r="P20" s="4" t="n">
        <v>8</v>
      </c>
      <c r="Q20" s="4" t="n">
        <v>8</v>
      </c>
      <c r="R20" s="6" t="n">
        <f aca="false">IF(N(L20)=0,0,O20/L20)</f>
        <v>0.3</v>
      </c>
      <c r="S20" s="4" t="n">
        <f aca="false">IF(R20="","",IF(R20&gt;=0.8,50,IF(R20&gt;=0.5,30,IF(R20&gt;=0.01,10,0))))</f>
        <v>10</v>
      </c>
      <c r="T20" s="4" t="n">
        <f aca="false">IF(TRIM(AI20)="Yes",2.5,0)</f>
        <v>2.5</v>
      </c>
      <c r="U20" s="4" t="n">
        <f aca="false">IF(TRIM(AJ20)="Yes",10,0)</f>
        <v>10</v>
      </c>
      <c r="V20" s="4" t="n">
        <f aca="false">IF(TRIM(AK20)="Yes",5,0)</f>
        <v>5</v>
      </c>
      <c r="W20" s="4" t="n">
        <f aca="false">IF(TRIM(AM20)="Yes",5,0)</f>
        <v>5</v>
      </c>
      <c r="X20" s="4" t="n">
        <f aca="false">IF(OR(TRIM(AN20)="Fully Available",TRIM(AN20)="Not Applicable"),5,IF(TRIM(AN20)="Partially Available",2.5,0))</f>
        <v>5</v>
      </c>
      <c r="Y20" s="4" t="n">
        <f aca="false">IF(TRIM(AO20)="Yes",5,0)</f>
        <v>5</v>
      </c>
      <c r="Z20" s="4" t="n">
        <f aca="false">IF(TRIM(AP20)="Yes",2.5,0)</f>
        <v>2.5</v>
      </c>
      <c r="AA20" s="4" t="n">
        <f aca="false">IF(TRIM(AQ20)="Yes",5,0)</f>
        <v>5</v>
      </c>
      <c r="AB20" s="4" t="n">
        <f aca="false">IF(OR(TRIM(AR20)="Yes",TRIM(AR20)="Not Applicable"),5,0)</f>
        <v>5</v>
      </c>
      <c r="AC20" s="4" t="n">
        <f aca="false">IF(TRIM(AS20)="Excellent",5,IF(TRIM(AS20)="Very Good",4,IF(TRIM(AS20)="Good",3,IF(TRIM(AS20)="Average",2,0))))</f>
        <v>5</v>
      </c>
      <c r="AD20" s="7" t="n">
        <f aca="false">IF(COUNT(S20:AC20)=0,"",SUM(S20:AC20))</f>
        <v>60</v>
      </c>
      <c r="AE20" s="7" t="n">
        <f aca="false">IF(COUNTIF($F$2:F20,F20)=1,IFERROR(AVERAGEIF($F:$F,F20,$AD:$AD),""),"")</f>
        <v>65.8333333333333</v>
      </c>
      <c r="AF20" s="8" t="str">
        <f aca="false">IF(AH20&lt;&gt;"",AH20,IF(AE20="","",IF(AE20&gt;=80,"Excellent",IF(AE20&gt;=70,"Very Good",IF(AE20&gt;=60,"Good",IF(AE20&gt;=50,"Average","Poor"))))))</f>
        <v>Good</v>
      </c>
      <c r="AG20" s="5"/>
      <c r="AH20" s="4"/>
      <c r="AI20" s="4" t="s">
        <v>62</v>
      </c>
      <c r="AJ20" s="4" t="s">
        <v>62</v>
      </c>
      <c r="AK20" s="4" t="s">
        <v>62</v>
      </c>
      <c r="AL20" s="4" t="s">
        <v>63</v>
      </c>
      <c r="AM20" s="4" t="s">
        <v>62</v>
      </c>
      <c r="AN20" s="4" t="s">
        <v>64</v>
      </c>
      <c r="AO20" s="4" t="s">
        <v>62</v>
      </c>
      <c r="AP20" s="4" t="s">
        <v>62</v>
      </c>
      <c r="AQ20" s="4" t="s">
        <v>62</v>
      </c>
      <c r="AR20" s="4" t="s">
        <v>62</v>
      </c>
      <c r="AS20" s="4" t="s">
        <v>65</v>
      </c>
      <c r="AT20" s="4" t="n">
        <v>14</v>
      </c>
      <c r="AU20" s="4" t="s">
        <v>66</v>
      </c>
      <c r="AV20" s="4" t="s">
        <v>128</v>
      </c>
      <c r="AW20" s="4" t="s">
        <v>142</v>
      </c>
      <c r="AX20" s="4" t="s">
        <v>102</v>
      </c>
      <c r="AY20" s="4" t="n">
        <v>5</v>
      </c>
      <c r="AZ20" s="4" t="s">
        <v>62</v>
      </c>
      <c r="BA20" s="4" t="s">
        <v>143</v>
      </c>
      <c r="BB20" s="4" t="s">
        <v>59</v>
      </c>
      <c r="BC20" s="6" t="n">
        <v>0.6667</v>
      </c>
      <c r="BD20" s="4" t="n">
        <v>76</v>
      </c>
    </row>
    <row r="21" customFormat="false" ht="114.9" hidden="false" customHeight="false" outlineLevel="0" collapsed="false">
      <c r="A21" s="4"/>
      <c r="B21" s="4" t="s">
        <v>56</v>
      </c>
      <c r="C21" s="4" t="s">
        <v>57</v>
      </c>
      <c r="D21" s="4" t="s">
        <v>58</v>
      </c>
      <c r="E21" s="4" t="s">
        <v>59</v>
      </c>
      <c r="F21" s="4" t="n">
        <v>3399</v>
      </c>
      <c r="G21" s="5" t="s">
        <v>140</v>
      </c>
      <c r="H21" s="5" t="s">
        <v>144</v>
      </c>
      <c r="I21" s="4"/>
      <c r="J21" s="4"/>
      <c r="K21" s="4"/>
      <c r="L21" s="4" t="n">
        <v>60</v>
      </c>
      <c r="M21" s="4" t="n">
        <v>35</v>
      </c>
      <c r="N21" s="4" t="n">
        <v>25</v>
      </c>
      <c r="O21" s="4" t="n">
        <v>17</v>
      </c>
      <c r="P21" s="4" t="n">
        <v>18</v>
      </c>
      <c r="Q21" s="4" t="n">
        <v>10</v>
      </c>
      <c r="R21" s="6" t="n">
        <f aca="false">IF(N(L21)=0,0,O21/L21)</f>
        <v>0.283333333333333</v>
      </c>
      <c r="S21" s="4" t="n">
        <f aca="false">IF(R21="","",IF(R21&gt;=0.8,50,IF(R21&gt;=0.5,30,IF(R21&gt;=0.01,10,0))))</f>
        <v>10</v>
      </c>
      <c r="T21" s="4" t="n">
        <f aca="false">IF(TRIM(AI21)="Yes",2.5,0)</f>
        <v>2.5</v>
      </c>
      <c r="U21" s="4" t="n">
        <f aca="false">IF(TRIM(AJ21)="Yes",10,0)</f>
        <v>10</v>
      </c>
      <c r="V21" s="4" t="n">
        <f aca="false">IF(TRIM(AK21)="Yes",5,0)</f>
        <v>5</v>
      </c>
      <c r="W21" s="4" t="n">
        <f aca="false">IF(TRIM(AM21)="Yes",5,0)</f>
        <v>5</v>
      </c>
      <c r="X21" s="4" t="n">
        <f aca="false">IF(OR(TRIM(AN21)="Fully Available",TRIM(AN21)="Not Applicable"),5,IF(TRIM(AN21)="Partially Available",2.5,0))</f>
        <v>5</v>
      </c>
      <c r="Y21" s="4" t="n">
        <f aca="false">IF(TRIM(AO21)="Yes",5,0)</f>
        <v>5</v>
      </c>
      <c r="Z21" s="4" t="n">
        <f aca="false">IF(TRIM(AP21)="Yes",2.5,0)</f>
        <v>2.5</v>
      </c>
      <c r="AA21" s="4" t="n">
        <f aca="false">IF(TRIM(AQ21)="Yes",5,0)</f>
        <v>5</v>
      </c>
      <c r="AB21" s="4" t="n">
        <f aca="false">IF(OR(TRIM(AR21)="Yes",TRIM(AR21)="Not Applicable"),5,0)</f>
        <v>5</v>
      </c>
      <c r="AC21" s="4" t="n">
        <f aca="false">IF(TRIM(AS21)="Excellent",5,IF(TRIM(AS21)="Very Good",4,IF(TRIM(AS21)="Good",3,IF(TRIM(AS21)="Average",2,0))))</f>
        <v>5</v>
      </c>
      <c r="AD21" s="7" t="n">
        <f aca="false">IF(COUNT(S21:AC21)=0,"",SUM(S21:AC21))</f>
        <v>60</v>
      </c>
      <c r="AE21" s="7"/>
      <c r="AF21" s="8"/>
      <c r="AG21" s="5"/>
      <c r="AH21" s="4"/>
      <c r="AI21" s="4" t="s">
        <v>62</v>
      </c>
      <c r="AJ21" s="4" t="s">
        <v>62</v>
      </c>
      <c r="AK21" s="4" t="s">
        <v>62</v>
      </c>
      <c r="AL21" s="4" t="s">
        <v>63</v>
      </c>
      <c r="AM21" s="4" t="s">
        <v>62</v>
      </c>
      <c r="AN21" s="4" t="s">
        <v>64</v>
      </c>
      <c r="AO21" s="4" t="s">
        <v>62</v>
      </c>
      <c r="AP21" s="4" t="s">
        <v>62</v>
      </c>
      <c r="AQ21" s="4" t="s">
        <v>62</v>
      </c>
      <c r="AR21" s="4" t="s">
        <v>62</v>
      </c>
      <c r="AS21" s="4" t="s">
        <v>65</v>
      </c>
      <c r="AT21" s="4" t="n">
        <v>12</v>
      </c>
      <c r="AU21" s="4" t="s">
        <v>66</v>
      </c>
      <c r="AV21" s="4" t="s">
        <v>128</v>
      </c>
      <c r="AW21" s="4" t="s">
        <v>145</v>
      </c>
      <c r="AX21" s="4" t="s">
        <v>146</v>
      </c>
      <c r="AY21" s="4" t="n">
        <v>4</v>
      </c>
      <c r="AZ21" s="4" t="s">
        <v>62</v>
      </c>
      <c r="BA21" s="4" t="s">
        <v>143</v>
      </c>
      <c r="BB21" s="4" t="s">
        <v>59</v>
      </c>
      <c r="BC21" s="6" t="n">
        <v>0.5882</v>
      </c>
      <c r="BD21" s="4" t="n">
        <v>76</v>
      </c>
    </row>
    <row r="22" customFormat="false" ht="114.9" hidden="false" customHeight="false" outlineLevel="0" collapsed="false">
      <c r="A22" s="4"/>
      <c r="B22" s="4" t="s">
        <v>56</v>
      </c>
      <c r="C22" s="4" t="s">
        <v>57</v>
      </c>
      <c r="D22" s="4" t="s">
        <v>58</v>
      </c>
      <c r="E22" s="4" t="s">
        <v>59</v>
      </c>
      <c r="F22" s="4" t="n">
        <v>3399</v>
      </c>
      <c r="G22" s="5" t="s">
        <v>140</v>
      </c>
      <c r="H22" s="5" t="s">
        <v>100</v>
      </c>
      <c r="I22" s="4"/>
      <c r="J22" s="4"/>
      <c r="K22" s="4"/>
      <c r="L22" s="4" t="n">
        <v>20</v>
      </c>
      <c r="M22" s="4" t="n">
        <v>20</v>
      </c>
      <c r="N22" s="4" t="n">
        <v>0</v>
      </c>
      <c r="O22" s="4" t="n">
        <v>10</v>
      </c>
      <c r="P22" s="4" t="n">
        <v>10</v>
      </c>
      <c r="Q22" s="4" t="n">
        <v>5</v>
      </c>
      <c r="R22" s="6" t="n">
        <f aca="false">IF(N(L22)=0,0,O22/L22)</f>
        <v>0.5</v>
      </c>
      <c r="S22" s="4" t="n">
        <f aca="false">IF(R22="","",IF(R22&gt;=0.8,50,IF(R22&gt;=0.5,30,IF(R22&gt;=0.01,10,0))))</f>
        <v>30</v>
      </c>
      <c r="T22" s="4" t="n">
        <f aca="false">IF(TRIM(AI22)="Yes",2.5,0)</f>
        <v>2.5</v>
      </c>
      <c r="U22" s="4" t="n">
        <f aca="false">IF(TRIM(AJ22)="Yes",10,0)</f>
        <v>10</v>
      </c>
      <c r="V22" s="4" t="n">
        <f aca="false">IF(TRIM(AK22)="Yes",5,0)</f>
        <v>5</v>
      </c>
      <c r="W22" s="4" t="n">
        <f aca="false">IF(TRIM(AM22)="Yes",5,0)</f>
        <v>5</v>
      </c>
      <c r="X22" s="4" t="n">
        <f aca="false">IF(OR(TRIM(AN22)="Fully Available",TRIM(AN22)="Not Applicable"),5,IF(TRIM(AN22)="Partially Available",2.5,0))</f>
        <v>2.5</v>
      </c>
      <c r="Y22" s="4" t="n">
        <f aca="false">IF(TRIM(AO22)="Yes",5,0)</f>
        <v>5</v>
      </c>
      <c r="Z22" s="4" t="n">
        <f aca="false">IF(TRIM(AP22)="Yes",2.5,0)</f>
        <v>2.5</v>
      </c>
      <c r="AA22" s="4" t="n">
        <f aca="false">IF(TRIM(AQ22)="Yes",5,0)</f>
        <v>5</v>
      </c>
      <c r="AB22" s="4" t="n">
        <f aca="false">IF(OR(TRIM(AR22)="Yes",TRIM(AR22)="Not Applicable"),5,0)</f>
        <v>5</v>
      </c>
      <c r="AC22" s="4" t="n">
        <f aca="false">IF(TRIM(AS22)="Excellent",5,IF(TRIM(AS22)="Very Good",4,IF(TRIM(AS22)="Good",3,IF(TRIM(AS22)="Average",2,0))))</f>
        <v>5</v>
      </c>
      <c r="AD22" s="7" t="n">
        <f aca="false">IF(COUNT(S22:AC22)=0,"",SUM(S22:AC22))</f>
        <v>77.5</v>
      </c>
      <c r="AE22" s="7"/>
      <c r="AF22" s="8"/>
      <c r="AG22" s="5"/>
      <c r="AH22" s="4"/>
      <c r="AI22" s="4" t="s">
        <v>62</v>
      </c>
      <c r="AJ22" s="4" t="s">
        <v>62</v>
      </c>
      <c r="AK22" s="4" t="s">
        <v>62</v>
      </c>
      <c r="AL22" s="4" t="s">
        <v>63</v>
      </c>
      <c r="AM22" s="4" t="s">
        <v>62</v>
      </c>
      <c r="AN22" s="4" t="s">
        <v>147</v>
      </c>
      <c r="AO22" s="4" t="s">
        <v>62</v>
      </c>
      <c r="AP22" s="4" t="s">
        <v>62</v>
      </c>
      <c r="AQ22" s="4" t="s">
        <v>62</v>
      </c>
      <c r="AR22" s="4" t="s">
        <v>62</v>
      </c>
      <c r="AS22" s="4" t="s">
        <v>65</v>
      </c>
      <c r="AT22" s="4" t="n">
        <v>15</v>
      </c>
      <c r="AU22" s="4" t="s">
        <v>66</v>
      </c>
      <c r="AV22" s="4" t="s">
        <v>128</v>
      </c>
      <c r="AW22" s="4" t="s">
        <v>148</v>
      </c>
      <c r="AX22" s="4" t="s">
        <v>149</v>
      </c>
      <c r="AY22" s="4" t="n">
        <v>3</v>
      </c>
      <c r="AZ22" s="4" t="s">
        <v>62</v>
      </c>
      <c r="BA22" s="4" t="s">
        <v>143</v>
      </c>
      <c r="BB22" s="4" t="s">
        <v>59</v>
      </c>
      <c r="BC22" s="6" t="n">
        <v>0.5</v>
      </c>
      <c r="BD22" s="4" t="n">
        <v>76</v>
      </c>
    </row>
    <row r="23" customFormat="false" ht="143.25" hidden="false" customHeight="false" outlineLevel="0" collapsed="false">
      <c r="A23" s="4" t="n">
        <v>11</v>
      </c>
      <c r="B23" s="4" t="s">
        <v>56</v>
      </c>
      <c r="C23" s="4" t="s">
        <v>57</v>
      </c>
      <c r="D23" s="4" t="s">
        <v>58</v>
      </c>
      <c r="E23" s="4" t="s">
        <v>59</v>
      </c>
      <c r="F23" s="4" t="n">
        <v>3686</v>
      </c>
      <c r="G23" s="5" t="s">
        <v>150</v>
      </c>
      <c r="H23" s="5" t="s">
        <v>111</v>
      </c>
      <c r="I23" s="4"/>
      <c r="J23" s="4"/>
      <c r="K23" s="4"/>
      <c r="L23" s="4" t="n">
        <v>20</v>
      </c>
      <c r="M23" s="4" t="n">
        <v>20</v>
      </c>
      <c r="N23" s="4" t="n">
        <v>0</v>
      </c>
      <c r="O23" s="4" t="n">
        <v>10</v>
      </c>
      <c r="P23" s="4" t="n">
        <v>10</v>
      </c>
      <c r="Q23" s="4" t="n">
        <v>5</v>
      </c>
      <c r="R23" s="6" t="n">
        <f aca="false">IF(N(L23)=0,0,O23/L23)</f>
        <v>0.5</v>
      </c>
      <c r="S23" s="4" t="n">
        <f aca="false">IF(R23="","",IF(R23&gt;=0.8,50,IF(R23&gt;=0.5,30,IF(R23&gt;=0.01,10,0))))</f>
        <v>30</v>
      </c>
      <c r="T23" s="4" t="n">
        <f aca="false">IF(TRIM(AI23)="Yes",2.5,0)</f>
        <v>2.5</v>
      </c>
      <c r="U23" s="4" t="n">
        <f aca="false">IF(TRIM(AJ23)="Yes",10,0)</f>
        <v>10</v>
      </c>
      <c r="V23" s="4" t="n">
        <f aca="false">IF(TRIM(AK23)="Yes",5,0)</f>
        <v>5</v>
      </c>
      <c r="W23" s="4" t="n">
        <f aca="false">IF(TRIM(AM23)="Yes",5,0)</f>
        <v>5</v>
      </c>
      <c r="X23" s="4" t="n">
        <f aca="false">IF(OR(TRIM(AN23)="Fully Available",TRIM(AN23)="Not Applicable"),5,IF(TRIM(AN23)="Partially Available",2.5,0))</f>
        <v>5</v>
      </c>
      <c r="Y23" s="4" t="n">
        <f aca="false">IF(TRIM(AO23)="Yes",5,0)</f>
        <v>5</v>
      </c>
      <c r="Z23" s="4" t="n">
        <f aca="false">IF(TRIM(AP23)="Yes",2.5,0)</f>
        <v>2.5</v>
      </c>
      <c r="AA23" s="4" t="n">
        <f aca="false">IF(TRIM(AQ23)="Yes",5,0)</f>
        <v>5</v>
      </c>
      <c r="AB23" s="4" t="n">
        <f aca="false">IF(OR(TRIM(AR23)="Yes",TRIM(AR23)="Not Applicable"),5,0)</f>
        <v>5</v>
      </c>
      <c r="AC23" s="4" t="n">
        <f aca="false">IF(TRIM(AS23)="Excellent",5,IF(TRIM(AS23)="Very Good",4,IF(TRIM(AS23)="Good",3,IF(TRIM(AS23)="Average",2,0))))</f>
        <v>4</v>
      </c>
      <c r="AD23" s="7" t="n">
        <f aca="false">IF(COUNT(S23:AC23)=0,"",SUM(S23:AC23))</f>
        <v>79</v>
      </c>
      <c r="AE23" s="7" t="n">
        <f aca="false">IF(COUNTIF($F$2:F23,F23)=1,IFERROR(AVERAGEIF($F:$F,F23,$AD:$AD),""),"")</f>
        <v>79</v>
      </c>
      <c r="AF23" s="8" t="str">
        <f aca="false">IF(AH23&lt;&gt;"",AH23,IF(AE23="","",IF(AE23&gt;=80,"Excellent",IF(AE23&gt;=70,"Very Good",IF(AE23&gt;=60,"Good",IF(AE23&gt;=50,"Average","Poor"))))))</f>
        <v>Very Good</v>
      </c>
      <c r="AG23" s="5"/>
      <c r="AH23" s="4"/>
      <c r="AI23" s="4" t="s">
        <v>62</v>
      </c>
      <c r="AJ23" s="4" t="s">
        <v>62</v>
      </c>
      <c r="AK23" s="4" t="s">
        <v>62</v>
      </c>
      <c r="AL23" s="4" t="s">
        <v>63</v>
      </c>
      <c r="AM23" s="4" t="s">
        <v>62</v>
      </c>
      <c r="AN23" s="4" t="s">
        <v>64</v>
      </c>
      <c r="AO23" s="4" t="s">
        <v>62</v>
      </c>
      <c r="AP23" s="4" t="s">
        <v>62</v>
      </c>
      <c r="AQ23" s="4" t="s">
        <v>62</v>
      </c>
      <c r="AR23" s="4" t="s">
        <v>62</v>
      </c>
      <c r="AS23" s="4" t="s">
        <v>74</v>
      </c>
      <c r="AT23" s="4" t="n">
        <v>4</v>
      </c>
      <c r="AU23" s="4" t="s">
        <v>112</v>
      </c>
      <c r="AV23" s="4" t="s">
        <v>151</v>
      </c>
      <c r="AW23" s="4" t="s">
        <v>152</v>
      </c>
      <c r="AX23" s="4" t="s">
        <v>153</v>
      </c>
      <c r="AY23" s="4" t="n">
        <v>8</v>
      </c>
      <c r="AZ23" s="4" t="s">
        <v>62</v>
      </c>
      <c r="BA23" s="4" t="s">
        <v>154</v>
      </c>
      <c r="BB23" s="4" t="s">
        <v>59</v>
      </c>
      <c r="BC23" s="6" t="n">
        <v>0.5</v>
      </c>
      <c r="BD23" s="4" t="n">
        <v>85</v>
      </c>
    </row>
    <row r="24" customFormat="false" ht="299.25" hidden="false" customHeight="false" outlineLevel="0" collapsed="false">
      <c r="A24" s="4" t="n">
        <v>12</v>
      </c>
      <c r="B24" s="4" t="s">
        <v>56</v>
      </c>
      <c r="C24" s="4" t="s">
        <v>57</v>
      </c>
      <c r="D24" s="4" t="s">
        <v>58</v>
      </c>
      <c r="E24" s="4" t="s">
        <v>59</v>
      </c>
      <c r="F24" s="4" t="n">
        <v>5209</v>
      </c>
      <c r="G24" s="5" t="s">
        <v>155</v>
      </c>
      <c r="H24" s="5" t="s">
        <v>156</v>
      </c>
      <c r="I24" s="4"/>
      <c r="J24" s="4"/>
      <c r="K24" s="4"/>
      <c r="L24" s="4" t="n">
        <v>15</v>
      </c>
      <c r="M24" s="4" t="n">
        <v>14</v>
      </c>
      <c r="N24" s="4" t="n">
        <v>1</v>
      </c>
      <c r="O24" s="4" t="n">
        <v>6</v>
      </c>
      <c r="P24" s="4" t="n">
        <v>8</v>
      </c>
      <c r="Q24" s="4" t="n">
        <v>5</v>
      </c>
      <c r="R24" s="6" t="n">
        <f aca="false">IF(N(L24)=0,0,O24/L24)</f>
        <v>0.4</v>
      </c>
      <c r="S24" s="4" t="n">
        <f aca="false">IF(R24="","",IF(R24&gt;=0.8,50,IF(R24&gt;=0.5,30,IF(R24&gt;=0.01,10,0))))</f>
        <v>10</v>
      </c>
      <c r="T24" s="4" t="n">
        <f aca="false">IF(TRIM(AI24)="Yes",2.5,0)</f>
        <v>0</v>
      </c>
      <c r="U24" s="4" t="n">
        <f aca="false">IF(TRIM(AJ24)="Yes",10,0)</f>
        <v>0</v>
      </c>
      <c r="V24" s="4" t="n">
        <f aca="false">IF(TRIM(AK24)="Yes",5,0)</f>
        <v>5</v>
      </c>
      <c r="W24" s="4" t="n">
        <f aca="false">IF(TRIM(AM24)="Yes",5,0)</f>
        <v>5</v>
      </c>
      <c r="X24" s="4" t="n">
        <f aca="false">IF(OR(TRIM(AN24)="Fully Available",TRIM(AN24)="Not Applicable"),5,IF(TRIM(AN24)="Partially Available",2.5,0))</f>
        <v>5</v>
      </c>
      <c r="Y24" s="4" t="n">
        <f aca="false">IF(TRIM(AO24)="Yes",5,0)</f>
        <v>5</v>
      </c>
      <c r="Z24" s="4" t="n">
        <f aca="false">IF(TRIM(AP24)="Yes",2.5,0)</f>
        <v>2.5</v>
      </c>
      <c r="AA24" s="4" t="n">
        <f aca="false">IF(TRIM(AQ24)="Yes",5,0)</f>
        <v>5</v>
      </c>
      <c r="AB24" s="4" t="n">
        <f aca="false">IF(OR(TRIM(AR24)="Yes",TRIM(AR24)="Not Applicable"),5,0)</f>
        <v>0</v>
      </c>
      <c r="AC24" s="4" t="n">
        <f aca="false">IF(TRIM(AS24)="Excellent",5,IF(TRIM(AS24)="Very Good",4,IF(TRIM(AS24)="Good",3,IF(TRIM(AS24)="Average",2,0))))</f>
        <v>4</v>
      </c>
      <c r="AD24" s="7" t="n">
        <f aca="false">IF(COUNT(S24:AC24)=0,"",SUM(S24:AC24))</f>
        <v>41.5</v>
      </c>
      <c r="AE24" s="7" t="n">
        <f aca="false">IF(COUNTIF($F$2:F24,F24)=1,IFERROR(AVERAGEIF($F:$F,F24,$AD:$AD),""),"")</f>
        <v>41.5</v>
      </c>
      <c r="AF24" s="8" t="str">
        <f aca="false">IF(AH24&lt;&gt;"",AH24,IF(AE24="","",IF(AE24&gt;=80,"Excellent",IF(AE24&gt;=70,"Very Good",IF(AE24&gt;=60,"Good",IF(AE24&gt;=50,"Average","Poor"))))))</f>
        <v>Poor</v>
      </c>
      <c r="AG24" s="5"/>
      <c r="AH24" s="4"/>
      <c r="AI24" s="4" t="s">
        <v>82</v>
      </c>
      <c r="AJ24" s="4" t="s">
        <v>82</v>
      </c>
      <c r="AK24" s="4" t="s">
        <v>62</v>
      </c>
      <c r="AL24" s="4" t="s">
        <v>63</v>
      </c>
      <c r="AM24" s="4" t="s">
        <v>62</v>
      </c>
      <c r="AN24" s="4" t="s">
        <v>64</v>
      </c>
      <c r="AO24" s="4" t="s">
        <v>62</v>
      </c>
      <c r="AP24" s="4" t="s">
        <v>62</v>
      </c>
      <c r="AQ24" s="4" t="s">
        <v>62</v>
      </c>
      <c r="AR24" s="4" t="s">
        <v>82</v>
      </c>
      <c r="AS24" s="4" t="s">
        <v>74</v>
      </c>
      <c r="AT24" s="4" t="n">
        <v>4</v>
      </c>
      <c r="AU24" s="4" t="s">
        <v>112</v>
      </c>
      <c r="AV24" s="4" t="s">
        <v>67</v>
      </c>
      <c r="AW24" s="4" t="s">
        <v>157</v>
      </c>
      <c r="AX24" s="4" t="s">
        <v>158</v>
      </c>
      <c r="AY24" s="4" t="n">
        <v>20</v>
      </c>
      <c r="AZ24" s="4" t="s">
        <v>62</v>
      </c>
      <c r="BA24" s="4" t="s">
        <v>159</v>
      </c>
      <c r="BB24" s="4" t="s">
        <v>59</v>
      </c>
      <c r="BC24" s="6" t="n">
        <v>0.8333</v>
      </c>
      <c r="BD24" s="4" t="n">
        <v>65</v>
      </c>
    </row>
    <row r="25" customFormat="false" ht="285.05" hidden="false" customHeight="false" outlineLevel="0" collapsed="false">
      <c r="A25" s="4" t="n">
        <v>13</v>
      </c>
      <c r="B25" s="4" t="s">
        <v>56</v>
      </c>
      <c r="C25" s="4" t="s">
        <v>57</v>
      </c>
      <c r="D25" s="4" t="s">
        <v>58</v>
      </c>
      <c r="E25" s="4" t="s">
        <v>59</v>
      </c>
      <c r="F25" s="4" t="n">
        <v>5851</v>
      </c>
      <c r="G25" s="5" t="s">
        <v>160</v>
      </c>
      <c r="H25" s="5" t="s">
        <v>161</v>
      </c>
      <c r="I25" s="4"/>
      <c r="J25" s="4"/>
      <c r="K25" s="4"/>
      <c r="L25" s="4" t="n">
        <v>20</v>
      </c>
      <c r="M25" s="4" t="n">
        <v>20</v>
      </c>
      <c r="N25" s="4" t="n">
        <v>0</v>
      </c>
      <c r="O25" s="4" t="n">
        <v>20</v>
      </c>
      <c r="P25" s="4" t="n">
        <v>0</v>
      </c>
      <c r="Q25" s="4" t="n">
        <v>10</v>
      </c>
      <c r="R25" s="6" t="n">
        <f aca="false">IF(N(L25)=0,0,O25/L25)</f>
        <v>1</v>
      </c>
      <c r="S25" s="4" t="n">
        <f aca="false">IF(R25="","",IF(R25&gt;=0.8,50,IF(R25&gt;=0.5,30,IF(R25&gt;=0.01,10,0))))</f>
        <v>50</v>
      </c>
      <c r="T25" s="4" t="n">
        <f aca="false">IF(TRIM(AI25)="Yes",2.5,0)</f>
        <v>2.5</v>
      </c>
      <c r="U25" s="4" t="n">
        <f aca="false">IF(TRIM(AJ25)="Yes",10,0)</f>
        <v>10</v>
      </c>
      <c r="V25" s="4" t="n">
        <f aca="false">IF(TRIM(AK25)="Yes",5,0)</f>
        <v>5</v>
      </c>
      <c r="W25" s="4" t="n">
        <f aca="false">IF(TRIM(AM25)="Yes",5,0)</f>
        <v>5</v>
      </c>
      <c r="X25" s="4" t="n">
        <f aca="false">IF(OR(TRIM(AN25)="Fully Available",TRIM(AN25)="Not Applicable"),5,IF(TRIM(AN25)="Partially Available",2.5,0))</f>
        <v>5</v>
      </c>
      <c r="Y25" s="4" t="n">
        <f aca="false">IF(TRIM(AO25)="Yes",5,0)</f>
        <v>5</v>
      </c>
      <c r="Z25" s="4" t="n">
        <f aca="false">IF(TRIM(AP25)="Yes",2.5,0)</f>
        <v>2.5</v>
      </c>
      <c r="AA25" s="4" t="n">
        <f aca="false">IF(TRIM(AQ25)="Yes",5,0)</f>
        <v>5</v>
      </c>
      <c r="AB25" s="4" t="n">
        <f aca="false">IF(OR(TRIM(AR25)="Yes",TRIM(AR25)="Not Applicable"),5,0)</f>
        <v>5</v>
      </c>
      <c r="AC25" s="4" t="n">
        <f aca="false">IF(TRIM(AS25)="Excellent",5,IF(TRIM(AS25)="Very Good",4,IF(TRIM(AS25)="Good",3,IF(TRIM(AS25)="Average",2,0))))</f>
        <v>4</v>
      </c>
      <c r="AD25" s="7" t="n">
        <f aca="false">IF(COUNT(S25:AC25)=0,"",SUM(S25:AC25))</f>
        <v>99</v>
      </c>
      <c r="AE25" s="7" t="n">
        <f aca="false">IF(COUNTIF($F$2:F25,F25)=1,IFERROR(AVERAGEIF($F:$F,F25,$AD:$AD),""),"")</f>
        <v>97.125</v>
      </c>
      <c r="AF25" s="8" t="str">
        <f aca="false">IF(AH25&lt;&gt;"",AH25,IF(AE25="","",IF(AE25&gt;=80,"Excellent",IF(AE25&gt;=70,"Very Good",IF(AE25&gt;=60,"Good",IF(AE25&gt;=50,"Average","Poor"))))))</f>
        <v>Excellent</v>
      </c>
      <c r="AG25" s="5"/>
      <c r="AH25" s="4"/>
      <c r="AI25" s="4" t="s">
        <v>62</v>
      </c>
      <c r="AJ25" s="4" t="s">
        <v>62</v>
      </c>
      <c r="AK25" s="4" t="s">
        <v>62</v>
      </c>
      <c r="AL25" s="4" t="s">
        <v>63</v>
      </c>
      <c r="AM25" s="4" t="s">
        <v>62</v>
      </c>
      <c r="AN25" s="4" t="s">
        <v>64</v>
      </c>
      <c r="AO25" s="4" t="s">
        <v>62</v>
      </c>
      <c r="AP25" s="4" t="s">
        <v>62</v>
      </c>
      <c r="AQ25" s="4" t="s">
        <v>62</v>
      </c>
      <c r="AR25" s="4" t="s">
        <v>73</v>
      </c>
      <c r="AS25" s="4" t="s">
        <v>74</v>
      </c>
      <c r="AT25" s="4" t="n">
        <v>3</v>
      </c>
      <c r="AU25" s="4" t="s">
        <v>66</v>
      </c>
      <c r="AV25" s="4" t="s">
        <v>151</v>
      </c>
      <c r="AW25" s="4" t="s">
        <v>162</v>
      </c>
      <c r="AX25" s="4" t="s">
        <v>163</v>
      </c>
      <c r="AY25" s="4" t="n">
        <v>3</v>
      </c>
      <c r="AZ25" s="4" t="s">
        <v>62</v>
      </c>
      <c r="BA25" s="4" t="s">
        <v>164</v>
      </c>
      <c r="BB25" s="4" t="s">
        <v>59</v>
      </c>
      <c r="BC25" s="6" t="n">
        <v>0.5</v>
      </c>
      <c r="BD25" s="4" t="n">
        <v>79</v>
      </c>
    </row>
    <row r="26" customFormat="false" ht="285.05" hidden="false" customHeight="false" outlineLevel="0" collapsed="false">
      <c r="A26" s="4"/>
      <c r="B26" s="4" t="s">
        <v>56</v>
      </c>
      <c r="C26" s="4" t="s">
        <v>57</v>
      </c>
      <c r="D26" s="4" t="s">
        <v>58</v>
      </c>
      <c r="E26" s="4" t="s">
        <v>59</v>
      </c>
      <c r="F26" s="4" t="n">
        <v>5851</v>
      </c>
      <c r="G26" s="5" t="s">
        <v>160</v>
      </c>
      <c r="H26" s="5" t="s">
        <v>165</v>
      </c>
      <c r="I26" s="4"/>
      <c r="J26" s="4"/>
      <c r="K26" s="4"/>
      <c r="L26" s="4" t="n">
        <v>20</v>
      </c>
      <c r="M26" s="4" t="n">
        <v>20</v>
      </c>
      <c r="N26" s="4" t="n">
        <v>0</v>
      </c>
      <c r="O26" s="4" t="n">
        <v>16</v>
      </c>
      <c r="P26" s="4" t="n">
        <v>4</v>
      </c>
      <c r="Q26" s="4" t="n">
        <v>10</v>
      </c>
      <c r="R26" s="6" t="n">
        <f aca="false">IF(N(L26)=0,0,O26/L26)</f>
        <v>0.8</v>
      </c>
      <c r="S26" s="4" t="n">
        <f aca="false">IF(R26="","",IF(R26&gt;=0.8,50,IF(R26&gt;=0.5,30,IF(R26&gt;=0.01,10,0))))</f>
        <v>50</v>
      </c>
      <c r="T26" s="4" t="n">
        <f aca="false">IF(TRIM(AI26)="Yes",2.5,0)</f>
        <v>2.5</v>
      </c>
      <c r="U26" s="4" t="n">
        <f aca="false">IF(TRIM(AJ26)="Yes",10,0)</f>
        <v>10</v>
      </c>
      <c r="V26" s="4" t="n">
        <f aca="false">IF(TRIM(AK26)="Yes",5,0)</f>
        <v>5</v>
      </c>
      <c r="W26" s="4" t="n">
        <f aca="false">IF(TRIM(AM26)="Yes",5,0)</f>
        <v>5</v>
      </c>
      <c r="X26" s="4" t="n">
        <f aca="false">IF(OR(TRIM(AN26)="Fully Available",TRIM(AN26)="Not Applicable"),5,IF(TRIM(AN26)="Partially Available",2.5,0))</f>
        <v>2.5</v>
      </c>
      <c r="Y26" s="4" t="n">
        <f aca="false">IF(TRIM(AO26)="Yes",5,0)</f>
        <v>5</v>
      </c>
      <c r="Z26" s="4" t="n">
        <f aca="false">IF(TRIM(AP26)="Yes",2.5,0)</f>
        <v>2.5</v>
      </c>
      <c r="AA26" s="4" t="n">
        <f aca="false">IF(TRIM(AQ26)="Yes",5,0)</f>
        <v>5</v>
      </c>
      <c r="AB26" s="4" t="n">
        <f aca="false">IF(OR(TRIM(AR26)="Yes",TRIM(AR26)="Not Applicable"),5,0)</f>
        <v>5</v>
      </c>
      <c r="AC26" s="4" t="n">
        <f aca="false">IF(TRIM(AS26)="Excellent",5,IF(TRIM(AS26)="Very Good",4,IF(TRIM(AS26)="Good",3,IF(TRIM(AS26)="Average",2,0))))</f>
        <v>4</v>
      </c>
      <c r="AD26" s="7" t="n">
        <f aca="false">IF(COUNT(S26:AC26)=0,"",SUM(S26:AC26))</f>
        <v>96.5</v>
      </c>
      <c r="AE26" s="7"/>
      <c r="AF26" s="8"/>
      <c r="AG26" s="5"/>
      <c r="AH26" s="4"/>
      <c r="AI26" s="4" t="s">
        <v>62</v>
      </c>
      <c r="AJ26" s="4" t="s">
        <v>62</v>
      </c>
      <c r="AK26" s="4" t="s">
        <v>62</v>
      </c>
      <c r="AL26" s="4" t="s">
        <v>63</v>
      </c>
      <c r="AM26" s="4" t="s">
        <v>62</v>
      </c>
      <c r="AN26" s="4" t="s">
        <v>147</v>
      </c>
      <c r="AO26" s="4" t="s">
        <v>62</v>
      </c>
      <c r="AP26" s="4" t="s">
        <v>62</v>
      </c>
      <c r="AQ26" s="4" t="s">
        <v>62</v>
      </c>
      <c r="AR26" s="4" t="s">
        <v>73</v>
      </c>
      <c r="AS26" s="4" t="s">
        <v>74</v>
      </c>
      <c r="AT26" s="4" t="n">
        <v>6</v>
      </c>
      <c r="AU26" s="4" t="s">
        <v>66</v>
      </c>
      <c r="AV26" s="4" t="s">
        <v>151</v>
      </c>
      <c r="AW26" s="4" t="s">
        <v>166</v>
      </c>
      <c r="AX26" s="4" t="s">
        <v>167</v>
      </c>
      <c r="AY26" s="4" t="n">
        <v>4</v>
      </c>
      <c r="AZ26" s="4" t="s">
        <v>62</v>
      </c>
      <c r="BA26" s="4" t="s">
        <v>164</v>
      </c>
      <c r="BB26" s="4" t="s">
        <v>59</v>
      </c>
      <c r="BC26" s="6" t="n">
        <v>0.625</v>
      </c>
      <c r="BD26" s="4" t="n">
        <v>79</v>
      </c>
    </row>
    <row r="27" customFormat="false" ht="285.05" hidden="false" customHeight="false" outlineLevel="0" collapsed="false">
      <c r="A27" s="4"/>
      <c r="B27" s="4" t="s">
        <v>56</v>
      </c>
      <c r="C27" s="4" t="s">
        <v>57</v>
      </c>
      <c r="D27" s="4" t="s">
        <v>58</v>
      </c>
      <c r="E27" s="4" t="s">
        <v>59</v>
      </c>
      <c r="F27" s="4" t="n">
        <v>5851</v>
      </c>
      <c r="G27" s="5" t="s">
        <v>160</v>
      </c>
      <c r="H27" s="5" t="s">
        <v>168</v>
      </c>
      <c r="I27" s="4"/>
      <c r="J27" s="4"/>
      <c r="K27" s="4"/>
      <c r="L27" s="4" t="n">
        <v>40</v>
      </c>
      <c r="M27" s="4" t="n">
        <v>40</v>
      </c>
      <c r="N27" s="4" t="n">
        <v>0</v>
      </c>
      <c r="O27" s="4" t="n">
        <v>34</v>
      </c>
      <c r="P27" s="4" t="n">
        <v>6</v>
      </c>
      <c r="Q27" s="4" t="n">
        <v>18</v>
      </c>
      <c r="R27" s="6" t="n">
        <f aca="false">IF(N(L27)=0,0,O27/L27)</f>
        <v>0.85</v>
      </c>
      <c r="S27" s="4" t="n">
        <f aca="false">IF(R27="","",IF(R27&gt;=0.8,50,IF(R27&gt;=0.5,30,IF(R27&gt;=0.01,10,0))))</f>
        <v>50</v>
      </c>
      <c r="T27" s="4" t="n">
        <f aca="false">IF(TRIM(AI27)="Yes",2.5,0)</f>
        <v>2.5</v>
      </c>
      <c r="U27" s="4" t="n">
        <f aca="false">IF(TRIM(AJ27)="Yes",10,0)</f>
        <v>10</v>
      </c>
      <c r="V27" s="4" t="n">
        <f aca="false">IF(TRIM(AK27)="Yes",5,0)</f>
        <v>5</v>
      </c>
      <c r="W27" s="4" t="n">
        <f aca="false">IF(TRIM(AM27)="Yes",5,0)</f>
        <v>5</v>
      </c>
      <c r="X27" s="4" t="n">
        <f aca="false">IF(OR(TRIM(AN27)="Fully Available",TRIM(AN27)="Not Applicable"),5,IF(TRIM(AN27)="Partially Available",2.5,0))</f>
        <v>2.5</v>
      </c>
      <c r="Y27" s="4" t="n">
        <f aca="false">IF(TRIM(AO27)="Yes",5,0)</f>
        <v>5</v>
      </c>
      <c r="Z27" s="4" t="n">
        <f aca="false">IF(TRIM(AP27)="Yes",2.5,0)</f>
        <v>2.5</v>
      </c>
      <c r="AA27" s="4" t="n">
        <f aca="false">IF(TRIM(AQ27)="Yes",5,0)</f>
        <v>5</v>
      </c>
      <c r="AB27" s="4" t="n">
        <f aca="false">IF(OR(TRIM(AR27)="Yes",TRIM(AR27)="Not Applicable"),5,0)</f>
        <v>5</v>
      </c>
      <c r="AC27" s="4" t="n">
        <f aca="false">IF(TRIM(AS27)="Excellent",5,IF(TRIM(AS27)="Very Good",4,IF(TRIM(AS27)="Good",3,IF(TRIM(AS27)="Average",2,0))))</f>
        <v>4</v>
      </c>
      <c r="AD27" s="7" t="n">
        <f aca="false">IF(COUNT(S27:AC27)=0,"",SUM(S27:AC27))</f>
        <v>96.5</v>
      </c>
      <c r="AE27" s="7"/>
      <c r="AF27" s="8"/>
      <c r="AG27" s="5"/>
      <c r="AH27" s="4"/>
      <c r="AI27" s="4" t="s">
        <v>62</v>
      </c>
      <c r="AJ27" s="4" t="s">
        <v>62</v>
      </c>
      <c r="AK27" s="4" t="s">
        <v>62</v>
      </c>
      <c r="AL27" s="4" t="s">
        <v>63</v>
      </c>
      <c r="AM27" s="4" t="s">
        <v>62</v>
      </c>
      <c r="AN27" s="4" t="s">
        <v>147</v>
      </c>
      <c r="AO27" s="4" t="s">
        <v>62</v>
      </c>
      <c r="AP27" s="4" t="s">
        <v>62</v>
      </c>
      <c r="AQ27" s="4" t="s">
        <v>62</v>
      </c>
      <c r="AR27" s="4" t="s">
        <v>73</v>
      </c>
      <c r="AS27" s="4" t="s">
        <v>74</v>
      </c>
      <c r="AT27" s="4" t="n">
        <v>4</v>
      </c>
      <c r="AU27" s="4" t="s">
        <v>66</v>
      </c>
      <c r="AV27" s="4" t="s">
        <v>151</v>
      </c>
      <c r="AW27" s="4" t="s">
        <v>166</v>
      </c>
      <c r="AX27" s="4" t="s">
        <v>167</v>
      </c>
      <c r="AY27" s="4" t="n">
        <v>4</v>
      </c>
      <c r="AZ27" s="4" t="s">
        <v>62</v>
      </c>
      <c r="BA27" s="4" t="s">
        <v>164</v>
      </c>
      <c r="BB27" s="4" t="s">
        <v>59</v>
      </c>
      <c r="BC27" s="6" t="n">
        <v>0.5294</v>
      </c>
      <c r="BD27" s="4" t="n">
        <v>79</v>
      </c>
    </row>
    <row r="28" customFormat="false" ht="285.05" hidden="false" customHeight="false" outlineLevel="0" collapsed="false">
      <c r="A28" s="4"/>
      <c r="B28" s="4" t="s">
        <v>56</v>
      </c>
      <c r="C28" s="4" t="s">
        <v>57</v>
      </c>
      <c r="D28" s="4" t="s">
        <v>58</v>
      </c>
      <c r="E28" s="4" t="s">
        <v>59</v>
      </c>
      <c r="F28" s="4" t="n">
        <v>5851</v>
      </c>
      <c r="G28" s="5" t="s">
        <v>160</v>
      </c>
      <c r="H28" s="5" t="s">
        <v>169</v>
      </c>
      <c r="I28" s="4"/>
      <c r="J28" s="4"/>
      <c r="K28" s="4"/>
      <c r="L28" s="4" t="n">
        <v>100</v>
      </c>
      <c r="M28" s="4" t="n">
        <v>100</v>
      </c>
      <c r="N28" s="4" t="n">
        <v>0</v>
      </c>
      <c r="O28" s="4" t="n">
        <v>89</v>
      </c>
      <c r="P28" s="4" t="n">
        <v>11</v>
      </c>
      <c r="Q28" s="4" t="n">
        <v>25</v>
      </c>
      <c r="R28" s="6" t="n">
        <f aca="false">IF(N(L28)=0,0,O28/L28)</f>
        <v>0.89</v>
      </c>
      <c r="S28" s="4" t="n">
        <f aca="false">IF(R28="","",IF(R28&gt;=0.8,50,IF(R28&gt;=0.5,30,IF(R28&gt;=0.01,10,0))))</f>
        <v>50</v>
      </c>
      <c r="T28" s="4" t="n">
        <f aca="false">IF(TRIM(AI28)="Yes",2.5,0)</f>
        <v>2.5</v>
      </c>
      <c r="U28" s="4" t="n">
        <f aca="false">IF(TRIM(AJ28)="Yes",10,0)</f>
        <v>10</v>
      </c>
      <c r="V28" s="4" t="n">
        <f aca="false">IF(TRIM(AK28)="Yes",5,0)</f>
        <v>5</v>
      </c>
      <c r="W28" s="4" t="n">
        <f aca="false">IF(TRIM(AM28)="Yes",5,0)</f>
        <v>5</v>
      </c>
      <c r="X28" s="4" t="n">
        <f aca="false">IF(OR(TRIM(AN28)="Fully Available",TRIM(AN28)="Not Applicable"),5,IF(TRIM(AN28)="Partially Available",2.5,0))</f>
        <v>2.5</v>
      </c>
      <c r="Y28" s="4" t="n">
        <f aca="false">IF(TRIM(AO28)="Yes",5,0)</f>
        <v>5</v>
      </c>
      <c r="Z28" s="4" t="n">
        <f aca="false">IF(TRIM(AP28)="Yes",2.5,0)</f>
        <v>2.5</v>
      </c>
      <c r="AA28" s="4" t="n">
        <f aca="false">IF(TRIM(AQ28)="Yes",5,0)</f>
        <v>5</v>
      </c>
      <c r="AB28" s="4" t="n">
        <f aca="false">IF(OR(TRIM(AR28)="Yes",TRIM(AR28)="Not Applicable"),5,0)</f>
        <v>5</v>
      </c>
      <c r="AC28" s="4" t="n">
        <f aca="false">IF(TRIM(AS28)="Excellent",5,IF(TRIM(AS28)="Very Good",4,IF(TRIM(AS28)="Good",3,IF(TRIM(AS28)="Average",2,0))))</f>
        <v>4</v>
      </c>
      <c r="AD28" s="7" t="n">
        <f aca="false">IF(COUNT(S28:AC28)=0,"",SUM(S28:AC28))</f>
        <v>96.5</v>
      </c>
      <c r="AE28" s="7"/>
      <c r="AF28" s="8"/>
      <c r="AG28" s="5"/>
      <c r="AH28" s="4"/>
      <c r="AI28" s="4" t="s">
        <v>62</v>
      </c>
      <c r="AJ28" s="4" t="s">
        <v>62</v>
      </c>
      <c r="AK28" s="4" t="s">
        <v>62</v>
      </c>
      <c r="AL28" s="4" t="s">
        <v>63</v>
      </c>
      <c r="AM28" s="4" t="s">
        <v>62</v>
      </c>
      <c r="AN28" s="4" t="s">
        <v>147</v>
      </c>
      <c r="AO28" s="4" t="s">
        <v>62</v>
      </c>
      <c r="AP28" s="4" t="s">
        <v>62</v>
      </c>
      <c r="AQ28" s="4" t="s">
        <v>62</v>
      </c>
      <c r="AR28" s="4" t="s">
        <v>73</v>
      </c>
      <c r="AS28" s="4" t="s">
        <v>74</v>
      </c>
      <c r="AT28" s="4" t="n">
        <v>7</v>
      </c>
      <c r="AU28" s="4" t="s">
        <v>66</v>
      </c>
      <c r="AV28" s="4" t="s">
        <v>151</v>
      </c>
      <c r="AW28" s="4" t="s">
        <v>170</v>
      </c>
      <c r="AX28" s="4" t="s">
        <v>163</v>
      </c>
      <c r="AY28" s="4" t="n">
        <v>2</v>
      </c>
      <c r="AZ28" s="4" t="s">
        <v>62</v>
      </c>
      <c r="BA28" s="4" t="s">
        <v>164</v>
      </c>
      <c r="BB28" s="4" t="s">
        <v>59</v>
      </c>
      <c r="BC28" s="6" t="n">
        <v>0.2809</v>
      </c>
      <c r="BD28" s="4" t="n">
        <v>79</v>
      </c>
    </row>
    <row r="29" customFormat="false" ht="285.05" hidden="false" customHeight="false" outlineLevel="0" collapsed="false">
      <c r="A29" s="4" t="n">
        <v>14</v>
      </c>
      <c r="B29" s="4" t="s">
        <v>56</v>
      </c>
      <c r="C29" s="4" t="s">
        <v>57</v>
      </c>
      <c r="D29" s="4" t="s">
        <v>58</v>
      </c>
      <c r="E29" s="4" t="s">
        <v>59</v>
      </c>
      <c r="F29" s="4" t="n">
        <v>2245</v>
      </c>
      <c r="G29" s="5" t="s">
        <v>171</v>
      </c>
      <c r="H29" s="5" t="s">
        <v>172</v>
      </c>
      <c r="I29" s="4"/>
      <c r="J29" s="4"/>
      <c r="K29" s="4"/>
      <c r="L29" s="4" t="n">
        <v>20</v>
      </c>
      <c r="M29" s="4" t="n">
        <v>20</v>
      </c>
      <c r="N29" s="4" t="n">
        <v>0</v>
      </c>
      <c r="O29" s="4" t="n">
        <v>16</v>
      </c>
      <c r="P29" s="4" t="n">
        <v>4</v>
      </c>
      <c r="Q29" s="4" t="n">
        <v>7</v>
      </c>
      <c r="R29" s="6" t="n">
        <f aca="false">IF(N(L29)=0,0,O29/L29)</f>
        <v>0.8</v>
      </c>
      <c r="S29" s="4" t="n">
        <f aca="false">IF(R29="","",IF(R29&gt;=0.8,50,IF(R29&gt;=0.5,30,IF(R29&gt;=0.01,10,0))))</f>
        <v>50</v>
      </c>
      <c r="T29" s="4" t="n">
        <f aca="false">IF(TRIM(AI29)="Yes",2.5,0)</f>
        <v>2.5</v>
      </c>
      <c r="U29" s="4" t="n">
        <f aca="false">IF(TRIM(AJ29)="Yes",10,0)</f>
        <v>0</v>
      </c>
      <c r="V29" s="4" t="n">
        <f aca="false">IF(TRIM(AK29)="Yes",5,0)</f>
        <v>5</v>
      </c>
      <c r="W29" s="4" t="n">
        <f aca="false">IF(TRIM(AM29)="Yes",5,0)</f>
        <v>5</v>
      </c>
      <c r="X29" s="4" t="n">
        <f aca="false">IF(OR(TRIM(AN29)="Fully Available",TRIM(AN29)="Not Applicable"),5,IF(TRIM(AN29)="Partially Available",2.5,0))</f>
        <v>2.5</v>
      </c>
      <c r="Y29" s="4" t="n">
        <f aca="false">IF(TRIM(AO29)="Yes",5,0)</f>
        <v>5</v>
      </c>
      <c r="Z29" s="4" t="n">
        <f aca="false">IF(TRIM(AP29)="Yes",2.5,0)</f>
        <v>2.5</v>
      </c>
      <c r="AA29" s="4" t="n">
        <f aca="false">IF(TRIM(AQ29)="Yes",5,0)</f>
        <v>5</v>
      </c>
      <c r="AB29" s="4" t="n">
        <f aca="false">IF(OR(TRIM(AR29)="Yes",TRIM(AR29)="Not Applicable"),5,0)</f>
        <v>5</v>
      </c>
      <c r="AC29" s="4" t="n">
        <f aca="false">IF(TRIM(AS29)="Excellent",5,IF(TRIM(AS29)="Very Good",4,IF(TRIM(AS29)="Good",3,IF(TRIM(AS29)="Average",2,0))))</f>
        <v>2</v>
      </c>
      <c r="AD29" s="7" t="n">
        <f aca="false">IF(COUNT(S29:AC29)=0,"",SUM(S29:AC29))</f>
        <v>84.5</v>
      </c>
      <c r="AE29" s="7" t="n">
        <f aca="false">IF(COUNTIF($F$2:F29,F29)=1,IFERROR(AVERAGEIF($F:$F,F29,$AD:$AD),""),"")</f>
        <v>84.5</v>
      </c>
      <c r="AF29" s="8" t="str">
        <f aca="false">IF(AH29&lt;&gt;"",AH29,IF(AE29="","",IF(AE29&gt;=80,"Excellent",IF(AE29&gt;=70,"Very Good",IF(AE29&gt;=60,"Good",IF(AE29&gt;=50,"Average","Poor"))))))</f>
        <v>Excellent</v>
      </c>
      <c r="AG29" s="5"/>
      <c r="AH29" s="4"/>
      <c r="AI29" s="4" t="s">
        <v>62</v>
      </c>
      <c r="AJ29" s="4" t="s">
        <v>82</v>
      </c>
      <c r="AK29" s="4" t="s">
        <v>62</v>
      </c>
      <c r="AL29" s="4" t="s">
        <v>63</v>
      </c>
      <c r="AM29" s="4" t="s">
        <v>62</v>
      </c>
      <c r="AN29" s="4" t="s">
        <v>147</v>
      </c>
      <c r="AO29" s="4" t="s">
        <v>62</v>
      </c>
      <c r="AP29" s="4" t="s">
        <v>62</v>
      </c>
      <c r="AQ29" s="4" t="s">
        <v>62</v>
      </c>
      <c r="AR29" s="4" t="s">
        <v>62</v>
      </c>
      <c r="AS29" s="4" t="s">
        <v>173</v>
      </c>
      <c r="AT29" s="4" t="n">
        <v>19</v>
      </c>
      <c r="AU29" s="4" t="s">
        <v>66</v>
      </c>
      <c r="AV29" s="4" t="s">
        <v>151</v>
      </c>
      <c r="AW29" s="4" t="s">
        <v>174</v>
      </c>
      <c r="AX29" s="4" t="s">
        <v>175</v>
      </c>
      <c r="AY29" s="4" t="n">
        <v>6</v>
      </c>
      <c r="AZ29" s="4" t="s">
        <v>62</v>
      </c>
      <c r="BA29" s="4" t="s">
        <v>176</v>
      </c>
      <c r="BB29" s="4" t="s">
        <v>59</v>
      </c>
      <c r="BC29" s="6" t="n">
        <v>0.4375</v>
      </c>
      <c r="BD29" s="4" t="n">
        <v>72</v>
      </c>
    </row>
    <row r="30" customFormat="false" ht="285.05" hidden="false" customHeight="false" outlineLevel="0" collapsed="false">
      <c r="A30" s="4"/>
      <c r="B30" s="4" t="s">
        <v>56</v>
      </c>
      <c r="C30" s="4" t="s">
        <v>57</v>
      </c>
      <c r="D30" s="4" t="s">
        <v>58</v>
      </c>
      <c r="E30" s="4" t="s">
        <v>59</v>
      </c>
      <c r="F30" s="4" t="n">
        <v>2245</v>
      </c>
      <c r="G30" s="5" t="s">
        <v>171</v>
      </c>
      <c r="H30" s="5" t="s">
        <v>177</v>
      </c>
      <c r="I30" s="4"/>
      <c r="J30" s="4"/>
      <c r="K30" s="4"/>
      <c r="L30" s="4" t="n">
        <v>20</v>
      </c>
      <c r="M30" s="4" t="n">
        <v>20</v>
      </c>
      <c r="N30" s="4" t="n">
        <v>0</v>
      </c>
      <c r="O30" s="4" t="n">
        <v>17</v>
      </c>
      <c r="P30" s="4" t="n">
        <v>3</v>
      </c>
      <c r="Q30" s="4" t="n">
        <v>7</v>
      </c>
      <c r="R30" s="6" t="n">
        <f aca="false">IF(N(L30)=0,0,O30/L30)</f>
        <v>0.85</v>
      </c>
      <c r="S30" s="4" t="n">
        <f aca="false">IF(R30="","",IF(R30&gt;=0.8,50,IF(R30&gt;=0.5,30,IF(R30&gt;=0.01,10,0))))</f>
        <v>50</v>
      </c>
      <c r="T30" s="4" t="n">
        <f aca="false">IF(TRIM(AI30)="Yes",2.5,0)</f>
        <v>2.5</v>
      </c>
      <c r="U30" s="4" t="n">
        <f aca="false">IF(TRIM(AJ30)="Yes",10,0)</f>
        <v>0</v>
      </c>
      <c r="V30" s="4" t="n">
        <f aca="false">IF(TRIM(AK30)="Yes",5,0)</f>
        <v>5</v>
      </c>
      <c r="W30" s="4" t="n">
        <f aca="false">IF(TRIM(AM30)="Yes",5,0)</f>
        <v>5</v>
      </c>
      <c r="X30" s="4" t="n">
        <f aca="false">IF(OR(TRIM(AN30)="Fully Available",TRIM(AN30)="Not Applicable"),5,IF(TRIM(AN30)="Partially Available",2.5,0))</f>
        <v>2.5</v>
      </c>
      <c r="Y30" s="4" t="n">
        <f aca="false">IF(TRIM(AO30)="Yes",5,0)</f>
        <v>5</v>
      </c>
      <c r="Z30" s="4" t="n">
        <f aca="false">IF(TRIM(AP30)="Yes",2.5,0)</f>
        <v>2.5</v>
      </c>
      <c r="AA30" s="4" t="n">
        <f aca="false">IF(TRIM(AQ30)="Yes",5,0)</f>
        <v>5</v>
      </c>
      <c r="AB30" s="4" t="n">
        <f aca="false">IF(OR(TRIM(AR30)="Yes",TRIM(AR30)="Not Applicable"),5,0)</f>
        <v>5</v>
      </c>
      <c r="AC30" s="4" t="n">
        <f aca="false">IF(TRIM(AS30)="Excellent",5,IF(TRIM(AS30)="Very Good",4,IF(TRIM(AS30)="Good",3,IF(TRIM(AS30)="Average",2,0))))</f>
        <v>2</v>
      </c>
      <c r="AD30" s="7" t="n">
        <f aca="false">IF(COUNT(S30:AC30)=0,"",SUM(S30:AC30))</f>
        <v>84.5</v>
      </c>
      <c r="AE30" s="7"/>
      <c r="AF30" s="8"/>
      <c r="AG30" s="5"/>
      <c r="AH30" s="4"/>
      <c r="AI30" s="4" t="s">
        <v>62</v>
      </c>
      <c r="AJ30" s="4" t="s">
        <v>82</v>
      </c>
      <c r="AK30" s="4" t="s">
        <v>62</v>
      </c>
      <c r="AL30" s="4" t="s">
        <v>63</v>
      </c>
      <c r="AM30" s="4" t="s">
        <v>62</v>
      </c>
      <c r="AN30" s="4" t="s">
        <v>147</v>
      </c>
      <c r="AO30" s="4" t="s">
        <v>62</v>
      </c>
      <c r="AP30" s="4" t="s">
        <v>62</v>
      </c>
      <c r="AQ30" s="4" t="s">
        <v>62</v>
      </c>
      <c r="AR30" s="4" t="s">
        <v>73</v>
      </c>
      <c r="AS30" s="4" t="s">
        <v>173</v>
      </c>
      <c r="AT30" s="4" t="n">
        <v>7</v>
      </c>
      <c r="AU30" s="4" t="s">
        <v>66</v>
      </c>
      <c r="AV30" s="4" t="s">
        <v>151</v>
      </c>
      <c r="AW30" s="4" t="s">
        <v>178</v>
      </c>
      <c r="AX30" s="4" t="s">
        <v>179</v>
      </c>
      <c r="AY30" s="4" t="n">
        <v>7</v>
      </c>
      <c r="AZ30" s="4" t="s">
        <v>62</v>
      </c>
      <c r="BA30" s="4" t="s">
        <v>176</v>
      </c>
      <c r="BB30" s="4" t="s">
        <v>59</v>
      </c>
      <c r="BC30" s="6" t="n">
        <v>0.4118</v>
      </c>
      <c r="BD30" s="4" t="n">
        <v>72</v>
      </c>
    </row>
    <row r="31" customFormat="false" ht="143.25" hidden="false" customHeight="false" outlineLevel="0" collapsed="false">
      <c r="A31" s="4" t="n">
        <v>15</v>
      </c>
      <c r="B31" s="4" t="s">
        <v>56</v>
      </c>
      <c r="C31" s="4" t="s">
        <v>57</v>
      </c>
      <c r="D31" s="4" t="s">
        <v>58</v>
      </c>
      <c r="E31" s="4" t="s">
        <v>59</v>
      </c>
      <c r="F31" s="4" t="n">
        <v>670</v>
      </c>
      <c r="G31" s="5" t="s">
        <v>180</v>
      </c>
      <c r="H31" s="5" t="s">
        <v>181</v>
      </c>
      <c r="I31" s="4"/>
      <c r="J31" s="4"/>
      <c r="K31" s="4"/>
      <c r="L31" s="4" t="n">
        <v>20</v>
      </c>
      <c r="M31" s="4" t="n">
        <v>20</v>
      </c>
      <c r="N31" s="4" t="n">
        <v>0</v>
      </c>
      <c r="O31" s="4" t="n">
        <v>14</v>
      </c>
      <c r="P31" s="4" t="n">
        <v>6</v>
      </c>
      <c r="Q31" s="4" t="n">
        <v>7</v>
      </c>
      <c r="R31" s="6" t="n">
        <f aca="false">IF(N(L31)=0,0,O31/L31)</f>
        <v>0.7</v>
      </c>
      <c r="S31" s="4" t="n">
        <f aca="false">IF(R31="","",IF(R31&gt;=0.8,50,IF(R31&gt;=0.5,30,IF(R31&gt;=0.01,10,0))))</f>
        <v>30</v>
      </c>
      <c r="T31" s="4" t="n">
        <f aca="false">IF(TRIM(AI31)="Yes",2.5,0)</f>
        <v>0</v>
      </c>
      <c r="U31" s="4" t="n">
        <f aca="false">IF(TRIM(AJ31)="Yes",10,0)</f>
        <v>10</v>
      </c>
      <c r="V31" s="4" t="n">
        <f aca="false">IF(TRIM(AK31)="Yes",5,0)</f>
        <v>5</v>
      </c>
      <c r="W31" s="4" t="n">
        <f aca="false">IF(TRIM(AM31)="Yes",5,0)</f>
        <v>5</v>
      </c>
      <c r="X31" s="4" t="n">
        <f aca="false">IF(OR(TRIM(AN31)="Fully Available",TRIM(AN31)="Not Applicable"),5,IF(TRIM(AN31)="Partially Available",2.5,0))</f>
        <v>5</v>
      </c>
      <c r="Y31" s="4" t="n">
        <f aca="false">IF(TRIM(AO31)="Yes",5,0)</f>
        <v>5</v>
      </c>
      <c r="Z31" s="4" t="n">
        <f aca="false">IF(TRIM(AP31)="Yes",2.5,0)</f>
        <v>2.5</v>
      </c>
      <c r="AA31" s="4" t="n">
        <f aca="false">IF(TRIM(AQ31)="Yes",5,0)</f>
        <v>5</v>
      </c>
      <c r="AB31" s="4" t="n">
        <f aca="false">IF(OR(TRIM(AR31)="Yes",TRIM(AR31)="Not Applicable"),5,0)</f>
        <v>5</v>
      </c>
      <c r="AC31" s="4" t="n">
        <f aca="false">IF(TRIM(AS31)="Excellent",5,IF(TRIM(AS31)="Very Good",4,IF(TRIM(AS31)="Good",3,IF(TRIM(AS31)="Average",2,0))))</f>
        <v>4</v>
      </c>
      <c r="AD31" s="7" t="n">
        <f aca="false">IF(COUNT(S31:AC31)=0,"",SUM(S31:AC31))</f>
        <v>76.5</v>
      </c>
      <c r="AE31" s="7" t="n">
        <f aca="false">IF(COUNTIF($F$2:F31,F31)=1,IFERROR(AVERAGEIF($F:$F,F31,$AD:$AD),""),"")</f>
        <v>76.5</v>
      </c>
      <c r="AF31" s="8" t="str">
        <f aca="false">IF(AH31&lt;&gt;"",AH31,IF(AE31="","",IF(AE31&gt;=80,"Excellent",IF(AE31&gt;=70,"Very Good",IF(AE31&gt;=60,"Good",IF(AE31&gt;=50,"Average","Poor"))))))</f>
        <v>Very Good</v>
      </c>
      <c r="AG31" s="5"/>
      <c r="AH31" s="4"/>
      <c r="AI31" s="4" t="s">
        <v>82</v>
      </c>
      <c r="AJ31" s="4" t="s">
        <v>62</v>
      </c>
      <c r="AK31" s="4" t="s">
        <v>62</v>
      </c>
      <c r="AL31" s="4" t="s">
        <v>63</v>
      </c>
      <c r="AM31" s="4" t="s">
        <v>62</v>
      </c>
      <c r="AN31" s="4" t="s">
        <v>64</v>
      </c>
      <c r="AO31" s="4" t="s">
        <v>62</v>
      </c>
      <c r="AP31" s="4" t="s">
        <v>62</v>
      </c>
      <c r="AQ31" s="4" t="s">
        <v>62</v>
      </c>
      <c r="AR31" s="4" t="s">
        <v>73</v>
      </c>
      <c r="AS31" s="4" t="s">
        <v>74</v>
      </c>
      <c r="AT31" s="4" t="n">
        <v>4</v>
      </c>
      <c r="AU31" s="4" t="s">
        <v>66</v>
      </c>
      <c r="AV31" s="4" t="s">
        <v>151</v>
      </c>
      <c r="AW31" s="4" t="s">
        <v>182</v>
      </c>
      <c r="AX31" s="4" t="s">
        <v>102</v>
      </c>
      <c r="AY31" s="4" t="n">
        <v>4</v>
      </c>
      <c r="AZ31" s="4" t="s">
        <v>62</v>
      </c>
      <c r="BA31" s="4" t="s">
        <v>183</v>
      </c>
      <c r="BB31" s="4" t="s">
        <v>59</v>
      </c>
      <c r="BC31" s="6" t="n">
        <v>0.5</v>
      </c>
      <c r="BD31" s="4" t="n">
        <v>81</v>
      </c>
    </row>
    <row r="32" customFormat="false" ht="228.35" hidden="false" customHeight="false" outlineLevel="0" collapsed="false">
      <c r="A32" s="4" t="n">
        <v>16</v>
      </c>
      <c r="B32" s="4" t="s">
        <v>56</v>
      </c>
      <c r="C32" s="4" t="s">
        <v>57</v>
      </c>
      <c r="D32" s="4" t="s">
        <v>58</v>
      </c>
      <c r="E32" s="4" t="s">
        <v>59</v>
      </c>
      <c r="F32" s="4" t="n">
        <v>2753</v>
      </c>
      <c r="G32" s="5" t="s">
        <v>184</v>
      </c>
      <c r="H32" s="5" t="s">
        <v>61</v>
      </c>
      <c r="I32" s="4"/>
      <c r="J32" s="4"/>
      <c r="K32" s="4"/>
      <c r="L32" s="4" t="n">
        <v>15</v>
      </c>
      <c r="M32" s="4" t="n">
        <v>13</v>
      </c>
      <c r="N32" s="4" t="n">
        <v>2</v>
      </c>
      <c r="O32" s="4" t="n">
        <v>9</v>
      </c>
      <c r="P32" s="4" t="n">
        <v>4</v>
      </c>
      <c r="Q32" s="4" t="n">
        <v>5</v>
      </c>
      <c r="R32" s="6" t="n">
        <f aca="false">IF(N(L32)=0,0,O32/L32)</f>
        <v>0.6</v>
      </c>
      <c r="S32" s="4" t="n">
        <f aca="false">IF(R32="","",IF(R32&gt;=0.8,50,IF(R32&gt;=0.5,30,IF(R32&gt;=0.01,10,0))))</f>
        <v>30</v>
      </c>
      <c r="T32" s="4" t="n">
        <f aca="false">IF(TRIM(AI32)="Yes",2.5,0)</f>
        <v>2.5</v>
      </c>
      <c r="U32" s="4" t="n">
        <f aca="false">IF(TRIM(AJ32)="Yes",10,0)</f>
        <v>10</v>
      </c>
      <c r="V32" s="4" t="n">
        <f aca="false">IF(TRIM(AK32)="Yes",5,0)</f>
        <v>5</v>
      </c>
      <c r="W32" s="4" t="n">
        <f aca="false">IF(TRIM(AM32)="Yes",5,0)</f>
        <v>5</v>
      </c>
      <c r="X32" s="4" t="n">
        <f aca="false">IF(OR(TRIM(AN32)="Fully Available",TRIM(AN32)="Not Applicable"),5,IF(TRIM(AN32)="Partially Available",2.5,0))</f>
        <v>5</v>
      </c>
      <c r="Y32" s="4" t="n">
        <f aca="false">IF(TRIM(AO32)="Yes",5,0)</f>
        <v>5</v>
      </c>
      <c r="Z32" s="4" t="n">
        <f aca="false">IF(TRIM(AP32)="Yes",2.5,0)</f>
        <v>2.5</v>
      </c>
      <c r="AA32" s="4" t="n">
        <f aca="false">IF(TRIM(AQ32)="Yes",5,0)</f>
        <v>5</v>
      </c>
      <c r="AB32" s="4" t="n">
        <f aca="false">IF(OR(TRIM(AR32)="Yes",TRIM(AR32)="Not Applicable"),5,0)</f>
        <v>5</v>
      </c>
      <c r="AC32" s="4" t="n">
        <f aca="false">IF(TRIM(AS32)="Excellent",5,IF(TRIM(AS32)="Very Good",4,IF(TRIM(AS32)="Good",3,IF(TRIM(AS32)="Average",2,0))))</f>
        <v>3</v>
      </c>
      <c r="AD32" s="7" t="n">
        <f aca="false">IF(COUNT(S32:AC32)=0,"",SUM(S32:AC32))</f>
        <v>78</v>
      </c>
      <c r="AE32" s="7" t="n">
        <f aca="false">IF(COUNTIF($F$2:F32,F32)=1,IFERROR(AVERAGEIF($F:$F,F32,$AD:$AD),""),"")</f>
        <v>78</v>
      </c>
      <c r="AF32" s="8" t="str">
        <f aca="false">IF(AH32&lt;&gt;"",AH32,IF(AE32="","",IF(AE32&gt;=80,"Excellent",IF(AE32&gt;=70,"Very Good",IF(AE32&gt;=60,"Good",IF(AE32&gt;=50,"Average","Poor"))))))</f>
        <v>Very Good</v>
      </c>
      <c r="AG32" s="5"/>
      <c r="AH32" s="4"/>
      <c r="AI32" s="4" t="s">
        <v>62</v>
      </c>
      <c r="AJ32" s="4" t="s">
        <v>62</v>
      </c>
      <c r="AK32" s="4" t="s">
        <v>62</v>
      </c>
      <c r="AL32" s="4" t="s">
        <v>63</v>
      </c>
      <c r="AM32" s="4" t="s">
        <v>62</v>
      </c>
      <c r="AN32" s="4" t="s">
        <v>64</v>
      </c>
      <c r="AO32" s="4" t="s">
        <v>62</v>
      </c>
      <c r="AP32" s="4" t="s">
        <v>62</v>
      </c>
      <c r="AQ32" s="4" t="s">
        <v>62</v>
      </c>
      <c r="AR32" s="4" t="s">
        <v>62</v>
      </c>
      <c r="AS32" s="4" t="s">
        <v>185</v>
      </c>
      <c r="AT32" s="4" t="n">
        <v>5</v>
      </c>
      <c r="AU32" s="4" t="s">
        <v>66</v>
      </c>
      <c r="AV32" s="4" t="s">
        <v>186</v>
      </c>
      <c r="AW32" s="4" t="s">
        <v>187</v>
      </c>
      <c r="AX32" s="4" t="s">
        <v>188</v>
      </c>
      <c r="AY32" s="4" t="n">
        <v>15</v>
      </c>
      <c r="AZ32" s="4" t="s">
        <v>62</v>
      </c>
      <c r="BA32" s="4" t="s">
        <v>189</v>
      </c>
      <c r="BB32" s="4" t="s">
        <v>59</v>
      </c>
      <c r="BC32" s="6" t="n">
        <v>0.5556</v>
      </c>
      <c r="BD32" s="4" t="n">
        <v>87</v>
      </c>
    </row>
    <row r="33" customFormat="false" ht="228.35" hidden="false" customHeight="false" outlineLevel="0" collapsed="false">
      <c r="A33" s="4"/>
      <c r="B33" s="4" t="s">
        <v>56</v>
      </c>
      <c r="C33" s="4" t="s">
        <v>57</v>
      </c>
      <c r="D33" s="4" t="s">
        <v>58</v>
      </c>
      <c r="E33" s="4" t="s">
        <v>59</v>
      </c>
      <c r="F33" s="4" t="n">
        <v>2753</v>
      </c>
      <c r="G33" s="5" t="s">
        <v>184</v>
      </c>
      <c r="H33" s="5" t="s">
        <v>190</v>
      </c>
      <c r="I33" s="4"/>
      <c r="J33" s="4"/>
      <c r="K33" s="4"/>
      <c r="L33" s="4" t="n">
        <v>20</v>
      </c>
      <c r="M33" s="4" t="n">
        <v>20</v>
      </c>
      <c r="N33" s="4" t="n">
        <v>0</v>
      </c>
      <c r="O33" s="4" t="n">
        <v>11</v>
      </c>
      <c r="P33" s="4" t="n">
        <v>9</v>
      </c>
      <c r="Q33" s="4" t="n">
        <v>7</v>
      </c>
      <c r="R33" s="6" t="n">
        <f aca="false">IF(N(L33)=0,0,O33/L33)</f>
        <v>0.55</v>
      </c>
      <c r="S33" s="4" t="n">
        <f aca="false">IF(R33="","",IF(R33&gt;=0.8,50,IF(R33&gt;=0.5,30,IF(R33&gt;=0.01,10,0))))</f>
        <v>30</v>
      </c>
      <c r="T33" s="4" t="n">
        <f aca="false">IF(TRIM(AI33)="Yes",2.5,0)</f>
        <v>2.5</v>
      </c>
      <c r="U33" s="4" t="n">
        <f aca="false">IF(TRIM(AJ33)="Yes",10,0)</f>
        <v>10</v>
      </c>
      <c r="V33" s="4" t="n">
        <f aca="false">IF(TRIM(AK33)="Yes",5,0)</f>
        <v>5</v>
      </c>
      <c r="W33" s="4" t="n">
        <f aca="false">IF(TRIM(AM33)="Yes",5,0)</f>
        <v>5</v>
      </c>
      <c r="X33" s="4" t="n">
        <f aca="false">IF(OR(TRIM(AN33)="Fully Available",TRIM(AN33)="Not Applicable"),5,IF(TRIM(AN33)="Partially Available",2.5,0))</f>
        <v>5</v>
      </c>
      <c r="Y33" s="4" t="n">
        <f aca="false">IF(TRIM(AO33)="Yes",5,0)</f>
        <v>5</v>
      </c>
      <c r="Z33" s="4" t="n">
        <f aca="false">IF(TRIM(AP33)="Yes",2.5,0)</f>
        <v>2.5</v>
      </c>
      <c r="AA33" s="4" t="n">
        <f aca="false">IF(TRIM(AQ33)="Yes",5,0)</f>
        <v>5</v>
      </c>
      <c r="AB33" s="4" t="n">
        <f aca="false">IF(OR(TRIM(AR33)="Yes",TRIM(AR33)="Not Applicable"),5,0)</f>
        <v>5</v>
      </c>
      <c r="AC33" s="4" t="n">
        <f aca="false">IF(TRIM(AS33)="Excellent",5,IF(TRIM(AS33)="Very Good",4,IF(TRIM(AS33)="Good",3,IF(TRIM(AS33)="Average",2,0))))</f>
        <v>3</v>
      </c>
      <c r="AD33" s="7" t="n">
        <f aca="false">IF(COUNT(S33:AC33)=0,"",SUM(S33:AC33))</f>
        <v>78</v>
      </c>
      <c r="AE33" s="7"/>
      <c r="AF33" s="8"/>
      <c r="AG33" s="5"/>
      <c r="AH33" s="4"/>
      <c r="AI33" s="4" t="s">
        <v>62</v>
      </c>
      <c r="AJ33" s="4" t="s">
        <v>62</v>
      </c>
      <c r="AK33" s="4" t="s">
        <v>62</v>
      </c>
      <c r="AL33" s="4" t="s">
        <v>63</v>
      </c>
      <c r="AM33" s="4" t="s">
        <v>62</v>
      </c>
      <c r="AN33" s="4" t="s">
        <v>64</v>
      </c>
      <c r="AO33" s="4" t="s">
        <v>62</v>
      </c>
      <c r="AP33" s="4" t="s">
        <v>62</v>
      </c>
      <c r="AQ33" s="4" t="s">
        <v>62</v>
      </c>
      <c r="AR33" s="4" t="s">
        <v>73</v>
      </c>
      <c r="AS33" s="4" t="s">
        <v>185</v>
      </c>
      <c r="AT33" s="4" t="n">
        <v>4</v>
      </c>
      <c r="AU33" s="4" t="s">
        <v>112</v>
      </c>
      <c r="AV33" s="4" t="s">
        <v>186</v>
      </c>
      <c r="AW33" s="4" t="s">
        <v>191</v>
      </c>
      <c r="AX33" s="4" t="s">
        <v>192</v>
      </c>
      <c r="AY33" s="4" t="n">
        <v>10</v>
      </c>
      <c r="AZ33" s="4" t="s">
        <v>62</v>
      </c>
      <c r="BA33" s="4" t="s">
        <v>189</v>
      </c>
      <c r="BB33" s="4" t="s">
        <v>59</v>
      </c>
      <c r="BC33" s="6" t="n">
        <v>0.6364</v>
      </c>
      <c r="BD33" s="4" t="n">
        <v>87</v>
      </c>
    </row>
    <row r="34" customFormat="false" ht="242.5" hidden="false" customHeight="false" outlineLevel="0" collapsed="false">
      <c r="A34" s="4" t="n">
        <v>17</v>
      </c>
      <c r="B34" s="4" t="s">
        <v>56</v>
      </c>
      <c r="C34" s="4" t="s">
        <v>57</v>
      </c>
      <c r="D34" s="4" t="s">
        <v>58</v>
      </c>
      <c r="E34" s="4" t="s">
        <v>59</v>
      </c>
      <c r="F34" s="4" t="n">
        <v>1377</v>
      </c>
      <c r="G34" s="5" t="s">
        <v>193</v>
      </c>
      <c r="H34" s="5" t="s">
        <v>177</v>
      </c>
      <c r="I34" s="4"/>
      <c r="J34" s="4"/>
      <c r="K34" s="4"/>
      <c r="L34" s="4" t="n">
        <v>20</v>
      </c>
      <c r="M34" s="4" t="n">
        <v>20</v>
      </c>
      <c r="N34" s="4" t="n">
        <v>0</v>
      </c>
      <c r="O34" s="4" t="n">
        <v>15</v>
      </c>
      <c r="P34" s="4" t="n">
        <v>5</v>
      </c>
      <c r="Q34" s="4" t="n">
        <v>7</v>
      </c>
      <c r="R34" s="6" t="n">
        <f aca="false">IF(N(L34)=0,0,O34/L34)</f>
        <v>0.75</v>
      </c>
      <c r="S34" s="4" t="n">
        <f aca="false">IF(R34="","",IF(R34&gt;=0.8,50,IF(R34&gt;=0.5,30,IF(R34&gt;=0.01,10,0))))</f>
        <v>30</v>
      </c>
      <c r="T34" s="4" t="n">
        <f aca="false">IF(TRIM(AI34)="Yes",2.5,0)</f>
        <v>2.5</v>
      </c>
      <c r="U34" s="4" t="n">
        <f aca="false">IF(TRIM(AJ34)="Yes",10,0)</f>
        <v>10</v>
      </c>
      <c r="V34" s="4" t="n">
        <f aca="false">IF(TRIM(AK34)="Yes",5,0)</f>
        <v>5</v>
      </c>
      <c r="W34" s="4" t="n">
        <f aca="false">IF(TRIM(AM34)="Yes",5,0)</f>
        <v>5</v>
      </c>
      <c r="X34" s="4" t="n">
        <f aca="false">IF(OR(TRIM(AN34)="Fully Available",TRIM(AN34)="Not Applicable"),5,IF(TRIM(AN34)="Partially Available",2.5,0))</f>
        <v>5</v>
      </c>
      <c r="Y34" s="4" t="n">
        <f aca="false">IF(TRIM(AO34)="Yes",5,0)</f>
        <v>5</v>
      </c>
      <c r="Z34" s="4" t="n">
        <f aca="false">IF(TRIM(AP34)="Yes",2.5,0)</f>
        <v>2.5</v>
      </c>
      <c r="AA34" s="4" t="n">
        <f aca="false">IF(TRIM(AQ34)="Yes",5,0)</f>
        <v>5</v>
      </c>
      <c r="AB34" s="4" t="n">
        <f aca="false">IF(OR(TRIM(AR34)="Yes",TRIM(AR34)="Not Applicable"),5,0)</f>
        <v>5</v>
      </c>
      <c r="AC34" s="4" t="n">
        <f aca="false">IF(TRIM(AS34)="Excellent",5,IF(TRIM(AS34)="Very Good",4,IF(TRIM(AS34)="Good",3,IF(TRIM(AS34)="Average",2,0))))</f>
        <v>4</v>
      </c>
      <c r="AD34" s="7" t="n">
        <f aca="false">IF(COUNT(S34:AC34)=0,"",SUM(S34:AC34))</f>
        <v>79</v>
      </c>
      <c r="AE34" s="7" t="n">
        <f aca="false">IF(COUNTIF($F$2:F34,F34)=1,IFERROR(AVERAGEIF($F:$F,F34,$AD:$AD),""),"")</f>
        <v>89</v>
      </c>
      <c r="AF34" s="8" t="str">
        <f aca="false">IF(AH34&lt;&gt;"",AH34,IF(AE34="","",IF(AE34&gt;=80,"Excellent",IF(AE34&gt;=70,"Very Good",IF(AE34&gt;=60,"Good",IF(AE34&gt;=50,"Average","Poor"))))))</f>
        <v>Excellent</v>
      </c>
      <c r="AG34" s="5"/>
      <c r="AH34" s="4"/>
      <c r="AI34" s="4" t="s">
        <v>62</v>
      </c>
      <c r="AJ34" s="4" t="s">
        <v>62</v>
      </c>
      <c r="AK34" s="4" t="s">
        <v>62</v>
      </c>
      <c r="AL34" s="4" t="s">
        <v>63</v>
      </c>
      <c r="AM34" s="4" t="s">
        <v>62</v>
      </c>
      <c r="AN34" s="4" t="s">
        <v>64</v>
      </c>
      <c r="AO34" s="4" t="s">
        <v>62</v>
      </c>
      <c r="AP34" s="4" t="s">
        <v>62</v>
      </c>
      <c r="AQ34" s="4" t="s">
        <v>62</v>
      </c>
      <c r="AR34" s="4" t="s">
        <v>62</v>
      </c>
      <c r="AS34" s="4" t="s">
        <v>74</v>
      </c>
      <c r="AT34" s="4" t="n">
        <v>11</v>
      </c>
      <c r="AU34" s="4" t="s">
        <v>66</v>
      </c>
      <c r="AV34" s="4" t="s">
        <v>151</v>
      </c>
      <c r="AW34" s="4" t="s">
        <v>194</v>
      </c>
      <c r="AX34" s="4" t="s">
        <v>195</v>
      </c>
      <c r="AY34" s="4" t="n">
        <v>8</v>
      </c>
      <c r="AZ34" s="4" t="s">
        <v>62</v>
      </c>
      <c r="BA34" s="4" t="s">
        <v>196</v>
      </c>
      <c r="BB34" s="4" t="s">
        <v>59</v>
      </c>
      <c r="BC34" s="6" t="n">
        <v>0.4667</v>
      </c>
      <c r="BD34" s="4" t="n">
        <v>93</v>
      </c>
    </row>
    <row r="35" customFormat="false" ht="242.5" hidden="false" customHeight="false" outlineLevel="0" collapsed="false">
      <c r="A35" s="4"/>
      <c r="B35" s="4" t="s">
        <v>56</v>
      </c>
      <c r="C35" s="4" t="s">
        <v>57</v>
      </c>
      <c r="D35" s="4" t="s">
        <v>58</v>
      </c>
      <c r="E35" s="4" t="s">
        <v>59</v>
      </c>
      <c r="F35" s="4" t="n">
        <v>1377</v>
      </c>
      <c r="G35" s="5" t="s">
        <v>193</v>
      </c>
      <c r="H35" s="5" t="s">
        <v>197</v>
      </c>
      <c r="I35" s="4"/>
      <c r="J35" s="4"/>
      <c r="K35" s="4"/>
      <c r="L35" s="4" t="n">
        <v>20</v>
      </c>
      <c r="M35" s="4" t="n">
        <v>20</v>
      </c>
      <c r="N35" s="4" t="n">
        <v>0</v>
      </c>
      <c r="O35" s="4" t="n">
        <v>16</v>
      </c>
      <c r="P35" s="4" t="n">
        <v>4</v>
      </c>
      <c r="Q35" s="4" t="n">
        <v>7</v>
      </c>
      <c r="R35" s="6" t="n">
        <f aca="false">IF(N(L35)=0,0,O35/L35)</f>
        <v>0.8</v>
      </c>
      <c r="S35" s="4" t="n">
        <f aca="false">IF(R35="","",IF(R35&gt;=0.8,50,IF(R35&gt;=0.5,30,IF(R35&gt;=0.01,10,0))))</f>
        <v>50</v>
      </c>
      <c r="T35" s="4" t="n">
        <f aca="false">IF(TRIM(AI35)="Yes",2.5,0)</f>
        <v>2.5</v>
      </c>
      <c r="U35" s="4" t="n">
        <f aca="false">IF(TRIM(AJ35)="Yes",10,0)</f>
        <v>10</v>
      </c>
      <c r="V35" s="4" t="n">
        <f aca="false">IF(TRIM(AK35)="Yes",5,0)</f>
        <v>5</v>
      </c>
      <c r="W35" s="4" t="n">
        <f aca="false">IF(TRIM(AM35)="Yes",5,0)</f>
        <v>5</v>
      </c>
      <c r="X35" s="4" t="n">
        <f aca="false">IF(OR(TRIM(AN35)="Fully Available",TRIM(AN35)="Not Applicable"),5,IF(TRIM(AN35)="Partially Available",2.5,0))</f>
        <v>5</v>
      </c>
      <c r="Y35" s="4" t="n">
        <f aca="false">IF(TRIM(AO35)="Yes",5,0)</f>
        <v>5</v>
      </c>
      <c r="Z35" s="4" t="n">
        <f aca="false">IF(TRIM(AP35)="Yes",2.5,0)</f>
        <v>2.5</v>
      </c>
      <c r="AA35" s="4" t="n">
        <f aca="false">IF(TRIM(AQ35)="Yes",5,0)</f>
        <v>5</v>
      </c>
      <c r="AB35" s="4" t="n">
        <f aca="false">IF(OR(TRIM(AR35)="Yes",TRIM(AR35)="Not Applicable"),5,0)</f>
        <v>5</v>
      </c>
      <c r="AC35" s="4" t="n">
        <f aca="false">IF(TRIM(AS35)="Excellent",5,IF(TRIM(AS35)="Very Good",4,IF(TRIM(AS35)="Good",3,IF(TRIM(AS35)="Average",2,0))))</f>
        <v>4</v>
      </c>
      <c r="AD35" s="7" t="n">
        <f aca="false">IF(COUNT(S35:AC35)=0,"",SUM(S35:AC35))</f>
        <v>99</v>
      </c>
      <c r="AE35" s="7"/>
      <c r="AF35" s="8"/>
      <c r="AG35" s="5"/>
      <c r="AH35" s="4"/>
      <c r="AI35" s="4" t="s">
        <v>62</v>
      </c>
      <c r="AJ35" s="4" t="s">
        <v>62</v>
      </c>
      <c r="AK35" s="4" t="s">
        <v>62</v>
      </c>
      <c r="AL35" s="4" t="s">
        <v>63</v>
      </c>
      <c r="AM35" s="4" t="s">
        <v>62</v>
      </c>
      <c r="AN35" s="4" t="s">
        <v>64</v>
      </c>
      <c r="AO35" s="4" t="s">
        <v>62</v>
      </c>
      <c r="AP35" s="4" t="s">
        <v>62</v>
      </c>
      <c r="AQ35" s="4" t="s">
        <v>62</v>
      </c>
      <c r="AR35" s="4" t="s">
        <v>62</v>
      </c>
      <c r="AS35" s="4" t="s">
        <v>74</v>
      </c>
      <c r="AT35" s="4" t="n">
        <v>12</v>
      </c>
      <c r="AU35" s="4" t="s">
        <v>66</v>
      </c>
      <c r="AV35" s="4" t="s">
        <v>151</v>
      </c>
      <c r="AW35" s="4" t="s">
        <v>198</v>
      </c>
      <c r="AX35" s="4" t="s">
        <v>199</v>
      </c>
      <c r="AY35" s="4" t="n">
        <v>5</v>
      </c>
      <c r="AZ35" s="4" t="s">
        <v>62</v>
      </c>
      <c r="BA35" s="4" t="s">
        <v>196</v>
      </c>
      <c r="BB35" s="4" t="s">
        <v>59</v>
      </c>
      <c r="BC35" s="6" t="n">
        <v>0.4375</v>
      </c>
      <c r="BD35" s="4" t="n">
        <v>93</v>
      </c>
    </row>
    <row r="36" customFormat="false" ht="58.2" hidden="false" customHeight="false" outlineLevel="0" collapsed="false">
      <c r="A36" s="4" t="n">
        <v>18</v>
      </c>
      <c r="B36" s="4" t="s">
        <v>56</v>
      </c>
      <c r="C36" s="4" t="s">
        <v>57</v>
      </c>
      <c r="D36" s="4" t="s">
        <v>58</v>
      </c>
      <c r="E36" s="4" t="s">
        <v>59</v>
      </c>
      <c r="F36" s="4" t="n">
        <v>3203</v>
      </c>
      <c r="G36" s="5" t="s">
        <v>200</v>
      </c>
      <c r="H36" s="5" t="s">
        <v>201</v>
      </c>
      <c r="I36" s="4"/>
      <c r="J36" s="4"/>
      <c r="K36" s="4"/>
      <c r="L36" s="4" t="n">
        <v>10</v>
      </c>
      <c r="M36" s="4" t="n">
        <v>10</v>
      </c>
      <c r="N36" s="4" t="n">
        <v>0</v>
      </c>
      <c r="O36" s="4" t="n">
        <v>0</v>
      </c>
      <c r="P36" s="4" t="n">
        <v>10</v>
      </c>
      <c r="Q36" s="4" t="n">
        <v>0</v>
      </c>
      <c r="R36" s="6" t="n">
        <f aca="false">IF(N(L36)=0,0,O36/L36)</f>
        <v>0</v>
      </c>
      <c r="S36" s="4" t="n">
        <f aca="false">IF(R36="","",IF(R36&gt;=0.8,50,IF(R36&gt;=0.5,30,IF(R36&gt;=0.01,10,0))))</f>
        <v>0</v>
      </c>
      <c r="T36" s="4" t="n">
        <f aca="false">IF(TRIM(AI36)="Yes",2.5,0)</f>
        <v>0</v>
      </c>
      <c r="U36" s="4" t="n">
        <f aca="false">IF(TRIM(AJ36)="Yes",10,0)</f>
        <v>0</v>
      </c>
      <c r="V36" s="4" t="n">
        <f aca="false">IF(TRIM(AK36)="Yes",5,0)</f>
        <v>0</v>
      </c>
      <c r="W36" s="4" t="n">
        <f aca="false">IF(TRIM(AM36)="Yes",5,0)</f>
        <v>0</v>
      </c>
      <c r="X36" s="4" t="n">
        <f aca="false">IF(OR(TRIM(AN36)="Fully Available",TRIM(AN36)="Not Applicable"),5,IF(TRIM(AN36)="Partially Available",2.5,0))</f>
        <v>0</v>
      </c>
      <c r="Y36" s="4" t="n">
        <f aca="false">IF(TRIM(AO36)="Yes",5,0)</f>
        <v>0</v>
      </c>
      <c r="Z36" s="4" t="n">
        <f aca="false">IF(TRIM(AP36)="Yes",2.5,0)</f>
        <v>0</v>
      </c>
      <c r="AA36" s="4" t="n">
        <f aca="false">IF(TRIM(AQ36)="Yes",5,0)</f>
        <v>0</v>
      </c>
      <c r="AB36" s="4" t="n">
        <f aca="false">IF(OR(TRIM(AR36)="Yes",TRIM(AR36)="Not Applicable"),5,0)</f>
        <v>0</v>
      </c>
      <c r="AC36" s="4" t="n">
        <f aca="false">IF(TRIM(AS36)="Excellent",5,IF(TRIM(AS36)="Very Good",4,IF(TRIM(AS36)="Good",3,IF(TRIM(AS36)="Average",2,0))))</f>
        <v>0</v>
      </c>
      <c r="AD36" s="7" t="n">
        <f aca="false">IF(COUNT(S36:AC36)=0,"",SUM(S36:AC36))</f>
        <v>0</v>
      </c>
      <c r="AE36" s="7" t="n">
        <f aca="false">IF(COUNTIF($F$2:F36,F36)=1,IFERROR(AVERAGEIF($F:$F,F36,$AD:$AD),""),"")</f>
        <v>0</v>
      </c>
      <c r="AF36" s="8" t="str">
        <f aca="false">IF(AH36&lt;&gt;"",AH36,IF(AE36="","",IF(AE36&gt;=80,"Excellent",IF(AE36&gt;=70,"Very Good",IF(AE36&gt;=60,"Good",IF(AE36&gt;=50,"Average","Poor"))))))</f>
        <v>Poor</v>
      </c>
      <c r="AG36" s="5" t="s">
        <v>202</v>
      </c>
      <c r="AH36" s="4" t="s">
        <v>203</v>
      </c>
      <c r="AI36" s="4" t="s">
        <v>82</v>
      </c>
      <c r="AJ36" s="4" t="s">
        <v>82</v>
      </c>
      <c r="AK36" s="4" t="s">
        <v>82</v>
      </c>
      <c r="AL36" s="4" t="s">
        <v>63</v>
      </c>
      <c r="AM36" s="4" t="s">
        <v>82</v>
      </c>
      <c r="AN36" s="4" t="s">
        <v>204</v>
      </c>
      <c r="AO36" s="4" t="s">
        <v>82</v>
      </c>
      <c r="AP36" s="4" t="s">
        <v>82</v>
      </c>
      <c r="AQ36" s="4" t="s">
        <v>82</v>
      </c>
      <c r="AR36" s="4" t="s">
        <v>82</v>
      </c>
      <c r="AS36" s="4" t="s">
        <v>203</v>
      </c>
      <c r="AT36" s="4" t="n">
        <v>0</v>
      </c>
      <c r="AU36" s="4" t="s">
        <v>112</v>
      </c>
      <c r="AV36" s="4" t="s">
        <v>67</v>
      </c>
      <c r="AW36" s="4" t="s">
        <v>205</v>
      </c>
      <c r="AX36" s="4"/>
      <c r="AY36" s="4" t="n">
        <v>0</v>
      </c>
      <c r="AZ36" s="4" t="s">
        <v>82</v>
      </c>
      <c r="BA36" s="4" t="s">
        <v>202</v>
      </c>
      <c r="BB36" s="4" t="s">
        <v>59</v>
      </c>
      <c r="BC36" s="6"/>
      <c r="BD36" s="4" t="n">
        <v>15</v>
      </c>
    </row>
    <row r="37" customFormat="false" ht="185.8" hidden="false" customHeight="false" outlineLevel="0" collapsed="false">
      <c r="A37" s="4" t="n">
        <v>19</v>
      </c>
      <c r="B37" s="4" t="s">
        <v>56</v>
      </c>
      <c r="C37" s="4" t="s">
        <v>57</v>
      </c>
      <c r="D37" s="4" t="s">
        <v>58</v>
      </c>
      <c r="E37" s="4" t="s">
        <v>59</v>
      </c>
      <c r="F37" s="4" t="n">
        <v>2088</v>
      </c>
      <c r="G37" s="5" t="s">
        <v>206</v>
      </c>
      <c r="H37" s="5" t="s">
        <v>207</v>
      </c>
      <c r="I37" s="4"/>
      <c r="J37" s="4"/>
      <c r="K37" s="4"/>
      <c r="L37" s="4" t="n">
        <v>40</v>
      </c>
      <c r="M37" s="4" t="n">
        <v>40</v>
      </c>
      <c r="N37" s="4" t="n">
        <v>0</v>
      </c>
      <c r="O37" s="4" t="n">
        <v>40</v>
      </c>
      <c r="P37" s="4" t="n">
        <v>0</v>
      </c>
      <c r="Q37" s="4" t="n">
        <v>20</v>
      </c>
      <c r="R37" s="6" t="n">
        <f aca="false">IF(N(L37)=0,0,O37/L37)</f>
        <v>1</v>
      </c>
      <c r="S37" s="4" t="n">
        <f aca="false">IF(R37="","",IF(R37&gt;=0.8,50,IF(R37&gt;=0.5,30,IF(R37&gt;=0.01,10,0))))</f>
        <v>50</v>
      </c>
      <c r="T37" s="4" t="n">
        <f aca="false">IF(TRIM(AI37)="Yes",2.5,0)</f>
        <v>2.5</v>
      </c>
      <c r="U37" s="4" t="n">
        <f aca="false">IF(TRIM(AJ37)="Yes",10,0)</f>
        <v>10</v>
      </c>
      <c r="V37" s="4" t="n">
        <f aca="false">IF(TRIM(AK37)="Yes",5,0)</f>
        <v>5</v>
      </c>
      <c r="W37" s="4" t="n">
        <f aca="false">IF(TRIM(AM37)="Yes",5,0)</f>
        <v>5</v>
      </c>
      <c r="X37" s="4" t="n">
        <f aca="false">IF(OR(TRIM(AN37)="Fully Available",TRIM(AN37)="Not Applicable"),5,IF(TRIM(AN37)="Partially Available",2.5,0))</f>
        <v>5</v>
      </c>
      <c r="Y37" s="4" t="n">
        <f aca="false">IF(TRIM(AO37)="Yes",5,0)</f>
        <v>5</v>
      </c>
      <c r="Z37" s="4" t="n">
        <f aca="false">IF(TRIM(AP37)="Yes",2.5,0)</f>
        <v>2.5</v>
      </c>
      <c r="AA37" s="4" t="n">
        <f aca="false">IF(TRIM(AQ37)="Yes",5,0)</f>
        <v>5</v>
      </c>
      <c r="AB37" s="4" t="n">
        <f aca="false">IF(OR(TRIM(AR37)="Yes",TRIM(AR37)="Not Applicable"),5,0)</f>
        <v>5</v>
      </c>
      <c r="AC37" s="4" t="n">
        <f aca="false">IF(TRIM(AS37)="Excellent",5,IF(TRIM(AS37)="Very Good",4,IF(TRIM(AS37)="Good",3,IF(TRIM(AS37)="Average",2,0))))</f>
        <v>5</v>
      </c>
      <c r="AD37" s="7" t="n">
        <f aca="false">IF(COUNT(S37:AC37)=0,"",SUM(S37:AC37))</f>
        <v>100</v>
      </c>
      <c r="AE37" s="7" t="n">
        <f aca="false">IF(COUNTIF($F$2:F37,F37)=1,IFERROR(AVERAGEIF($F:$F,F37,$AD:$AD),""),"")</f>
        <v>90</v>
      </c>
      <c r="AF37" s="8" t="str">
        <f aca="false">IF(AH37&lt;&gt;"",AH37,IF(AE37="","",IF(AE37&gt;=80,"Excellent",IF(AE37&gt;=70,"Very Good",IF(AE37&gt;=60,"Good",IF(AE37&gt;=50,"Average","Poor"))))))</f>
        <v>Excellent</v>
      </c>
      <c r="AG37" s="5"/>
      <c r="AH37" s="4"/>
      <c r="AI37" s="4" t="s">
        <v>62</v>
      </c>
      <c r="AJ37" s="4" t="s">
        <v>62</v>
      </c>
      <c r="AK37" s="4" t="s">
        <v>62</v>
      </c>
      <c r="AL37" s="4" t="s">
        <v>63</v>
      </c>
      <c r="AM37" s="4" t="s">
        <v>62</v>
      </c>
      <c r="AN37" s="4" t="s">
        <v>64</v>
      </c>
      <c r="AO37" s="4" t="s">
        <v>62</v>
      </c>
      <c r="AP37" s="4" t="s">
        <v>62</v>
      </c>
      <c r="AQ37" s="4" t="s">
        <v>62</v>
      </c>
      <c r="AR37" s="4" t="s">
        <v>62</v>
      </c>
      <c r="AS37" s="4" t="s">
        <v>65</v>
      </c>
      <c r="AT37" s="4" t="n">
        <v>6</v>
      </c>
      <c r="AU37" s="4" t="s">
        <v>66</v>
      </c>
      <c r="AV37" s="4" t="s">
        <v>208</v>
      </c>
      <c r="AW37" s="4" t="s">
        <v>209</v>
      </c>
      <c r="AX37" s="4" t="s">
        <v>210</v>
      </c>
      <c r="AY37" s="4" t="n">
        <v>8</v>
      </c>
      <c r="AZ37" s="4" t="s">
        <v>62</v>
      </c>
      <c r="BA37" s="4" t="s">
        <v>211</v>
      </c>
      <c r="BB37" s="4" t="s">
        <v>59</v>
      </c>
      <c r="BC37" s="6" t="n">
        <v>0.5</v>
      </c>
      <c r="BD37" s="4" t="n">
        <v>94</v>
      </c>
    </row>
    <row r="38" customFormat="false" ht="185.8" hidden="false" customHeight="false" outlineLevel="0" collapsed="false">
      <c r="A38" s="4"/>
      <c r="B38" s="4" t="s">
        <v>56</v>
      </c>
      <c r="C38" s="4" t="s">
        <v>57</v>
      </c>
      <c r="D38" s="4" t="s">
        <v>58</v>
      </c>
      <c r="E38" s="4" t="s">
        <v>59</v>
      </c>
      <c r="F38" s="4" t="n">
        <v>2088</v>
      </c>
      <c r="G38" s="5" t="s">
        <v>206</v>
      </c>
      <c r="H38" s="5" t="s">
        <v>78</v>
      </c>
      <c r="I38" s="4"/>
      <c r="J38" s="4"/>
      <c r="K38" s="4"/>
      <c r="L38" s="4" t="n">
        <v>20</v>
      </c>
      <c r="M38" s="4" t="n">
        <v>20</v>
      </c>
      <c r="N38" s="4" t="n">
        <v>0</v>
      </c>
      <c r="O38" s="4" t="n">
        <v>18</v>
      </c>
      <c r="P38" s="4" t="n">
        <v>2</v>
      </c>
      <c r="Q38" s="4" t="n">
        <v>7</v>
      </c>
      <c r="R38" s="6" t="n">
        <f aca="false">IF(N(L38)=0,0,O38/L38)</f>
        <v>0.9</v>
      </c>
      <c r="S38" s="4" t="n">
        <f aca="false">IF(R38="","",IF(R38&gt;=0.8,50,IF(R38&gt;=0.5,30,IF(R38&gt;=0.01,10,0))))</f>
        <v>50</v>
      </c>
      <c r="T38" s="4" t="n">
        <f aca="false">IF(TRIM(AI38)="Yes",2.5,0)</f>
        <v>2.5</v>
      </c>
      <c r="U38" s="4" t="n">
        <f aca="false">IF(TRIM(AJ38)="Yes",10,0)</f>
        <v>10</v>
      </c>
      <c r="V38" s="4" t="n">
        <f aca="false">IF(TRIM(AK38)="Yes",5,0)</f>
        <v>5</v>
      </c>
      <c r="W38" s="4" t="n">
        <f aca="false">IF(TRIM(AM38)="Yes",5,0)</f>
        <v>5</v>
      </c>
      <c r="X38" s="4" t="n">
        <f aca="false">IF(OR(TRIM(AN38)="Fully Available",TRIM(AN38)="Not Applicable"),5,IF(TRIM(AN38)="Partially Available",2.5,0))</f>
        <v>5</v>
      </c>
      <c r="Y38" s="4" t="n">
        <f aca="false">IF(TRIM(AO38)="Yes",5,0)</f>
        <v>5</v>
      </c>
      <c r="Z38" s="4" t="n">
        <f aca="false">IF(TRIM(AP38)="Yes",2.5,0)</f>
        <v>2.5</v>
      </c>
      <c r="AA38" s="4" t="n">
        <f aca="false">IF(TRIM(AQ38)="Yes",5,0)</f>
        <v>5</v>
      </c>
      <c r="AB38" s="4" t="n">
        <f aca="false">IF(OR(TRIM(AR38)="Yes",TRIM(AR38)="Not Applicable"),5,0)</f>
        <v>5</v>
      </c>
      <c r="AC38" s="4" t="n">
        <f aca="false">IF(TRIM(AS38)="Excellent",5,IF(TRIM(AS38)="Very Good",4,IF(TRIM(AS38)="Good",3,IF(TRIM(AS38)="Average",2,0))))</f>
        <v>5</v>
      </c>
      <c r="AD38" s="7" t="n">
        <f aca="false">IF(COUNT(S38:AC38)=0,"",SUM(S38:AC38))</f>
        <v>100</v>
      </c>
      <c r="AE38" s="7"/>
      <c r="AF38" s="8"/>
      <c r="AG38" s="5"/>
      <c r="AH38" s="4"/>
      <c r="AI38" s="4" t="s">
        <v>62</v>
      </c>
      <c r="AJ38" s="4" t="s">
        <v>62</v>
      </c>
      <c r="AK38" s="4" t="s">
        <v>62</v>
      </c>
      <c r="AL38" s="4" t="s">
        <v>63</v>
      </c>
      <c r="AM38" s="4" t="s">
        <v>62</v>
      </c>
      <c r="AN38" s="4" t="s">
        <v>64</v>
      </c>
      <c r="AO38" s="4" t="s">
        <v>62</v>
      </c>
      <c r="AP38" s="4" t="s">
        <v>62</v>
      </c>
      <c r="AQ38" s="4" t="s">
        <v>62</v>
      </c>
      <c r="AR38" s="4" t="s">
        <v>73</v>
      </c>
      <c r="AS38" s="4" t="s">
        <v>65</v>
      </c>
      <c r="AT38" s="4" t="n">
        <v>8</v>
      </c>
      <c r="AU38" s="4" t="s">
        <v>66</v>
      </c>
      <c r="AV38" s="4" t="s">
        <v>208</v>
      </c>
      <c r="AW38" s="4" t="s">
        <v>212</v>
      </c>
      <c r="AX38" s="4" t="s">
        <v>213</v>
      </c>
      <c r="AY38" s="4" t="n">
        <v>2</v>
      </c>
      <c r="AZ38" s="4" t="s">
        <v>62</v>
      </c>
      <c r="BA38" s="4" t="s">
        <v>211</v>
      </c>
      <c r="BB38" s="4" t="s">
        <v>59</v>
      </c>
      <c r="BC38" s="6" t="n">
        <v>0.3889</v>
      </c>
      <c r="BD38" s="4" t="n">
        <v>94</v>
      </c>
    </row>
    <row r="39" customFormat="false" ht="185.8" hidden="false" customHeight="false" outlineLevel="0" collapsed="false">
      <c r="A39" s="4"/>
      <c r="B39" s="4" t="s">
        <v>56</v>
      </c>
      <c r="C39" s="4" t="s">
        <v>57</v>
      </c>
      <c r="D39" s="4" t="s">
        <v>58</v>
      </c>
      <c r="E39" s="4" t="s">
        <v>59</v>
      </c>
      <c r="F39" s="4" t="n">
        <v>2088</v>
      </c>
      <c r="G39" s="5" t="s">
        <v>206</v>
      </c>
      <c r="H39" s="5" t="s">
        <v>214</v>
      </c>
      <c r="I39" s="4"/>
      <c r="J39" s="4"/>
      <c r="K39" s="4"/>
      <c r="L39" s="4" t="n">
        <v>20</v>
      </c>
      <c r="M39" s="4" t="n">
        <v>20</v>
      </c>
      <c r="N39" s="4" t="n">
        <v>0</v>
      </c>
      <c r="O39" s="4" t="n">
        <v>16</v>
      </c>
      <c r="P39" s="4" t="n">
        <v>4</v>
      </c>
      <c r="Q39" s="4" t="n">
        <v>7</v>
      </c>
      <c r="R39" s="6" t="n">
        <f aca="false">IF(N(L39)=0,0,O39/L39)</f>
        <v>0.8</v>
      </c>
      <c r="S39" s="4" t="n">
        <f aca="false">IF(R39="","",IF(R39&gt;=0.8,50,IF(R39&gt;=0.5,30,IF(R39&gt;=0.01,10,0))))</f>
        <v>50</v>
      </c>
      <c r="T39" s="4" t="n">
        <f aca="false">IF(TRIM(AI39)="Yes",2.5,0)</f>
        <v>2.5</v>
      </c>
      <c r="U39" s="4" t="n">
        <f aca="false">IF(TRIM(AJ39)="Yes",10,0)</f>
        <v>10</v>
      </c>
      <c r="V39" s="4" t="n">
        <f aca="false">IF(TRIM(AK39)="Yes",5,0)</f>
        <v>5</v>
      </c>
      <c r="W39" s="4" t="n">
        <f aca="false">IF(TRIM(AM39)="Yes",5,0)</f>
        <v>5</v>
      </c>
      <c r="X39" s="4" t="n">
        <f aca="false">IF(OR(TRIM(AN39)="Fully Available",TRIM(AN39)="Not Applicable"),5,IF(TRIM(AN39)="Partially Available",2.5,0))</f>
        <v>5</v>
      </c>
      <c r="Y39" s="4" t="n">
        <f aca="false">IF(TRIM(AO39)="Yes",5,0)</f>
        <v>5</v>
      </c>
      <c r="Z39" s="4" t="n">
        <f aca="false">IF(TRIM(AP39)="Yes",2.5,0)</f>
        <v>2.5</v>
      </c>
      <c r="AA39" s="4" t="n">
        <f aca="false">IF(TRIM(AQ39)="Yes",5,0)</f>
        <v>5</v>
      </c>
      <c r="AB39" s="4" t="n">
        <f aca="false">IF(OR(TRIM(AR39)="Yes",TRIM(AR39)="Not Applicable"),5,0)</f>
        <v>5</v>
      </c>
      <c r="AC39" s="4" t="n">
        <f aca="false">IF(TRIM(AS39)="Excellent",5,IF(TRIM(AS39)="Very Good",4,IF(TRIM(AS39)="Good",3,IF(TRIM(AS39)="Average",2,0))))</f>
        <v>5</v>
      </c>
      <c r="AD39" s="7" t="n">
        <f aca="false">IF(COUNT(S39:AC39)=0,"",SUM(S39:AC39))</f>
        <v>100</v>
      </c>
      <c r="AE39" s="7"/>
      <c r="AF39" s="8"/>
      <c r="AG39" s="5"/>
      <c r="AH39" s="4"/>
      <c r="AI39" s="4" t="s">
        <v>62</v>
      </c>
      <c r="AJ39" s="4" t="s">
        <v>62</v>
      </c>
      <c r="AK39" s="4" t="s">
        <v>62</v>
      </c>
      <c r="AL39" s="4" t="s">
        <v>63</v>
      </c>
      <c r="AM39" s="4" t="s">
        <v>62</v>
      </c>
      <c r="AN39" s="4" t="s">
        <v>64</v>
      </c>
      <c r="AO39" s="4" t="s">
        <v>62</v>
      </c>
      <c r="AP39" s="4" t="s">
        <v>62</v>
      </c>
      <c r="AQ39" s="4" t="s">
        <v>62</v>
      </c>
      <c r="AR39" s="4" t="s">
        <v>73</v>
      </c>
      <c r="AS39" s="4" t="s">
        <v>65</v>
      </c>
      <c r="AT39" s="4" t="n">
        <v>6</v>
      </c>
      <c r="AU39" s="4" t="s">
        <v>66</v>
      </c>
      <c r="AV39" s="4" t="s">
        <v>208</v>
      </c>
      <c r="AW39" s="4" t="s">
        <v>215</v>
      </c>
      <c r="AX39" s="4" t="s">
        <v>216</v>
      </c>
      <c r="AY39" s="4" t="n">
        <v>4</v>
      </c>
      <c r="AZ39" s="4" t="s">
        <v>62</v>
      </c>
      <c r="BA39" s="4" t="s">
        <v>211</v>
      </c>
      <c r="BB39" s="4" t="s">
        <v>59</v>
      </c>
      <c r="BC39" s="6" t="n">
        <v>0.4375</v>
      </c>
      <c r="BD39" s="4" t="n">
        <v>94</v>
      </c>
    </row>
    <row r="40" customFormat="false" ht="185.8" hidden="false" customHeight="false" outlineLevel="0" collapsed="false">
      <c r="A40" s="4"/>
      <c r="B40" s="4" t="s">
        <v>56</v>
      </c>
      <c r="C40" s="4" t="s">
        <v>57</v>
      </c>
      <c r="D40" s="4" t="s">
        <v>58</v>
      </c>
      <c r="E40" s="4" t="s">
        <v>59</v>
      </c>
      <c r="F40" s="4" t="n">
        <v>2088</v>
      </c>
      <c r="G40" s="5" t="s">
        <v>206</v>
      </c>
      <c r="H40" s="5" t="s">
        <v>217</v>
      </c>
      <c r="I40" s="4"/>
      <c r="J40" s="4"/>
      <c r="K40" s="4"/>
      <c r="L40" s="4" t="n">
        <v>20</v>
      </c>
      <c r="M40" s="4" t="n">
        <v>20</v>
      </c>
      <c r="N40" s="4" t="n">
        <v>0</v>
      </c>
      <c r="O40" s="4" t="n">
        <v>18</v>
      </c>
      <c r="P40" s="4" t="n">
        <v>2</v>
      </c>
      <c r="Q40" s="4" t="n">
        <v>6</v>
      </c>
      <c r="R40" s="6" t="n">
        <f aca="false">IF(N(L40)=0,0,O40/L40)</f>
        <v>0.9</v>
      </c>
      <c r="S40" s="4" t="n">
        <f aca="false">IF(R40="","",IF(R40&gt;=0.8,50,IF(R40&gt;=0.5,30,IF(R40&gt;=0.01,10,0))))</f>
        <v>50</v>
      </c>
      <c r="T40" s="4" t="n">
        <f aca="false">IF(TRIM(AI40)="Yes",2.5,0)</f>
        <v>2.5</v>
      </c>
      <c r="U40" s="4" t="n">
        <f aca="false">IF(TRIM(AJ40)="Yes",10,0)</f>
        <v>10</v>
      </c>
      <c r="V40" s="4" t="n">
        <f aca="false">IF(TRIM(AK40)="Yes",5,0)</f>
        <v>5</v>
      </c>
      <c r="W40" s="4" t="n">
        <f aca="false">IF(TRIM(AM40)="Yes",5,0)</f>
        <v>5</v>
      </c>
      <c r="X40" s="4" t="n">
        <f aca="false">IF(OR(TRIM(AN40)="Fully Available",TRIM(AN40)="Not Applicable"),5,IF(TRIM(AN40)="Partially Available",2.5,0))</f>
        <v>5</v>
      </c>
      <c r="Y40" s="4" t="n">
        <f aca="false">IF(TRIM(AO40)="Yes",5,0)</f>
        <v>5</v>
      </c>
      <c r="Z40" s="4" t="n">
        <f aca="false">IF(TRIM(AP40)="Yes",2.5,0)</f>
        <v>2.5</v>
      </c>
      <c r="AA40" s="4" t="n">
        <f aca="false">IF(TRIM(AQ40)="Yes",5,0)</f>
        <v>5</v>
      </c>
      <c r="AB40" s="4" t="n">
        <f aca="false">IF(OR(TRIM(AR40)="Yes",TRIM(AR40)="Not Applicable"),5,0)</f>
        <v>5</v>
      </c>
      <c r="AC40" s="4" t="n">
        <f aca="false">IF(TRIM(AS40)="Excellent",5,IF(TRIM(AS40)="Very Good",4,IF(TRIM(AS40)="Good",3,IF(TRIM(AS40)="Average",2,0))))</f>
        <v>5</v>
      </c>
      <c r="AD40" s="7" t="n">
        <f aca="false">IF(COUNT(S40:AC40)=0,"",SUM(S40:AC40))</f>
        <v>100</v>
      </c>
      <c r="AE40" s="7"/>
      <c r="AF40" s="8"/>
      <c r="AG40" s="5"/>
      <c r="AH40" s="4"/>
      <c r="AI40" s="4" t="s">
        <v>62</v>
      </c>
      <c r="AJ40" s="4" t="s">
        <v>62</v>
      </c>
      <c r="AK40" s="4" t="s">
        <v>62</v>
      </c>
      <c r="AL40" s="4" t="s">
        <v>63</v>
      </c>
      <c r="AM40" s="4" t="s">
        <v>62</v>
      </c>
      <c r="AN40" s="4" t="s">
        <v>64</v>
      </c>
      <c r="AO40" s="4" t="s">
        <v>62</v>
      </c>
      <c r="AP40" s="4" t="s">
        <v>62</v>
      </c>
      <c r="AQ40" s="4" t="s">
        <v>62</v>
      </c>
      <c r="AR40" s="4" t="s">
        <v>73</v>
      </c>
      <c r="AS40" s="4" t="s">
        <v>65</v>
      </c>
      <c r="AT40" s="4" t="n">
        <v>3</v>
      </c>
      <c r="AU40" s="4" t="s">
        <v>112</v>
      </c>
      <c r="AV40" s="4" t="s">
        <v>208</v>
      </c>
      <c r="AW40" s="4" t="s">
        <v>218</v>
      </c>
      <c r="AX40" s="4" t="s">
        <v>219</v>
      </c>
      <c r="AY40" s="4" t="n">
        <v>12</v>
      </c>
      <c r="AZ40" s="4" t="s">
        <v>62</v>
      </c>
      <c r="BA40" s="4" t="s">
        <v>211</v>
      </c>
      <c r="BB40" s="4" t="s">
        <v>59</v>
      </c>
      <c r="BC40" s="6" t="n">
        <v>0.3333</v>
      </c>
      <c r="BD40" s="4" t="n">
        <v>94</v>
      </c>
    </row>
    <row r="41" customFormat="false" ht="185.8" hidden="false" customHeight="false" outlineLevel="0" collapsed="false">
      <c r="A41" s="4"/>
      <c r="B41" s="4" t="s">
        <v>56</v>
      </c>
      <c r="C41" s="4" t="s">
        <v>57</v>
      </c>
      <c r="D41" s="4" t="s">
        <v>58</v>
      </c>
      <c r="E41" s="4" t="s">
        <v>59</v>
      </c>
      <c r="F41" s="4" t="n">
        <v>2088</v>
      </c>
      <c r="G41" s="5" t="s">
        <v>206</v>
      </c>
      <c r="H41" s="5" t="s">
        <v>220</v>
      </c>
      <c r="I41" s="4"/>
      <c r="J41" s="4"/>
      <c r="K41" s="4"/>
      <c r="L41" s="4" t="n">
        <v>18</v>
      </c>
      <c r="M41" s="4" t="n">
        <v>18</v>
      </c>
      <c r="N41" s="4" t="n">
        <v>0</v>
      </c>
      <c r="O41" s="4" t="n">
        <v>13</v>
      </c>
      <c r="P41" s="4" t="n">
        <v>5</v>
      </c>
      <c r="Q41" s="4" t="n">
        <v>7</v>
      </c>
      <c r="R41" s="6" t="n">
        <f aca="false">IF(N(L41)=0,0,O41/L41)</f>
        <v>0.722222222222222</v>
      </c>
      <c r="S41" s="4" t="n">
        <f aca="false">IF(R41="","",IF(R41&gt;=0.8,50,IF(R41&gt;=0.5,30,IF(R41&gt;=0.01,10,0))))</f>
        <v>30</v>
      </c>
      <c r="T41" s="4" t="n">
        <f aca="false">IF(TRIM(AI41)="Yes",2.5,0)</f>
        <v>2.5</v>
      </c>
      <c r="U41" s="4" t="n">
        <f aca="false">IF(TRIM(AJ41)="Yes",10,0)</f>
        <v>10</v>
      </c>
      <c r="V41" s="4" t="n">
        <f aca="false">IF(TRIM(AK41)="Yes",5,0)</f>
        <v>5</v>
      </c>
      <c r="W41" s="4" t="n">
        <f aca="false">IF(TRIM(AM41)="Yes",5,0)</f>
        <v>5</v>
      </c>
      <c r="X41" s="4" t="n">
        <f aca="false">IF(OR(TRIM(AN41)="Fully Available",TRIM(AN41)="Not Applicable"),5,IF(TRIM(AN41)="Partially Available",2.5,0))</f>
        <v>5</v>
      </c>
      <c r="Y41" s="4" t="n">
        <f aca="false">IF(TRIM(AO41)="Yes",5,0)</f>
        <v>5</v>
      </c>
      <c r="Z41" s="4" t="n">
        <f aca="false">IF(TRIM(AP41)="Yes",2.5,0)</f>
        <v>2.5</v>
      </c>
      <c r="AA41" s="4" t="n">
        <f aca="false">IF(TRIM(AQ41)="Yes",5,0)</f>
        <v>5</v>
      </c>
      <c r="AB41" s="4" t="n">
        <f aca="false">IF(OR(TRIM(AR41)="Yes",TRIM(AR41)="Not Applicable"),5,0)</f>
        <v>5</v>
      </c>
      <c r="AC41" s="4" t="n">
        <f aca="false">IF(TRIM(AS41)="Excellent",5,IF(TRIM(AS41)="Very Good",4,IF(TRIM(AS41)="Good",3,IF(TRIM(AS41)="Average",2,0))))</f>
        <v>5</v>
      </c>
      <c r="AD41" s="7" t="n">
        <f aca="false">IF(COUNT(S41:AC41)=0,"",SUM(S41:AC41))</f>
        <v>80</v>
      </c>
      <c r="AE41" s="7"/>
      <c r="AF41" s="8"/>
      <c r="AG41" s="5"/>
      <c r="AH41" s="4"/>
      <c r="AI41" s="4" t="s">
        <v>62</v>
      </c>
      <c r="AJ41" s="4" t="s">
        <v>62</v>
      </c>
      <c r="AK41" s="4" t="s">
        <v>62</v>
      </c>
      <c r="AL41" s="4" t="s">
        <v>63</v>
      </c>
      <c r="AM41" s="4" t="s">
        <v>62</v>
      </c>
      <c r="AN41" s="4" t="s">
        <v>64</v>
      </c>
      <c r="AO41" s="4" t="s">
        <v>62</v>
      </c>
      <c r="AP41" s="4" t="s">
        <v>62</v>
      </c>
      <c r="AQ41" s="4" t="s">
        <v>62</v>
      </c>
      <c r="AR41" s="4" t="s">
        <v>73</v>
      </c>
      <c r="AS41" s="4" t="s">
        <v>65</v>
      </c>
      <c r="AT41" s="4" t="n">
        <v>6</v>
      </c>
      <c r="AU41" s="4" t="s">
        <v>112</v>
      </c>
      <c r="AV41" s="4" t="s">
        <v>208</v>
      </c>
      <c r="AW41" s="4" t="s">
        <v>221</v>
      </c>
      <c r="AX41" s="4" t="s">
        <v>222</v>
      </c>
      <c r="AY41" s="4" t="n">
        <v>4</v>
      </c>
      <c r="AZ41" s="4" t="s">
        <v>62</v>
      </c>
      <c r="BA41" s="4" t="s">
        <v>211</v>
      </c>
      <c r="BB41" s="4" t="s">
        <v>59</v>
      </c>
      <c r="BC41" s="6" t="n">
        <v>0.5385</v>
      </c>
      <c r="BD41" s="4" t="n">
        <v>94</v>
      </c>
    </row>
    <row r="42" customFormat="false" ht="185.8" hidden="false" customHeight="false" outlineLevel="0" collapsed="false">
      <c r="A42" s="4"/>
      <c r="B42" s="4" t="s">
        <v>56</v>
      </c>
      <c r="C42" s="4" t="s">
        <v>57</v>
      </c>
      <c r="D42" s="4" t="s">
        <v>58</v>
      </c>
      <c r="E42" s="4" t="s">
        <v>59</v>
      </c>
      <c r="F42" s="4" t="n">
        <v>2088</v>
      </c>
      <c r="G42" s="5" t="s">
        <v>206</v>
      </c>
      <c r="H42" s="5" t="s">
        <v>223</v>
      </c>
      <c r="I42" s="4"/>
      <c r="J42" s="4"/>
      <c r="K42" s="4"/>
      <c r="L42" s="4" t="n">
        <v>20</v>
      </c>
      <c r="M42" s="4" t="n">
        <v>20</v>
      </c>
      <c r="N42" s="4" t="n">
        <v>0</v>
      </c>
      <c r="O42" s="4" t="n">
        <v>15</v>
      </c>
      <c r="P42" s="4" t="n">
        <v>5</v>
      </c>
      <c r="Q42" s="4" t="n">
        <v>7</v>
      </c>
      <c r="R42" s="6" t="n">
        <f aca="false">IF(N(L42)=0,0,O42/L42)</f>
        <v>0.75</v>
      </c>
      <c r="S42" s="4" t="n">
        <f aca="false">IF(R42="","",IF(R42&gt;=0.8,50,IF(R42&gt;=0.5,30,IF(R42&gt;=0.01,10,0))))</f>
        <v>30</v>
      </c>
      <c r="T42" s="4" t="n">
        <f aca="false">IF(TRIM(AI42)="Yes",2.5,0)</f>
        <v>2.5</v>
      </c>
      <c r="U42" s="4" t="n">
        <f aca="false">IF(TRIM(AJ42)="Yes",10,0)</f>
        <v>10</v>
      </c>
      <c r="V42" s="4" t="n">
        <f aca="false">IF(TRIM(AK42)="Yes",5,0)</f>
        <v>5</v>
      </c>
      <c r="W42" s="4" t="n">
        <f aca="false">IF(TRIM(AM42)="Yes",5,0)</f>
        <v>5</v>
      </c>
      <c r="X42" s="4" t="n">
        <f aca="false">IF(OR(TRIM(AN42)="Fully Available",TRIM(AN42)="Not Applicable"),5,IF(TRIM(AN42)="Partially Available",2.5,0))</f>
        <v>5</v>
      </c>
      <c r="Y42" s="4" t="n">
        <f aca="false">IF(TRIM(AO42)="Yes",5,0)</f>
        <v>5</v>
      </c>
      <c r="Z42" s="4" t="n">
        <f aca="false">IF(TRIM(AP42)="Yes",2.5,0)</f>
        <v>2.5</v>
      </c>
      <c r="AA42" s="4" t="n">
        <f aca="false">IF(TRIM(AQ42)="Yes",5,0)</f>
        <v>5</v>
      </c>
      <c r="AB42" s="4" t="n">
        <f aca="false">IF(OR(TRIM(AR42)="Yes",TRIM(AR42)="Not Applicable"),5,0)</f>
        <v>5</v>
      </c>
      <c r="AC42" s="4" t="n">
        <f aca="false">IF(TRIM(AS42)="Excellent",5,IF(TRIM(AS42)="Very Good",4,IF(TRIM(AS42)="Good",3,IF(TRIM(AS42)="Average",2,0))))</f>
        <v>5</v>
      </c>
      <c r="AD42" s="7" t="n">
        <f aca="false">IF(COUNT(S42:AC42)=0,"",SUM(S42:AC42))</f>
        <v>80</v>
      </c>
      <c r="AE42" s="7"/>
      <c r="AF42" s="8"/>
      <c r="AG42" s="5"/>
      <c r="AH42" s="4"/>
      <c r="AI42" s="4" t="s">
        <v>62</v>
      </c>
      <c r="AJ42" s="4" t="s">
        <v>62</v>
      </c>
      <c r="AK42" s="4" t="s">
        <v>62</v>
      </c>
      <c r="AL42" s="4" t="s">
        <v>63</v>
      </c>
      <c r="AM42" s="4" t="s">
        <v>62</v>
      </c>
      <c r="AN42" s="4" t="s">
        <v>64</v>
      </c>
      <c r="AO42" s="4" t="s">
        <v>62</v>
      </c>
      <c r="AP42" s="4" t="s">
        <v>62</v>
      </c>
      <c r="AQ42" s="4" t="s">
        <v>62</v>
      </c>
      <c r="AR42" s="4" t="s">
        <v>73</v>
      </c>
      <c r="AS42" s="4" t="s">
        <v>65</v>
      </c>
      <c r="AT42" s="4" t="n">
        <v>5</v>
      </c>
      <c r="AU42" s="4" t="s">
        <v>66</v>
      </c>
      <c r="AV42" s="4" t="s">
        <v>208</v>
      </c>
      <c r="AW42" s="4" t="s">
        <v>224</v>
      </c>
      <c r="AX42" s="4" t="s">
        <v>225</v>
      </c>
      <c r="AY42" s="4" t="n">
        <v>17</v>
      </c>
      <c r="AZ42" s="4" t="s">
        <v>62</v>
      </c>
      <c r="BA42" s="4" t="s">
        <v>211</v>
      </c>
      <c r="BB42" s="4" t="s">
        <v>59</v>
      </c>
      <c r="BC42" s="6" t="n">
        <v>0.4667</v>
      </c>
      <c r="BD42" s="4" t="n">
        <v>94</v>
      </c>
    </row>
    <row r="43" customFormat="false" ht="185.8" hidden="false" customHeight="false" outlineLevel="0" collapsed="false">
      <c r="A43" s="4"/>
      <c r="B43" s="4" t="s">
        <v>56</v>
      </c>
      <c r="C43" s="4" t="s">
        <v>57</v>
      </c>
      <c r="D43" s="4" t="s">
        <v>58</v>
      </c>
      <c r="E43" s="4" t="s">
        <v>59</v>
      </c>
      <c r="F43" s="4" t="n">
        <v>2088</v>
      </c>
      <c r="G43" s="5" t="s">
        <v>206</v>
      </c>
      <c r="H43" s="5" t="s">
        <v>226</v>
      </c>
      <c r="I43" s="4"/>
      <c r="J43" s="4"/>
      <c r="K43" s="4"/>
      <c r="L43" s="4" t="n">
        <v>20</v>
      </c>
      <c r="M43" s="4" t="n">
        <v>20</v>
      </c>
      <c r="N43" s="4" t="n">
        <v>0</v>
      </c>
      <c r="O43" s="4" t="n">
        <v>10</v>
      </c>
      <c r="P43" s="4" t="n">
        <v>10</v>
      </c>
      <c r="Q43" s="4" t="n">
        <v>5</v>
      </c>
      <c r="R43" s="6" t="n">
        <f aca="false">IF(N(L43)=0,0,O43/L43)</f>
        <v>0.5</v>
      </c>
      <c r="S43" s="4" t="n">
        <f aca="false">IF(R43="","",IF(R43&gt;=0.8,50,IF(R43&gt;=0.5,30,IF(R43&gt;=0.01,10,0))))</f>
        <v>30</v>
      </c>
      <c r="T43" s="4" t="n">
        <f aca="false">IF(TRIM(AI43)="Yes",2.5,0)</f>
        <v>2.5</v>
      </c>
      <c r="U43" s="4" t="n">
        <f aca="false">IF(TRIM(AJ43)="Yes",10,0)</f>
        <v>10</v>
      </c>
      <c r="V43" s="4" t="n">
        <f aca="false">IF(TRIM(AK43)="Yes",5,0)</f>
        <v>5</v>
      </c>
      <c r="W43" s="4" t="n">
        <f aca="false">IF(TRIM(AM43)="Yes",5,0)</f>
        <v>5</v>
      </c>
      <c r="X43" s="4" t="n">
        <f aca="false">IF(OR(TRIM(AN43)="Fully Available",TRIM(AN43)="Not Applicable"),5,IF(TRIM(AN43)="Partially Available",2.5,0))</f>
        <v>5</v>
      </c>
      <c r="Y43" s="4" t="n">
        <f aca="false">IF(TRIM(AO43)="Yes",5,0)</f>
        <v>5</v>
      </c>
      <c r="Z43" s="4" t="n">
        <f aca="false">IF(TRIM(AP43)="Yes",2.5,0)</f>
        <v>2.5</v>
      </c>
      <c r="AA43" s="4" t="n">
        <f aca="false">IF(TRIM(AQ43)="Yes",5,0)</f>
        <v>5</v>
      </c>
      <c r="AB43" s="4" t="n">
        <f aca="false">IF(OR(TRIM(AR43)="Yes",TRIM(AR43)="Not Applicable"),5,0)</f>
        <v>5</v>
      </c>
      <c r="AC43" s="4" t="n">
        <f aca="false">IF(TRIM(AS43)="Excellent",5,IF(TRIM(AS43)="Very Good",4,IF(TRIM(AS43)="Good",3,IF(TRIM(AS43)="Average",2,0))))</f>
        <v>5</v>
      </c>
      <c r="AD43" s="7" t="n">
        <f aca="false">IF(COUNT(S43:AC43)=0,"",SUM(S43:AC43))</f>
        <v>80</v>
      </c>
      <c r="AE43" s="7"/>
      <c r="AF43" s="8"/>
      <c r="AG43" s="5"/>
      <c r="AH43" s="4"/>
      <c r="AI43" s="4" t="s">
        <v>62</v>
      </c>
      <c r="AJ43" s="4" t="s">
        <v>62</v>
      </c>
      <c r="AK43" s="4" t="s">
        <v>62</v>
      </c>
      <c r="AL43" s="4" t="s">
        <v>63</v>
      </c>
      <c r="AM43" s="4" t="s">
        <v>62</v>
      </c>
      <c r="AN43" s="4" t="s">
        <v>64</v>
      </c>
      <c r="AO43" s="4" t="s">
        <v>62</v>
      </c>
      <c r="AP43" s="4" t="s">
        <v>62</v>
      </c>
      <c r="AQ43" s="4" t="s">
        <v>62</v>
      </c>
      <c r="AR43" s="4" t="s">
        <v>73</v>
      </c>
      <c r="AS43" s="4" t="s">
        <v>65</v>
      </c>
      <c r="AT43" s="4" t="n">
        <v>3</v>
      </c>
      <c r="AU43" s="4" t="s">
        <v>66</v>
      </c>
      <c r="AV43" s="4" t="s">
        <v>208</v>
      </c>
      <c r="AW43" s="4" t="s">
        <v>227</v>
      </c>
      <c r="AX43" s="4" t="s">
        <v>228</v>
      </c>
      <c r="AY43" s="4" t="n">
        <v>7</v>
      </c>
      <c r="AZ43" s="4" t="s">
        <v>62</v>
      </c>
      <c r="BA43" s="4" t="s">
        <v>211</v>
      </c>
      <c r="BB43" s="4" t="s">
        <v>59</v>
      </c>
      <c r="BC43" s="6" t="n">
        <v>0.5</v>
      </c>
      <c r="BD43" s="4" t="n">
        <v>94</v>
      </c>
    </row>
    <row r="44" customFormat="false" ht="185.8" hidden="false" customHeight="false" outlineLevel="0" collapsed="false">
      <c r="A44" s="4"/>
      <c r="B44" s="4" t="s">
        <v>56</v>
      </c>
      <c r="C44" s="4" t="s">
        <v>57</v>
      </c>
      <c r="D44" s="4" t="s">
        <v>58</v>
      </c>
      <c r="E44" s="4" t="s">
        <v>59</v>
      </c>
      <c r="F44" s="4" t="n">
        <v>2088</v>
      </c>
      <c r="G44" s="5" t="s">
        <v>206</v>
      </c>
      <c r="H44" s="5" t="s">
        <v>229</v>
      </c>
      <c r="I44" s="4"/>
      <c r="J44" s="4"/>
      <c r="K44" s="4"/>
      <c r="L44" s="4" t="n">
        <v>20</v>
      </c>
      <c r="M44" s="4" t="n">
        <v>20</v>
      </c>
      <c r="N44" s="4" t="n">
        <v>0</v>
      </c>
      <c r="O44" s="4" t="n">
        <v>15</v>
      </c>
      <c r="P44" s="4" t="n">
        <v>5</v>
      </c>
      <c r="Q44" s="4" t="n">
        <v>7</v>
      </c>
      <c r="R44" s="6" t="n">
        <f aca="false">IF(N(L44)=0,0,O44/L44)</f>
        <v>0.75</v>
      </c>
      <c r="S44" s="4" t="n">
        <f aca="false">IF(R44="","",IF(R44&gt;=0.8,50,IF(R44&gt;=0.5,30,IF(R44&gt;=0.01,10,0))))</f>
        <v>30</v>
      </c>
      <c r="T44" s="4" t="n">
        <f aca="false">IF(TRIM(AI44)="Yes",2.5,0)</f>
        <v>2.5</v>
      </c>
      <c r="U44" s="4" t="n">
        <f aca="false">IF(TRIM(AJ44)="Yes",10,0)</f>
        <v>10</v>
      </c>
      <c r="V44" s="4" t="n">
        <f aca="false">IF(TRIM(AK44)="Yes",5,0)</f>
        <v>5</v>
      </c>
      <c r="W44" s="4" t="n">
        <f aca="false">IF(TRIM(AM44)="Yes",5,0)</f>
        <v>5</v>
      </c>
      <c r="X44" s="4" t="n">
        <f aca="false">IF(OR(TRIM(AN44)="Fully Available",TRIM(AN44)="Not Applicable"),5,IF(TRIM(AN44)="Partially Available",2.5,0))</f>
        <v>5</v>
      </c>
      <c r="Y44" s="4" t="n">
        <f aca="false">IF(TRIM(AO44)="Yes",5,0)</f>
        <v>5</v>
      </c>
      <c r="Z44" s="4" t="n">
        <f aca="false">IF(TRIM(AP44)="Yes",2.5,0)</f>
        <v>2.5</v>
      </c>
      <c r="AA44" s="4" t="n">
        <f aca="false">IF(TRIM(AQ44)="Yes",5,0)</f>
        <v>5</v>
      </c>
      <c r="AB44" s="4" t="n">
        <f aca="false">IF(OR(TRIM(AR44)="Yes",TRIM(AR44)="Not Applicable"),5,0)</f>
        <v>5</v>
      </c>
      <c r="AC44" s="4" t="n">
        <f aca="false">IF(TRIM(AS44)="Excellent",5,IF(TRIM(AS44)="Very Good",4,IF(TRIM(AS44)="Good",3,IF(TRIM(AS44)="Average",2,0))))</f>
        <v>5</v>
      </c>
      <c r="AD44" s="7" t="n">
        <f aca="false">IF(COUNT(S44:AC44)=0,"",SUM(S44:AC44))</f>
        <v>80</v>
      </c>
      <c r="AE44" s="7"/>
      <c r="AF44" s="8"/>
      <c r="AG44" s="5"/>
      <c r="AH44" s="4"/>
      <c r="AI44" s="4" t="s">
        <v>62</v>
      </c>
      <c r="AJ44" s="4" t="s">
        <v>62</v>
      </c>
      <c r="AK44" s="4" t="s">
        <v>62</v>
      </c>
      <c r="AL44" s="4" t="s">
        <v>63</v>
      </c>
      <c r="AM44" s="4" t="s">
        <v>62</v>
      </c>
      <c r="AN44" s="4" t="s">
        <v>64</v>
      </c>
      <c r="AO44" s="4" t="s">
        <v>62</v>
      </c>
      <c r="AP44" s="4" t="s">
        <v>62</v>
      </c>
      <c r="AQ44" s="4" t="s">
        <v>62</v>
      </c>
      <c r="AR44" s="4" t="s">
        <v>73</v>
      </c>
      <c r="AS44" s="4" t="s">
        <v>65</v>
      </c>
      <c r="AT44" s="4" t="n">
        <v>6</v>
      </c>
      <c r="AU44" s="4" t="s">
        <v>112</v>
      </c>
      <c r="AV44" s="4" t="s">
        <v>208</v>
      </c>
      <c r="AW44" s="4" t="s">
        <v>230</v>
      </c>
      <c r="AX44" s="4" t="s">
        <v>231</v>
      </c>
      <c r="AY44" s="4" t="n">
        <v>3</v>
      </c>
      <c r="AZ44" s="4" t="s">
        <v>62</v>
      </c>
      <c r="BA44" s="4" t="s">
        <v>211</v>
      </c>
      <c r="BB44" s="4" t="s">
        <v>59</v>
      </c>
      <c r="BC44" s="6" t="n">
        <v>0.4667</v>
      </c>
      <c r="BD44" s="4" t="n">
        <v>94</v>
      </c>
    </row>
    <row r="45" customFormat="false" ht="171.6" hidden="false" customHeight="false" outlineLevel="0" collapsed="false">
      <c r="A45" s="4" t="n">
        <v>20</v>
      </c>
      <c r="B45" s="4" t="s">
        <v>56</v>
      </c>
      <c r="C45" s="4" t="s">
        <v>57</v>
      </c>
      <c r="D45" s="4" t="s">
        <v>58</v>
      </c>
      <c r="E45" s="4" t="s">
        <v>59</v>
      </c>
      <c r="F45" s="4" t="n">
        <v>2224</v>
      </c>
      <c r="G45" s="5" t="s">
        <v>232</v>
      </c>
      <c r="H45" s="5" t="s">
        <v>72</v>
      </c>
      <c r="I45" s="4"/>
      <c r="J45" s="4"/>
      <c r="K45" s="4"/>
      <c r="L45" s="4" t="n">
        <v>20</v>
      </c>
      <c r="M45" s="4" t="n">
        <v>20</v>
      </c>
      <c r="N45" s="4" t="n">
        <v>0</v>
      </c>
      <c r="O45" s="4" t="n">
        <v>13</v>
      </c>
      <c r="P45" s="4" t="n">
        <v>7</v>
      </c>
      <c r="Q45" s="4" t="n">
        <v>7</v>
      </c>
      <c r="R45" s="6" t="n">
        <f aca="false">IF(N(L45)=0,0,O45/L45)</f>
        <v>0.65</v>
      </c>
      <c r="S45" s="4" t="n">
        <f aca="false">IF(R45="","",IF(R45&gt;=0.8,50,IF(R45&gt;=0.5,30,IF(R45&gt;=0.01,10,0))))</f>
        <v>30</v>
      </c>
      <c r="T45" s="4" t="n">
        <f aca="false">IF(TRIM(AI45)="Yes",2.5,0)</f>
        <v>2.5</v>
      </c>
      <c r="U45" s="4" t="n">
        <f aca="false">IF(TRIM(AJ45)="Yes",10,0)</f>
        <v>10</v>
      </c>
      <c r="V45" s="4" t="n">
        <f aca="false">IF(TRIM(AK45)="Yes",5,0)</f>
        <v>5</v>
      </c>
      <c r="W45" s="4" t="n">
        <f aca="false">IF(TRIM(AM45)="Yes",5,0)</f>
        <v>5</v>
      </c>
      <c r="X45" s="4" t="n">
        <f aca="false">IF(OR(TRIM(AN45)="Fully Available",TRIM(AN45)="Not Applicable"),5,IF(TRIM(AN45)="Partially Available",2.5,0))</f>
        <v>5</v>
      </c>
      <c r="Y45" s="4" t="n">
        <f aca="false">IF(TRIM(AO45)="Yes",5,0)</f>
        <v>5</v>
      </c>
      <c r="Z45" s="4" t="n">
        <f aca="false">IF(TRIM(AP45)="Yes",2.5,0)</f>
        <v>2.5</v>
      </c>
      <c r="AA45" s="4" t="n">
        <f aca="false">IF(TRIM(AQ45)="Yes",5,0)</f>
        <v>5</v>
      </c>
      <c r="AB45" s="4" t="n">
        <f aca="false">IF(OR(TRIM(AR45)="Yes",TRIM(AR45)="Not Applicable"),5,0)</f>
        <v>5</v>
      </c>
      <c r="AC45" s="4" t="n">
        <f aca="false">IF(TRIM(AS45)="Excellent",5,IF(TRIM(AS45)="Very Good",4,IF(TRIM(AS45)="Good",3,IF(TRIM(AS45)="Average",2,0))))</f>
        <v>5</v>
      </c>
      <c r="AD45" s="7" t="n">
        <f aca="false">IF(COUNT(S45:AC45)=0,"",SUM(S45:AC45))</f>
        <v>80</v>
      </c>
      <c r="AE45" s="7" t="n">
        <f aca="false">IF(COUNTIF($F$2:F45,F45)=1,IFERROR(AVERAGEIF($F:$F,F45,$AD:$AD),""),"")</f>
        <v>85</v>
      </c>
      <c r="AF45" s="8" t="str">
        <f aca="false">IF(AH45&lt;&gt;"",AH45,IF(AE45="","",IF(AE45&gt;=80,"Excellent",IF(AE45&gt;=70,"Very Good",IF(AE45&gt;=60,"Good",IF(AE45&gt;=50,"Average","Poor"))))))</f>
        <v>Excellent</v>
      </c>
      <c r="AG45" s="5"/>
      <c r="AH45" s="4"/>
      <c r="AI45" s="4" t="s">
        <v>62</v>
      </c>
      <c r="AJ45" s="4" t="s">
        <v>62</v>
      </c>
      <c r="AK45" s="4" t="s">
        <v>62</v>
      </c>
      <c r="AL45" s="4" t="s">
        <v>63</v>
      </c>
      <c r="AM45" s="4" t="s">
        <v>62</v>
      </c>
      <c r="AN45" s="4" t="s">
        <v>64</v>
      </c>
      <c r="AO45" s="4" t="s">
        <v>62</v>
      </c>
      <c r="AP45" s="4" t="s">
        <v>62</v>
      </c>
      <c r="AQ45" s="4" t="s">
        <v>62</v>
      </c>
      <c r="AR45" s="4" t="s">
        <v>73</v>
      </c>
      <c r="AS45" s="4" t="s">
        <v>65</v>
      </c>
      <c r="AT45" s="4" t="n">
        <v>7</v>
      </c>
      <c r="AU45" s="4" t="s">
        <v>66</v>
      </c>
      <c r="AV45" s="4" t="s">
        <v>208</v>
      </c>
      <c r="AW45" s="4" t="s">
        <v>233</v>
      </c>
      <c r="AX45" s="4" t="s">
        <v>234</v>
      </c>
      <c r="AY45" s="4" t="n">
        <v>4</v>
      </c>
      <c r="AZ45" s="4" t="s">
        <v>62</v>
      </c>
      <c r="BA45" s="4" t="s">
        <v>235</v>
      </c>
      <c r="BB45" s="4" t="s">
        <v>59</v>
      </c>
      <c r="BC45" s="6" t="n">
        <v>0.5385</v>
      </c>
      <c r="BD45" s="4" t="n">
        <v>93</v>
      </c>
    </row>
    <row r="46" customFormat="false" ht="171.6" hidden="false" customHeight="false" outlineLevel="0" collapsed="false">
      <c r="A46" s="4"/>
      <c r="B46" s="4" t="s">
        <v>56</v>
      </c>
      <c r="C46" s="4" t="s">
        <v>57</v>
      </c>
      <c r="D46" s="4" t="s">
        <v>58</v>
      </c>
      <c r="E46" s="4" t="s">
        <v>59</v>
      </c>
      <c r="F46" s="4" t="n">
        <v>2224</v>
      </c>
      <c r="G46" s="5" t="s">
        <v>232</v>
      </c>
      <c r="H46" s="5" t="s">
        <v>78</v>
      </c>
      <c r="I46" s="4"/>
      <c r="J46" s="4"/>
      <c r="K46" s="4"/>
      <c r="L46" s="4" t="n">
        <v>20</v>
      </c>
      <c r="M46" s="4" t="n">
        <v>20</v>
      </c>
      <c r="N46" s="4" t="n">
        <v>0</v>
      </c>
      <c r="O46" s="4" t="n">
        <v>15</v>
      </c>
      <c r="P46" s="4" t="n">
        <v>5</v>
      </c>
      <c r="Q46" s="4" t="n">
        <v>7</v>
      </c>
      <c r="R46" s="6" t="n">
        <f aca="false">IF(N(L46)=0,0,O46/L46)</f>
        <v>0.75</v>
      </c>
      <c r="S46" s="4" t="n">
        <f aca="false">IF(R46="","",IF(R46&gt;=0.8,50,IF(R46&gt;=0.5,30,IF(R46&gt;=0.01,10,0))))</f>
        <v>30</v>
      </c>
      <c r="T46" s="4" t="n">
        <f aca="false">IF(TRIM(AI46)="Yes",2.5,0)</f>
        <v>2.5</v>
      </c>
      <c r="U46" s="4" t="n">
        <f aca="false">IF(TRIM(AJ46)="Yes",10,0)</f>
        <v>10</v>
      </c>
      <c r="V46" s="4" t="n">
        <f aca="false">IF(TRIM(AK46)="Yes",5,0)</f>
        <v>5</v>
      </c>
      <c r="W46" s="4" t="n">
        <f aca="false">IF(TRIM(AM46)="Yes",5,0)</f>
        <v>5</v>
      </c>
      <c r="X46" s="4" t="n">
        <f aca="false">IF(OR(TRIM(AN46)="Fully Available",TRIM(AN46)="Not Applicable"),5,IF(TRIM(AN46)="Partially Available",2.5,0))</f>
        <v>5</v>
      </c>
      <c r="Y46" s="4" t="n">
        <f aca="false">IF(TRIM(AO46)="Yes",5,0)</f>
        <v>5</v>
      </c>
      <c r="Z46" s="4" t="n">
        <f aca="false">IF(TRIM(AP46)="Yes",2.5,0)</f>
        <v>2.5</v>
      </c>
      <c r="AA46" s="4" t="n">
        <f aca="false">IF(TRIM(AQ46)="Yes",5,0)</f>
        <v>5</v>
      </c>
      <c r="AB46" s="4" t="n">
        <f aca="false">IF(OR(TRIM(AR46)="Yes",TRIM(AR46)="Not Applicable"),5,0)</f>
        <v>5</v>
      </c>
      <c r="AC46" s="4" t="n">
        <f aca="false">IF(TRIM(AS46)="Excellent",5,IF(TRIM(AS46)="Very Good",4,IF(TRIM(AS46)="Good",3,IF(TRIM(AS46)="Average",2,0))))</f>
        <v>5</v>
      </c>
      <c r="AD46" s="7" t="n">
        <f aca="false">IF(COUNT(S46:AC46)=0,"",SUM(S46:AC46))</f>
        <v>80</v>
      </c>
      <c r="AE46" s="7"/>
      <c r="AF46" s="8"/>
      <c r="AG46" s="5"/>
      <c r="AH46" s="4"/>
      <c r="AI46" s="4" t="s">
        <v>62</v>
      </c>
      <c r="AJ46" s="4" t="s">
        <v>62</v>
      </c>
      <c r="AK46" s="4" t="s">
        <v>62</v>
      </c>
      <c r="AL46" s="4" t="s">
        <v>63</v>
      </c>
      <c r="AM46" s="4" t="s">
        <v>62</v>
      </c>
      <c r="AN46" s="4" t="s">
        <v>64</v>
      </c>
      <c r="AO46" s="4" t="s">
        <v>62</v>
      </c>
      <c r="AP46" s="4" t="s">
        <v>62</v>
      </c>
      <c r="AQ46" s="4" t="s">
        <v>62</v>
      </c>
      <c r="AR46" s="4" t="s">
        <v>73</v>
      </c>
      <c r="AS46" s="4" t="s">
        <v>65</v>
      </c>
      <c r="AT46" s="4" t="n">
        <v>8</v>
      </c>
      <c r="AU46" s="4" t="s">
        <v>66</v>
      </c>
      <c r="AV46" s="4" t="s">
        <v>208</v>
      </c>
      <c r="AW46" s="4" t="s">
        <v>236</v>
      </c>
      <c r="AX46" s="4" t="s">
        <v>237</v>
      </c>
      <c r="AY46" s="4" t="n">
        <v>15</v>
      </c>
      <c r="AZ46" s="4" t="s">
        <v>62</v>
      </c>
      <c r="BA46" s="4" t="s">
        <v>235</v>
      </c>
      <c r="BB46" s="4" t="s">
        <v>59</v>
      </c>
      <c r="BC46" s="6" t="n">
        <v>0.4667</v>
      </c>
      <c r="BD46" s="4" t="n">
        <v>93</v>
      </c>
    </row>
    <row r="47" customFormat="false" ht="171.6" hidden="false" customHeight="false" outlineLevel="0" collapsed="false">
      <c r="A47" s="4"/>
      <c r="B47" s="4" t="s">
        <v>56</v>
      </c>
      <c r="C47" s="4" t="s">
        <v>57</v>
      </c>
      <c r="D47" s="4" t="s">
        <v>58</v>
      </c>
      <c r="E47" s="4" t="s">
        <v>59</v>
      </c>
      <c r="F47" s="4" t="n">
        <v>2224</v>
      </c>
      <c r="G47" s="5" t="s">
        <v>232</v>
      </c>
      <c r="H47" s="5" t="s">
        <v>238</v>
      </c>
      <c r="I47" s="4"/>
      <c r="J47" s="4"/>
      <c r="K47" s="4"/>
      <c r="L47" s="4" t="n">
        <v>20</v>
      </c>
      <c r="M47" s="4" t="n">
        <v>20</v>
      </c>
      <c r="N47" s="4" t="n">
        <v>0</v>
      </c>
      <c r="O47" s="4" t="n">
        <v>18</v>
      </c>
      <c r="P47" s="4" t="n">
        <v>2</v>
      </c>
      <c r="Q47" s="4" t="n">
        <v>7</v>
      </c>
      <c r="R47" s="6" t="n">
        <f aca="false">IF(N(L47)=0,0,O47/L47)</f>
        <v>0.9</v>
      </c>
      <c r="S47" s="4" t="n">
        <f aca="false">IF(R47="","",IF(R47&gt;=0.8,50,IF(R47&gt;=0.5,30,IF(R47&gt;=0.01,10,0))))</f>
        <v>50</v>
      </c>
      <c r="T47" s="4" t="n">
        <f aca="false">IF(TRIM(AI47)="Yes",2.5,0)</f>
        <v>2.5</v>
      </c>
      <c r="U47" s="4" t="n">
        <f aca="false">IF(TRIM(AJ47)="Yes",10,0)</f>
        <v>10</v>
      </c>
      <c r="V47" s="4" t="n">
        <f aca="false">IF(TRIM(AK47)="Yes",5,0)</f>
        <v>5</v>
      </c>
      <c r="W47" s="4" t="n">
        <f aca="false">IF(TRIM(AM47)="Yes",5,0)</f>
        <v>5</v>
      </c>
      <c r="X47" s="4" t="n">
        <f aca="false">IF(OR(TRIM(AN47)="Fully Available",TRIM(AN47)="Not Applicable"),5,IF(TRIM(AN47)="Partially Available",2.5,0))</f>
        <v>5</v>
      </c>
      <c r="Y47" s="4" t="n">
        <f aca="false">IF(TRIM(AO47)="Yes",5,0)</f>
        <v>5</v>
      </c>
      <c r="Z47" s="4" t="n">
        <f aca="false">IF(TRIM(AP47)="Yes",2.5,0)</f>
        <v>2.5</v>
      </c>
      <c r="AA47" s="4" t="n">
        <f aca="false">IF(TRIM(AQ47)="Yes",5,0)</f>
        <v>5</v>
      </c>
      <c r="AB47" s="4" t="n">
        <f aca="false">IF(OR(TRIM(AR47)="Yes",TRIM(AR47)="Not Applicable"),5,0)</f>
        <v>5</v>
      </c>
      <c r="AC47" s="4" t="n">
        <f aca="false">IF(TRIM(AS47)="Excellent",5,IF(TRIM(AS47)="Very Good",4,IF(TRIM(AS47)="Good",3,IF(TRIM(AS47)="Average",2,0))))</f>
        <v>5</v>
      </c>
      <c r="AD47" s="7" t="n">
        <f aca="false">IF(COUNT(S47:AC47)=0,"",SUM(S47:AC47))</f>
        <v>100</v>
      </c>
      <c r="AE47" s="7"/>
      <c r="AF47" s="8"/>
      <c r="AG47" s="5"/>
      <c r="AH47" s="4"/>
      <c r="AI47" s="4" t="s">
        <v>62</v>
      </c>
      <c r="AJ47" s="4" t="s">
        <v>62</v>
      </c>
      <c r="AK47" s="4" t="s">
        <v>62</v>
      </c>
      <c r="AL47" s="4" t="s">
        <v>63</v>
      </c>
      <c r="AM47" s="4" t="s">
        <v>62</v>
      </c>
      <c r="AN47" s="4" t="s">
        <v>64</v>
      </c>
      <c r="AO47" s="4" t="s">
        <v>62</v>
      </c>
      <c r="AP47" s="4" t="s">
        <v>62</v>
      </c>
      <c r="AQ47" s="4" t="s">
        <v>62</v>
      </c>
      <c r="AR47" s="4" t="s">
        <v>73</v>
      </c>
      <c r="AS47" s="4" t="s">
        <v>65</v>
      </c>
      <c r="AT47" s="4" t="n">
        <v>2</v>
      </c>
      <c r="AU47" s="4" t="s">
        <v>66</v>
      </c>
      <c r="AV47" s="4" t="s">
        <v>208</v>
      </c>
      <c r="AW47" s="4" t="s">
        <v>239</v>
      </c>
      <c r="AX47" s="4" t="s">
        <v>240</v>
      </c>
      <c r="AY47" s="4" t="n">
        <v>3</v>
      </c>
      <c r="AZ47" s="4" t="s">
        <v>62</v>
      </c>
      <c r="BA47" s="4" t="s">
        <v>235</v>
      </c>
      <c r="BB47" s="4" t="s">
        <v>59</v>
      </c>
      <c r="BC47" s="6" t="n">
        <v>0.3889</v>
      </c>
      <c r="BD47" s="4" t="n">
        <v>93</v>
      </c>
    </row>
    <row r="48" customFormat="false" ht="171.6" hidden="false" customHeight="false" outlineLevel="0" collapsed="false">
      <c r="A48" s="4"/>
      <c r="B48" s="4" t="s">
        <v>56</v>
      </c>
      <c r="C48" s="4" t="s">
        <v>57</v>
      </c>
      <c r="D48" s="4" t="s">
        <v>58</v>
      </c>
      <c r="E48" s="4" t="s">
        <v>59</v>
      </c>
      <c r="F48" s="4" t="n">
        <v>2224</v>
      </c>
      <c r="G48" s="5" t="s">
        <v>232</v>
      </c>
      <c r="H48" s="5" t="s">
        <v>177</v>
      </c>
      <c r="I48" s="4"/>
      <c r="J48" s="4"/>
      <c r="K48" s="4"/>
      <c r="L48" s="4" t="n">
        <v>20</v>
      </c>
      <c r="M48" s="4" t="n">
        <v>20</v>
      </c>
      <c r="N48" s="4" t="n">
        <v>0</v>
      </c>
      <c r="O48" s="4" t="n">
        <v>15</v>
      </c>
      <c r="P48" s="4" t="n">
        <v>5</v>
      </c>
      <c r="Q48" s="4" t="n">
        <v>7</v>
      </c>
      <c r="R48" s="6" t="n">
        <f aca="false">IF(N(L48)=0,0,O48/L48)</f>
        <v>0.75</v>
      </c>
      <c r="S48" s="4" t="n">
        <f aca="false">IF(R48="","",IF(R48&gt;=0.8,50,IF(R48&gt;=0.5,30,IF(R48&gt;=0.01,10,0))))</f>
        <v>30</v>
      </c>
      <c r="T48" s="4" t="n">
        <f aca="false">IF(TRIM(AI48)="Yes",2.5,0)</f>
        <v>2.5</v>
      </c>
      <c r="U48" s="4" t="n">
        <f aca="false">IF(TRIM(AJ48)="Yes",10,0)</f>
        <v>10</v>
      </c>
      <c r="V48" s="4" t="n">
        <f aca="false">IF(TRIM(AK48)="Yes",5,0)</f>
        <v>5</v>
      </c>
      <c r="W48" s="4" t="n">
        <f aca="false">IF(TRIM(AM48)="Yes",5,0)</f>
        <v>5</v>
      </c>
      <c r="X48" s="4" t="n">
        <f aca="false">IF(OR(TRIM(AN48)="Fully Available",TRIM(AN48)="Not Applicable"),5,IF(TRIM(AN48)="Partially Available",2.5,0))</f>
        <v>5</v>
      </c>
      <c r="Y48" s="4" t="n">
        <f aca="false">IF(TRIM(AO48)="Yes",5,0)</f>
        <v>5</v>
      </c>
      <c r="Z48" s="4" t="n">
        <f aca="false">IF(TRIM(AP48)="Yes",2.5,0)</f>
        <v>2.5</v>
      </c>
      <c r="AA48" s="4" t="n">
        <f aca="false">IF(TRIM(AQ48)="Yes",5,0)</f>
        <v>5</v>
      </c>
      <c r="AB48" s="4" t="n">
        <f aca="false">IF(OR(TRIM(AR48)="Yes",TRIM(AR48)="Not Applicable"),5,0)</f>
        <v>5</v>
      </c>
      <c r="AC48" s="4" t="n">
        <f aca="false">IF(TRIM(AS48)="Excellent",5,IF(TRIM(AS48)="Very Good",4,IF(TRIM(AS48)="Good",3,IF(TRIM(AS48)="Average",2,0))))</f>
        <v>5</v>
      </c>
      <c r="AD48" s="7" t="n">
        <f aca="false">IF(COUNT(S48:AC48)=0,"",SUM(S48:AC48))</f>
        <v>80</v>
      </c>
      <c r="AE48" s="7"/>
      <c r="AF48" s="8"/>
      <c r="AG48" s="5"/>
      <c r="AH48" s="4"/>
      <c r="AI48" s="4" t="s">
        <v>62</v>
      </c>
      <c r="AJ48" s="4" t="s">
        <v>62</v>
      </c>
      <c r="AK48" s="4" t="s">
        <v>62</v>
      </c>
      <c r="AL48" s="4" t="s">
        <v>63</v>
      </c>
      <c r="AM48" s="4" t="s">
        <v>62</v>
      </c>
      <c r="AN48" s="4" t="s">
        <v>64</v>
      </c>
      <c r="AO48" s="4" t="s">
        <v>62</v>
      </c>
      <c r="AP48" s="4" t="s">
        <v>62</v>
      </c>
      <c r="AQ48" s="4" t="s">
        <v>62</v>
      </c>
      <c r="AR48" s="4" t="s">
        <v>62</v>
      </c>
      <c r="AS48" s="4" t="s">
        <v>65</v>
      </c>
      <c r="AT48" s="4" t="n">
        <v>6</v>
      </c>
      <c r="AU48" s="4" t="s">
        <v>66</v>
      </c>
      <c r="AV48" s="4" t="s">
        <v>208</v>
      </c>
      <c r="AW48" s="4" t="s">
        <v>241</v>
      </c>
      <c r="AX48" s="4" t="s">
        <v>242</v>
      </c>
      <c r="AY48" s="4" t="n">
        <v>7</v>
      </c>
      <c r="AZ48" s="4" t="s">
        <v>62</v>
      </c>
      <c r="BA48" s="4" t="s">
        <v>235</v>
      </c>
      <c r="BB48" s="4" t="s">
        <v>59</v>
      </c>
      <c r="BC48" s="6" t="n">
        <v>0.4667</v>
      </c>
      <c r="BD48" s="4" t="n">
        <v>93</v>
      </c>
    </row>
    <row r="49" customFormat="false" ht="270.85" hidden="false" customHeight="false" outlineLevel="0" collapsed="false">
      <c r="A49" s="4" t="n">
        <v>21</v>
      </c>
      <c r="B49" s="4" t="s">
        <v>56</v>
      </c>
      <c r="C49" s="4" t="s">
        <v>57</v>
      </c>
      <c r="D49" s="4" t="s">
        <v>58</v>
      </c>
      <c r="E49" s="4" t="s">
        <v>59</v>
      </c>
      <c r="F49" s="4" t="n">
        <v>1536</v>
      </c>
      <c r="G49" s="5" t="s">
        <v>243</v>
      </c>
      <c r="H49" s="5" t="s">
        <v>190</v>
      </c>
      <c r="I49" s="4"/>
      <c r="J49" s="4"/>
      <c r="K49" s="4"/>
      <c r="L49" s="4" t="n">
        <v>20</v>
      </c>
      <c r="M49" s="4" t="n">
        <v>20</v>
      </c>
      <c r="N49" s="4" t="n">
        <v>0</v>
      </c>
      <c r="O49" s="4" t="n">
        <v>17</v>
      </c>
      <c r="P49" s="4" t="n">
        <v>3</v>
      </c>
      <c r="Q49" s="4" t="n">
        <v>7</v>
      </c>
      <c r="R49" s="6" t="n">
        <f aca="false">IF(N(L49)=0,0,O49/L49)</f>
        <v>0.85</v>
      </c>
      <c r="S49" s="4" t="n">
        <f aca="false">IF(R49="","",IF(R49&gt;=0.8,50,IF(R49&gt;=0.5,30,IF(R49&gt;=0.01,10,0))))</f>
        <v>50</v>
      </c>
      <c r="T49" s="4" t="n">
        <f aca="false">IF(TRIM(AI49)="Yes",2.5,0)</f>
        <v>2.5</v>
      </c>
      <c r="U49" s="4" t="n">
        <f aca="false">IF(TRIM(AJ49)="Yes",10,0)</f>
        <v>10</v>
      </c>
      <c r="V49" s="4" t="n">
        <f aca="false">IF(TRIM(AK49)="Yes",5,0)</f>
        <v>5</v>
      </c>
      <c r="W49" s="4" t="n">
        <f aca="false">IF(TRIM(AM49)="Yes",5,0)</f>
        <v>5</v>
      </c>
      <c r="X49" s="4" t="n">
        <f aca="false">IF(OR(TRIM(AN49)="Fully Available",TRIM(AN49)="Not Applicable"),5,IF(TRIM(AN49)="Partially Available",2.5,0))</f>
        <v>5</v>
      </c>
      <c r="Y49" s="4" t="n">
        <f aca="false">IF(TRIM(AO49)="Yes",5,0)</f>
        <v>5</v>
      </c>
      <c r="Z49" s="4" t="n">
        <f aca="false">IF(TRIM(AP49)="Yes",2.5,0)</f>
        <v>2.5</v>
      </c>
      <c r="AA49" s="4" t="n">
        <f aca="false">IF(TRIM(AQ49)="Yes",5,0)</f>
        <v>5</v>
      </c>
      <c r="AB49" s="4" t="n">
        <f aca="false">IF(OR(TRIM(AR49)="Yes",TRIM(AR49)="Not Applicable"),5,0)</f>
        <v>5</v>
      </c>
      <c r="AC49" s="4" t="n">
        <f aca="false">IF(TRIM(AS49)="Excellent",5,IF(TRIM(AS49)="Very Good",4,IF(TRIM(AS49)="Good",3,IF(TRIM(AS49)="Average",2,0))))</f>
        <v>4</v>
      </c>
      <c r="AD49" s="7" t="n">
        <f aca="false">IF(COUNT(S49:AC49)=0,"",SUM(S49:AC49))</f>
        <v>99</v>
      </c>
      <c r="AE49" s="7" t="n">
        <f aca="false">IF(COUNTIF($F$2:F49,F49)=1,IFERROR(AVERAGEIF($F:$F,F49,$AD:$AD),""),"")</f>
        <v>89</v>
      </c>
      <c r="AF49" s="8" t="str">
        <f aca="false">IF(AH49&lt;&gt;"",AH49,IF(AE49="","",IF(AE49&gt;=80,"Excellent",IF(AE49&gt;=70,"Very Good",IF(AE49&gt;=60,"Good",IF(AE49&gt;=50,"Average","Poor"))))))</f>
        <v>Excellent</v>
      </c>
      <c r="AG49" s="5"/>
      <c r="AH49" s="4"/>
      <c r="AI49" s="4" t="s">
        <v>62</v>
      </c>
      <c r="AJ49" s="4" t="s">
        <v>62</v>
      </c>
      <c r="AK49" s="4" t="s">
        <v>62</v>
      </c>
      <c r="AL49" s="4" t="s">
        <v>63</v>
      </c>
      <c r="AM49" s="4" t="s">
        <v>62</v>
      </c>
      <c r="AN49" s="4" t="s">
        <v>64</v>
      </c>
      <c r="AO49" s="4" t="s">
        <v>62</v>
      </c>
      <c r="AP49" s="4" t="s">
        <v>62</v>
      </c>
      <c r="AQ49" s="4" t="s">
        <v>62</v>
      </c>
      <c r="AR49" s="4" t="s">
        <v>62</v>
      </c>
      <c r="AS49" s="4" t="s">
        <v>74</v>
      </c>
      <c r="AT49" s="4" t="n">
        <v>4</v>
      </c>
      <c r="AU49" s="4" t="s">
        <v>112</v>
      </c>
      <c r="AV49" s="4" t="s">
        <v>244</v>
      </c>
      <c r="AW49" s="4" t="s">
        <v>245</v>
      </c>
      <c r="AX49" s="4" t="s">
        <v>192</v>
      </c>
      <c r="AY49" s="4" t="n">
        <v>30</v>
      </c>
      <c r="AZ49" s="4" t="s">
        <v>62</v>
      </c>
      <c r="BA49" s="4" t="s">
        <v>246</v>
      </c>
      <c r="BB49" s="4" t="s">
        <v>59</v>
      </c>
      <c r="BC49" s="6" t="n">
        <v>0.4118</v>
      </c>
      <c r="BD49" s="4" t="n">
        <v>94</v>
      </c>
    </row>
    <row r="50" customFormat="false" ht="270.85" hidden="false" customHeight="false" outlineLevel="0" collapsed="false">
      <c r="A50" s="4"/>
      <c r="B50" s="4" t="s">
        <v>56</v>
      </c>
      <c r="C50" s="4" t="s">
        <v>57</v>
      </c>
      <c r="D50" s="4" t="s">
        <v>58</v>
      </c>
      <c r="E50" s="4" t="s">
        <v>59</v>
      </c>
      <c r="F50" s="4" t="n">
        <v>1536</v>
      </c>
      <c r="G50" s="5" t="s">
        <v>243</v>
      </c>
      <c r="H50" s="5" t="s">
        <v>197</v>
      </c>
      <c r="I50" s="4"/>
      <c r="J50" s="4"/>
      <c r="K50" s="4"/>
      <c r="L50" s="4" t="n">
        <v>20</v>
      </c>
      <c r="M50" s="4" t="n">
        <v>17</v>
      </c>
      <c r="N50" s="4" t="n">
        <v>3</v>
      </c>
      <c r="O50" s="4" t="n">
        <v>15</v>
      </c>
      <c r="P50" s="4" t="n">
        <v>2</v>
      </c>
      <c r="Q50" s="4" t="n">
        <v>7</v>
      </c>
      <c r="R50" s="6" t="n">
        <f aca="false">IF(N(L50)=0,0,O50/L50)</f>
        <v>0.75</v>
      </c>
      <c r="S50" s="4" t="n">
        <f aca="false">IF(R50="","",IF(R50&gt;=0.8,50,IF(R50&gt;=0.5,30,IF(R50&gt;=0.01,10,0))))</f>
        <v>30</v>
      </c>
      <c r="T50" s="4" t="n">
        <f aca="false">IF(TRIM(AI50)="Yes",2.5,0)</f>
        <v>2.5</v>
      </c>
      <c r="U50" s="4" t="n">
        <f aca="false">IF(TRIM(AJ50)="Yes",10,0)</f>
        <v>10</v>
      </c>
      <c r="V50" s="4" t="n">
        <f aca="false">IF(TRIM(AK50)="Yes",5,0)</f>
        <v>5</v>
      </c>
      <c r="W50" s="4" t="n">
        <f aca="false">IF(TRIM(AM50)="Yes",5,0)</f>
        <v>5</v>
      </c>
      <c r="X50" s="4" t="n">
        <f aca="false">IF(OR(TRIM(AN50)="Fully Available",TRIM(AN50)="Not Applicable"),5,IF(TRIM(AN50)="Partially Available",2.5,0))</f>
        <v>5</v>
      </c>
      <c r="Y50" s="4" t="n">
        <f aca="false">IF(TRIM(AO50)="Yes",5,0)</f>
        <v>5</v>
      </c>
      <c r="Z50" s="4" t="n">
        <f aca="false">IF(TRIM(AP50)="Yes",2.5,0)</f>
        <v>2.5</v>
      </c>
      <c r="AA50" s="4" t="n">
        <f aca="false">IF(TRIM(AQ50)="Yes",5,0)</f>
        <v>5</v>
      </c>
      <c r="AB50" s="4" t="n">
        <f aca="false">IF(OR(TRIM(AR50)="Yes",TRIM(AR50)="Not Applicable"),5,0)</f>
        <v>5</v>
      </c>
      <c r="AC50" s="4" t="n">
        <f aca="false">IF(TRIM(AS50)="Excellent",5,IF(TRIM(AS50)="Very Good",4,IF(TRIM(AS50)="Good",3,IF(TRIM(AS50)="Average",2,0))))</f>
        <v>4</v>
      </c>
      <c r="AD50" s="7" t="n">
        <f aca="false">IF(COUNT(S50:AC50)=0,"",SUM(S50:AC50))</f>
        <v>79</v>
      </c>
      <c r="AE50" s="7"/>
      <c r="AF50" s="8"/>
      <c r="AG50" s="5"/>
      <c r="AH50" s="4"/>
      <c r="AI50" s="4" t="s">
        <v>62</v>
      </c>
      <c r="AJ50" s="4" t="s">
        <v>62</v>
      </c>
      <c r="AK50" s="4" t="s">
        <v>62</v>
      </c>
      <c r="AL50" s="4" t="s">
        <v>63</v>
      </c>
      <c r="AM50" s="4" t="s">
        <v>62</v>
      </c>
      <c r="AN50" s="4" t="s">
        <v>64</v>
      </c>
      <c r="AO50" s="4" t="s">
        <v>62</v>
      </c>
      <c r="AP50" s="4" t="s">
        <v>62</v>
      </c>
      <c r="AQ50" s="4" t="s">
        <v>62</v>
      </c>
      <c r="AR50" s="4" t="s">
        <v>73</v>
      </c>
      <c r="AS50" s="4" t="s">
        <v>74</v>
      </c>
      <c r="AT50" s="4" t="n">
        <v>3</v>
      </c>
      <c r="AU50" s="4" t="s">
        <v>66</v>
      </c>
      <c r="AV50" s="4" t="s">
        <v>244</v>
      </c>
      <c r="AW50" s="4" t="s">
        <v>247</v>
      </c>
      <c r="AX50" s="4" t="s">
        <v>248</v>
      </c>
      <c r="AY50" s="4" t="n">
        <v>7</v>
      </c>
      <c r="AZ50" s="4" t="s">
        <v>62</v>
      </c>
      <c r="BA50" s="4" t="s">
        <v>246</v>
      </c>
      <c r="BB50" s="4" t="s">
        <v>59</v>
      </c>
      <c r="BC50" s="6" t="n">
        <v>0.4667</v>
      </c>
      <c r="BD50" s="4" t="n">
        <v>94</v>
      </c>
    </row>
    <row r="51" customFormat="false" ht="270.85" hidden="false" customHeight="false" outlineLevel="0" collapsed="false">
      <c r="A51" s="4" t="n">
        <v>22</v>
      </c>
      <c r="B51" s="4" t="s">
        <v>56</v>
      </c>
      <c r="C51" s="4" t="s">
        <v>57</v>
      </c>
      <c r="D51" s="4" t="s">
        <v>58</v>
      </c>
      <c r="E51" s="4" t="s">
        <v>59</v>
      </c>
      <c r="F51" s="4" t="n">
        <v>695</v>
      </c>
      <c r="G51" s="5" t="s">
        <v>249</v>
      </c>
      <c r="H51" s="5" t="s">
        <v>250</v>
      </c>
      <c r="I51" s="4"/>
      <c r="J51" s="4"/>
      <c r="K51" s="4"/>
      <c r="L51" s="4" t="n">
        <v>40</v>
      </c>
      <c r="M51" s="4" t="n">
        <v>36</v>
      </c>
      <c r="N51" s="4" t="n">
        <v>4</v>
      </c>
      <c r="O51" s="4" t="n">
        <v>14</v>
      </c>
      <c r="P51" s="4" t="n">
        <v>22</v>
      </c>
      <c r="Q51" s="4" t="n">
        <v>10</v>
      </c>
      <c r="R51" s="6" t="n">
        <f aca="false">IF(N(L51)=0,0,O51/L51)</f>
        <v>0.35</v>
      </c>
      <c r="S51" s="4" t="n">
        <f aca="false">IF(R51="","",IF(R51&gt;=0.8,50,IF(R51&gt;=0.5,30,IF(R51&gt;=0.01,10,0))))</f>
        <v>10</v>
      </c>
      <c r="T51" s="4" t="n">
        <f aca="false">IF(TRIM(AI51)="Yes",2.5,0)</f>
        <v>0</v>
      </c>
      <c r="U51" s="4" t="n">
        <f aca="false">IF(TRIM(AJ51)="Yes",10,0)</f>
        <v>10</v>
      </c>
      <c r="V51" s="4" t="n">
        <f aca="false">IF(TRIM(AK51)="Yes",5,0)</f>
        <v>5</v>
      </c>
      <c r="W51" s="4" t="n">
        <f aca="false">IF(TRIM(AM51)="Yes",5,0)</f>
        <v>5</v>
      </c>
      <c r="X51" s="4" t="n">
        <f aca="false">IF(OR(TRIM(AN51)="Fully Available",TRIM(AN51)="Not Applicable"),5,IF(TRIM(AN51)="Partially Available",2.5,0))</f>
        <v>5</v>
      </c>
      <c r="Y51" s="4" t="n">
        <f aca="false">IF(TRIM(AO51)="Yes",5,0)</f>
        <v>5</v>
      </c>
      <c r="Z51" s="4" t="n">
        <f aca="false">IF(TRIM(AP51)="Yes",2.5,0)</f>
        <v>2.5</v>
      </c>
      <c r="AA51" s="4" t="n">
        <f aca="false">IF(TRIM(AQ51)="Yes",5,0)</f>
        <v>0</v>
      </c>
      <c r="AB51" s="4" t="n">
        <f aca="false">IF(OR(TRIM(AR51)="Yes",TRIM(AR51)="Not Applicable"),5,0)</f>
        <v>5</v>
      </c>
      <c r="AC51" s="4" t="n">
        <f aca="false">IF(TRIM(AS51)="Excellent",5,IF(TRIM(AS51)="Very Good",4,IF(TRIM(AS51)="Good",3,IF(TRIM(AS51)="Average",2,0))))</f>
        <v>4</v>
      </c>
      <c r="AD51" s="7" t="n">
        <f aca="false">IF(COUNT(S51:AC51)=0,"",SUM(S51:AC51))</f>
        <v>51.5</v>
      </c>
      <c r="AE51" s="7" t="n">
        <f aca="false">IF(COUNTIF($F$2:F51,F51)=1,IFERROR(AVERAGEIF($F:$F,F51,$AD:$AD),""),"")</f>
        <v>51.5</v>
      </c>
      <c r="AF51" s="8" t="str">
        <f aca="false">IF(AH51&lt;&gt;"",AH51,IF(AE51="","",IF(AE51&gt;=80,"Excellent",IF(AE51&gt;=70,"Very Good",IF(AE51&gt;=60,"Good",IF(AE51&gt;=50,"Average","Poor"))))))</f>
        <v>Average</v>
      </c>
      <c r="AG51" s="5"/>
      <c r="AH51" s="4"/>
      <c r="AI51" s="4" t="s">
        <v>82</v>
      </c>
      <c r="AJ51" s="4" t="s">
        <v>62</v>
      </c>
      <c r="AK51" s="4" t="s">
        <v>62</v>
      </c>
      <c r="AL51" s="4" t="s">
        <v>63</v>
      </c>
      <c r="AM51" s="4" t="s">
        <v>62</v>
      </c>
      <c r="AN51" s="4" t="s">
        <v>64</v>
      </c>
      <c r="AO51" s="4" t="s">
        <v>62</v>
      </c>
      <c r="AP51" s="4" t="s">
        <v>62</v>
      </c>
      <c r="AQ51" s="4" t="s">
        <v>82</v>
      </c>
      <c r="AR51" s="4" t="s">
        <v>73</v>
      </c>
      <c r="AS51" s="4" t="s">
        <v>74</v>
      </c>
      <c r="AT51" s="4" t="n">
        <v>0</v>
      </c>
      <c r="AU51" s="4" t="s">
        <v>66</v>
      </c>
      <c r="AV51" s="4" t="s">
        <v>208</v>
      </c>
      <c r="AW51" s="4" t="s">
        <v>251</v>
      </c>
      <c r="AX51" s="4" t="s">
        <v>252</v>
      </c>
      <c r="AY51" s="4" t="n">
        <v>3</v>
      </c>
      <c r="AZ51" s="4" t="s">
        <v>62</v>
      </c>
      <c r="BA51" s="4" t="s">
        <v>253</v>
      </c>
      <c r="BB51" s="4" t="s">
        <v>59</v>
      </c>
      <c r="BC51" s="6" t="n">
        <v>0.7143</v>
      </c>
      <c r="BD51" s="4" t="n">
        <v>70</v>
      </c>
    </row>
    <row r="52" customFormat="false" ht="270.85" hidden="false" customHeight="false" outlineLevel="0" collapsed="false">
      <c r="A52" s="4"/>
      <c r="B52" s="4" t="s">
        <v>56</v>
      </c>
      <c r="C52" s="4" t="s">
        <v>57</v>
      </c>
      <c r="D52" s="4" t="s">
        <v>58</v>
      </c>
      <c r="E52" s="4" t="s">
        <v>59</v>
      </c>
      <c r="F52" s="4" t="n">
        <v>695</v>
      </c>
      <c r="G52" s="5" t="s">
        <v>249</v>
      </c>
      <c r="H52" s="5" t="s">
        <v>254</v>
      </c>
      <c r="I52" s="4"/>
      <c r="J52" s="4"/>
      <c r="K52" s="4"/>
      <c r="L52" s="4" t="n">
        <v>40</v>
      </c>
      <c r="M52" s="4" t="n">
        <v>37</v>
      </c>
      <c r="N52" s="4" t="n">
        <v>3</v>
      </c>
      <c r="O52" s="4" t="n">
        <v>13</v>
      </c>
      <c r="P52" s="4" t="n">
        <v>24</v>
      </c>
      <c r="Q52" s="4" t="n">
        <v>7</v>
      </c>
      <c r="R52" s="6" t="n">
        <f aca="false">IF(N(L52)=0,0,O52/L52)</f>
        <v>0.325</v>
      </c>
      <c r="S52" s="4" t="n">
        <f aca="false">IF(R52="","",IF(R52&gt;=0.8,50,IF(R52&gt;=0.5,30,IF(R52&gt;=0.01,10,0))))</f>
        <v>10</v>
      </c>
      <c r="T52" s="4" t="n">
        <f aca="false">IF(TRIM(AI52)="Yes",2.5,0)</f>
        <v>0</v>
      </c>
      <c r="U52" s="4" t="n">
        <f aca="false">IF(TRIM(AJ52)="Yes",10,0)</f>
        <v>10</v>
      </c>
      <c r="V52" s="4" t="n">
        <f aca="false">IF(TRIM(AK52)="Yes",5,0)</f>
        <v>5</v>
      </c>
      <c r="W52" s="4" t="n">
        <f aca="false">IF(TRIM(AM52)="Yes",5,0)</f>
        <v>5</v>
      </c>
      <c r="X52" s="4" t="n">
        <f aca="false">IF(OR(TRIM(AN52)="Fully Available",TRIM(AN52)="Not Applicable"),5,IF(TRIM(AN52)="Partially Available",2.5,0))</f>
        <v>5</v>
      </c>
      <c r="Y52" s="4" t="n">
        <f aca="false">IF(TRIM(AO52)="Yes",5,0)</f>
        <v>5</v>
      </c>
      <c r="Z52" s="4" t="n">
        <f aca="false">IF(TRIM(AP52)="Yes",2.5,0)</f>
        <v>2.5</v>
      </c>
      <c r="AA52" s="4" t="n">
        <f aca="false">IF(TRIM(AQ52)="Yes",5,0)</f>
        <v>0</v>
      </c>
      <c r="AB52" s="4" t="n">
        <f aca="false">IF(OR(TRIM(AR52)="Yes",TRIM(AR52)="Not Applicable"),5,0)</f>
        <v>5</v>
      </c>
      <c r="AC52" s="4" t="n">
        <f aca="false">IF(TRIM(AS52)="Excellent",5,IF(TRIM(AS52)="Very Good",4,IF(TRIM(AS52)="Good",3,IF(TRIM(AS52)="Average",2,0))))</f>
        <v>4</v>
      </c>
      <c r="AD52" s="7" t="n">
        <f aca="false">IF(COUNT(S52:AC52)=0,"",SUM(S52:AC52))</f>
        <v>51.5</v>
      </c>
      <c r="AE52" s="7"/>
      <c r="AF52" s="8"/>
      <c r="AG52" s="5"/>
      <c r="AH52" s="4"/>
      <c r="AI52" s="4" t="s">
        <v>82</v>
      </c>
      <c r="AJ52" s="4" t="s">
        <v>62</v>
      </c>
      <c r="AK52" s="4" t="s">
        <v>62</v>
      </c>
      <c r="AL52" s="4" t="s">
        <v>63</v>
      </c>
      <c r="AM52" s="4" t="s">
        <v>62</v>
      </c>
      <c r="AN52" s="4" t="s">
        <v>64</v>
      </c>
      <c r="AO52" s="4" t="s">
        <v>62</v>
      </c>
      <c r="AP52" s="4" t="s">
        <v>62</v>
      </c>
      <c r="AQ52" s="4" t="s">
        <v>82</v>
      </c>
      <c r="AR52" s="4" t="s">
        <v>73</v>
      </c>
      <c r="AS52" s="4" t="s">
        <v>74</v>
      </c>
      <c r="AT52" s="4" t="n">
        <v>0</v>
      </c>
      <c r="AU52" s="4" t="s">
        <v>66</v>
      </c>
      <c r="AV52" s="4" t="s">
        <v>208</v>
      </c>
      <c r="AW52" s="4" t="s">
        <v>255</v>
      </c>
      <c r="AX52" s="4" t="s">
        <v>256</v>
      </c>
      <c r="AY52" s="4" t="n">
        <v>3</v>
      </c>
      <c r="AZ52" s="4" t="s">
        <v>62</v>
      </c>
      <c r="BA52" s="4" t="s">
        <v>253</v>
      </c>
      <c r="BB52" s="4" t="s">
        <v>59</v>
      </c>
      <c r="BC52" s="6" t="n">
        <v>0.5385</v>
      </c>
      <c r="BD52" s="4" t="n">
        <v>70</v>
      </c>
    </row>
    <row r="53" customFormat="false" ht="143.25" hidden="false" customHeight="false" outlineLevel="0" collapsed="false">
      <c r="A53" s="4" t="n">
        <v>23</v>
      </c>
      <c r="B53" s="4" t="s">
        <v>56</v>
      </c>
      <c r="C53" s="4" t="s">
        <v>57</v>
      </c>
      <c r="D53" s="4" t="s">
        <v>58</v>
      </c>
      <c r="E53" s="4" t="s">
        <v>59</v>
      </c>
      <c r="F53" s="4" t="n">
        <v>5175</v>
      </c>
      <c r="G53" s="5" t="s">
        <v>257</v>
      </c>
      <c r="H53" s="5" t="s">
        <v>177</v>
      </c>
      <c r="I53" s="4"/>
      <c r="J53" s="4"/>
      <c r="K53" s="4"/>
      <c r="L53" s="4" t="n">
        <v>20</v>
      </c>
      <c r="M53" s="4" t="n">
        <v>20</v>
      </c>
      <c r="N53" s="4" t="n">
        <v>0</v>
      </c>
      <c r="O53" s="4" t="n">
        <v>14</v>
      </c>
      <c r="P53" s="4" t="n">
        <v>6</v>
      </c>
      <c r="Q53" s="4" t="n">
        <v>7</v>
      </c>
      <c r="R53" s="6" t="n">
        <f aca="false">IF(N(L53)=0,0,O53/L53)</f>
        <v>0.7</v>
      </c>
      <c r="S53" s="4" t="n">
        <f aca="false">IF(R53="","",IF(R53&gt;=0.8,50,IF(R53&gt;=0.5,30,IF(R53&gt;=0.01,10,0))))</f>
        <v>30</v>
      </c>
      <c r="T53" s="4" t="n">
        <f aca="false">IF(TRIM(AI53)="Yes",2.5,0)</f>
        <v>0</v>
      </c>
      <c r="U53" s="4" t="n">
        <f aca="false">IF(TRIM(AJ53)="Yes",10,0)</f>
        <v>10</v>
      </c>
      <c r="V53" s="4" t="n">
        <f aca="false">IF(TRIM(AK53)="Yes",5,0)</f>
        <v>5</v>
      </c>
      <c r="W53" s="4" t="n">
        <f aca="false">IF(TRIM(AM53)="Yes",5,0)</f>
        <v>5</v>
      </c>
      <c r="X53" s="4" t="n">
        <f aca="false">IF(OR(TRIM(AN53)="Fully Available",TRIM(AN53)="Not Applicable"),5,IF(TRIM(AN53)="Partially Available",2.5,0))</f>
        <v>5</v>
      </c>
      <c r="Y53" s="4" t="n">
        <f aca="false">IF(TRIM(AO53)="Yes",5,0)</f>
        <v>5</v>
      </c>
      <c r="Z53" s="4" t="n">
        <f aca="false">IF(TRIM(AP53)="Yes",2.5,0)</f>
        <v>2.5</v>
      </c>
      <c r="AA53" s="4" t="n">
        <f aca="false">IF(TRIM(AQ53)="Yes",5,0)</f>
        <v>5</v>
      </c>
      <c r="AB53" s="4" t="n">
        <f aca="false">IF(OR(TRIM(AR53)="Yes",TRIM(AR53)="Not Applicable"),5,0)</f>
        <v>5</v>
      </c>
      <c r="AC53" s="4" t="n">
        <f aca="false">IF(TRIM(AS53)="Excellent",5,IF(TRIM(AS53)="Very Good",4,IF(TRIM(AS53)="Good",3,IF(TRIM(AS53)="Average",2,0))))</f>
        <v>4</v>
      </c>
      <c r="AD53" s="7" t="n">
        <f aca="false">IF(COUNT(S53:AC53)=0,"",SUM(S53:AC53))</f>
        <v>76.5</v>
      </c>
      <c r="AE53" s="7" t="n">
        <f aca="false">IF(COUNTIF($F$2:F53,F53)=1,IFERROR(AVERAGEIF($F:$F,F53,$AD:$AD),""),"")</f>
        <v>60.25</v>
      </c>
      <c r="AF53" s="8" t="str">
        <f aca="false">IF(AH53&lt;&gt;"",AH53,IF(AE53="","",IF(AE53&gt;=80,"Excellent",IF(AE53&gt;=70,"Very Good",IF(AE53&gt;=60,"Good",IF(AE53&gt;=50,"Average","Poor"))))))</f>
        <v>Good</v>
      </c>
      <c r="AG53" s="5"/>
      <c r="AH53" s="4"/>
      <c r="AI53" s="4" t="s">
        <v>82</v>
      </c>
      <c r="AJ53" s="4" t="s">
        <v>62</v>
      </c>
      <c r="AK53" s="4" t="s">
        <v>62</v>
      </c>
      <c r="AL53" s="4" t="s">
        <v>63</v>
      </c>
      <c r="AM53" s="4" t="s">
        <v>62</v>
      </c>
      <c r="AN53" s="4" t="s">
        <v>64</v>
      </c>
      <c r="AO53" s="4" t="s">
        <v>62</v>
      </c>
      <c r="AP53" s="4" t="s">
        <v>62</v>
      </c>
      <c r="AQ53" s="4" t="s">
        <v>62</v>
      </c>
      <c r="AR53" s="4" t="s">
        <v>73</v>
      </c>
      <c r="AS53" s="4" t="s">
        <v>74</v>
      </c>
      <c r="AT53" s="4" t="n">
        <v>2</v>
      </c>
      <c r="AU53" s="4" t="s">
        <v>66</v>
      </c>
      <c r="AV53" s="4" t="s">
        <v>244</v>
      </c>
      <c r="AW53" s="4" t="s">
        <v>258</v>
      </c>
      <c r="AX53" s="4" t="s">
        <v>259</v>
      </c>
      <c r="AY53" s="4" t="n">
        <v>4</v>
      </c>
      <c r="AZ53" s="4" t="s">
        <v>62</v>
      </c>
      <c r="BA53" s="4" t="s">
        <v>260</v>
      </c>
      <c r="BB53" s="4" t="s">
        <v>59</v>
      </c>
      <c r="BC53" s="6" t="n">
        <v>0.5</v>
      </c>
      <c r="BD53" s="4" t="n">
        <v>67</v>
      </c>
    </row>
    <row r="54" customFormat="false" ht="143.25" hidden="false" customHeight="false" outlineLevel="0" collapsed="false">
      <c r="A54" s="4"/>
      <c r="B54" s="4" t="s">
        <v>56</v>
      </c>
      <c r="C54" s="4" t="s">
        <v>57</v>
      </c>
      <c r="D54" s="4" t="s">
        <v>58</v>
      </c>
      <c r="E54" s="4" t="s">
        <v>59</v>
      </c>
      <c r="F54" s="4" t="n">
        <v>5175</v>
      </c>
      <c r="G54" s="5" t="s">
        <v>257</v>
      </c>
      <c r="H54" s="5" t="s">
        <v>261</v>
      </c>
      <c r="I54" s="4"/>
      <c r="J54" s="4"/>
      <c r="K54" s="4"/>
      <c r="L54" s="4" t="n">
        <v>20</v>
      </c>
      <c r="M54" s="4" t="n">
        <v>20</v>
      </c>
      <c r="N54" s="4" t="n">
        <v>0</v>
      </c>
      <c r="O54" s="4" t="n">
        <v>9</v>
      </c>
      <c r="P54" s="4" t="n">
        <v>11</v>
      </c>
      <c r="Q54" s="4" t="n">
        <v>7</v>
      </c>
      <c r="R54" s="6" t="n">
        <f aca="false">IF(N(L54)=0,0,O54/L54)</f>
        <v>0.45</v>
      </c>
      <c r="S54" s="4" t="n">
        <f aca="false">IF(R54="","",IF(R54&gt;=0.8,50,IF(R54&gt;=0.5,30,IF(R54&gt;=0.01,10,0))))</f>
        <v>10</v>
      </c>
      <c r="T54" s="4" t="n">
        <f aca="false">IF(TRIM(AI54)="Yes",2.5,0)</f>
        <v>0</v>
      </c>
      <c r="U54" s="4" t="n">
        <f aca="false">IF(TRIM(AJ54)="Yes",10,0)</f>
        <v>10</v>
      </c>
      <c r="V54" s="4" t="n">
        <f aca="false">IF(TRIM(AK54)="Yes",5,0)</f>
        <v>5</v>
      </c>
      <c r="W54" s="4" t="n">
        <f aca="false">IF(TRIM(AM54)="Yes",5,0)</f>
        <v>5</v>
      </c>
      <c r="X54" s="4" t="n">
        <f aca="false">IF(OR(TRIM(AN54)="Fully Available",TRIM(AN54)="Not Applicable"),5,IF(TRIM(AN54)="Partially Available",2.5,0))</f>
        <v>2.5</v>
      </c>
      <c r="Y54" s="4" t="n">
        <f aca="false">IF(TRIM(AO54)="Yes",5,0)</f>
        <v>0</v>
      </c>
      <c r="Z54" s="4" t="n">
        <f aca="false">IF(TRIM(AP54)="Yes",2.5,0)</f>
        <v>2.5</v>
      </c>
      <c r="AA54" s="4" t="n">
        <f aca="false">IF(TRIM(AQ54)="Yes",5,0)</f>
        <v>5</v>
      </c>
      <c r="AB54" s="4" t="n">
        <f aca="false">IF(OR(TRIM(AR54)="Yes",TRIM(AR54)="Not Applicable"),5,0)</f>
        <v>0</v>
      </c>
      <c r="AC54" s="4" t="n">
        <f aca="false">IF(TRIM(AS54)="Excellent",5,IF(TRIM(AS54)="Very Good",4,IF(TRIM(AS54)="Good",3,IF(TRIM(AS54)="Average",2,0))))</f>
        <v>4</v>
      </c>
      <c r="AD54" s="7" t="n">
        <f aca="false">IF(COUNT(S54:AC54)=0,"",SUM(S54:AC54))</f>
        <v>44</v>
      </c>
      <c r="AE54" s="7"/>
      <c r="AF54" s="8"/>
      <c r="AG54" s="5"/>
      <c r="AH54" s="4"/>
      <c r="AI54" s="4" t="s">
        <v>82</v>
      </c>
      <c r="AJ54" s="4" t="s">
        <v>62</v>
      </c>
      <c r="AK54" s="4" t="s">
        <v>62</v>
      </c>
      <c r="AL54" s="4" t="s">
        <v>63</v>
      </c>
      <c r="AM54" s="4" t="s">
        <v>62</v>
      </c>
      <c r="AN54" s="4" t="s">
        <v>147</v>
      </c>
      <c r="AO54" s="4" t="s">
        <v>82</v>
      </c>
      <c r="AP54" s="4" t="s">
        <v>62</v>
      </c>
      <c r="AQ54" s="4" t="s">
        <v>62</v>
      </c>
      <c r="AR54" s="4" t="s">
        <v>82</v>
      </c>
      <c r="AS54" s="4" t="s">
        <v>74</v>
      </c>
      <c r="AT54" s="4" t="n">
        <v>4</v>
      </c>
      <c r="AU54" s="4" t="s">
        <v>66</v>
      </c>
      <c r="AV54" s="4" t="s">
        <v>244</v>
      </c>
      <c r="AW54" s="4" t="s">
        <v>262</v>
      </c>
      <c r="AX54" s="4" t="s">
        <v>263</v>
      </c>
      <c r="AY54" s="4" t="n">
        <v>16</v>
      </c>
      <c r="AZ54" s="4" t="s">
        <v>62</v>
      </c>
      <c r="BA54" s="4" t="s">
        <v>260</v>
      </c>
      <c r="BB54" s="4" t="s">
        <v>59</v>
      </c>
      <c r="BC54" s="6" t="n">
        <v>0.7778</v>
      </c>
      <c r="BD54" s="4" t="n">
        <v>67</v>
      </c>
    </row>
    <row r="55" customFormat="false" ht="285.05" hidden="false" customHeight="false" outlineLevel="0" collapsed="false">
      <c r="A55" s="4" t="n">
        <v>24</v>
      </c>
      <c r="B55" s="4" t="s">
        <v>56</v>
      </c>
      <c r="C55" s="4" t="s">
        <v>57</v>
      </c>
      <c r="D55" s="4" t="s">
        <v>58</v>
      </c>
      <c r="E55" s="4" t="s">
        <v>59</v>
      </c>
      <c r="F55" s="4" t="n">
        <v>1895</v>
      </c>
      <c r="G55" s="5" t="s">
        <v>264</v>
      </c>
      <c r="H55" s="5" t="s">
        <v>265</v>
      </c>
      <c r="I55" s="4"/>
      <c r="J55" s="4"/>
      <c r="K55" s="4"/>
      <c r="L55" s="4" t="n">
        <v>40</v>
      </c>
      <c r="M55" s="4" t="n">
        <v>40</v>
      </c>
      <c r="N55" s="4" t="n">
        <v>0</v>
      </c>
      <c r="O55" s="4" t="n">
        <v>40</v>
      </c>
      <c r="P55" s="4" t="n">
        <v>0</v>
      </c>
      <c r="Q55" s="4" t="n">
        <v>20</v>
      </c>
      <c r="R55" s="6" t="n">
        <f aca="false">IF(N(L55)=0,0,O55/L55)</f>
        <v>1</v>
      </c>
      <c r="S55" s="4" t="n">
        <f aca="false">IF(R55="","",IF(R55&gt;=0.8,50,IF(R55&gt;=0.5,30,IF(R55&gt;=0.01,10,0))))</f>
        <v>50</v>
      </c>
      <c r="T55" s="4" t="n">
        <f aca="false">IF(TRIM(AI55)="Yes",2.5,0)</f>
        <v>2.5</v>
      </c>
      <c r="U55" s="4" t="n">
        <f aca="false">IF(TRIM(AJ55)="Yes",10,0)</f>
        <v>10</v>
      </c>
      <c r="V55" s="4" t="n">
        <f aca="false">IF(TRIM(AK55)="Yes",5,0)</f>
        <v>5</v>
      </c>
      <c r="W55" s="4" t="n">
        <f aca="false">IF(TRIM(AM55)="Yes",5,0)</f>
        <v>5</v>
      </c>
      <c r="X55" s="4" t="n">
        <f aca="false">IF(OR(TRIM(AN55)="Fully Available",TRIM(AN55)="Not Applicable"),5,IF(TRIM(AN55)="Partially Available",2.5,0))</f>
        <v>5</v>
      </c>
      <c r="Y55" s="4" t="n">
        <f aca="false">IF(TRIM(AO55)="Yes",5,0)</f>
        <v>5</v>
      </c>
      <c r="Z55" s="4" t="n">
        <f aca="false">IF(TRIM(AP55)="Yes",2.5,0)</f>
        <v>2.5</v>
      </c>
      <c r="AA55" s="4" t="n">
        <f aca="false">IF(TRIM(AQ55)="Yes",5,0)</f>
        <v>5</v>
      </c>
      <c r="AB55" s="4" t="n">
        <f aca="false">IF(OR(TRIM(AR55)="Yes",TRIM(AR55)="Not Applicable"),5,0)</f>
        <v>0</v>
      </c>
      <c r="AC55" s="4" t="n">
        <f aca="false">IF(TRIM(AS55)="Excellent",5,IF(TRIM(AS55)="Very Good",4,IF(TRIM(AS55)="Good",3,IF(TRIM(AS55)="Average",2,0))))</f>
        <v>5</v>
      </c>
      <c r="AD55" s="7" t="n">
        <f aca="false">IF(COUNT(S55:AC55)=0,"",SUM(S55:AC55))</f>
        <v>95</v>
      </c>
      <c r="AE55" s="7" t="n">
        <f aca="false">IF(COUNTIF($F$2:F55,F55)=1,IFERROR(AVERAGEIF($F:$F,F55,$AD:$AD),""),"")</f>
        <v>95</v>
      </c>
      <c r="AF55" s="8" t="str">
        <f aca="false">IF(AH55&lt;&gt;"",AH55,IF(AE55="","",IF(AE55&gt;=80,"Excellent",IF(AE55&gt;=70,"Very Good",IF(AE55&gt;=60,"Good",IF(AE55&gt;=50,"Average","Poor"))))))</f>
        <v>Excellent</v>
      </c>
      <c r="AG55" s="5"/>
      <c r="AH55" s="4"/>
      <c r="AI55" s="4" t="s">
        <v>62</v>
      </c>
      <c r="AJ55" s="4" t="s">
        <v>62</v>
      </c>
      <c r="AK55" s="4" t="s">
        <v>62</v>
      </c>
      <c r="AL55" s="4" t="s">
        <v>63</v>
      </c>
      <c r="AM55" s="4" t="s">
        <v>62</v>
      </c>
      <c r="AN55" s="4" t="s">
        <v>64</v>
      </c>
      <c r="AO55" s="4" t="s">
        <v>62</v>
      </c>
      <c r="AP55" s="4" t="s">
        <v>62</v>
      </c>
      <c r="AQ55" s="4" t="s">
        <v>62</v>
      </c>
      <c r="AR55" s="4" t="s">
        <v>82</v>
      </c>
      <c r="AS55" s="4" t="s">
        <v>65</v>
      </c>
      <c r="AT55" s="4" t="n">
        <v>7</v>
      </c>
      <c r="AU55" s="4" t="s">
        <v>66</v>
      </c>
      <c r="AV55" s="4" t="s">
        <v>244</v>
      </c>
      <c r="AW55" s="4" t="s">
        <v>266</v>
      </c>
      <c r="AX55" s="4" t="s">
        <v>267</v>
      </c>
      <c r="AY55" s="4" t="n">
        <v>13</v>
      </c>
      <c r="AZ55" s="4" t="s">
        <v>62</v>
      </c>
      <c r="BA55" s="4" t="s">
        <v>268</v>
      </c>
      <c r="BB55" s="4" t="s">
        <v>59</v>
      </c>
      <c r="BC55" s="6" t="n">
        <v>0.5</v>
      </c>
      <c r="BD55" s="4" t="n">
        <v>90</v>
      </c>
    </row>
    <row r="56" customFormat="false" ht="171.6" hidden="false" customHeight="false" outlineLevel="0" collapsed="false">
      <c r="A56" s="4" t="n">
        <v>25</v>
      </c>
      <c r="B56" s="4" t="s">
        <v>56</v>
      </c>
      <c r="C56" s="4" t="s">
        <v>57</v>
      </c>
      <c r="D56" s="4" t="s">
        <v>58</v>
      </c>
      <c r="E56" s="4" t="s">
        <v>59</v>
      </c>
      <c r="F56" s="4" t="n">
        <v>5</v>
      </c>
      <c r="G56" s="5" t="s">
        <v>269</v>
      </c>
      <c r="H56" s="5" t="s">
        <v>238</v>
      </c>
      <c r="I56" s="4"/>
      <c r="J56" s="4"/>
      <c r="K56" s="4"/>
      <c r="L56" s="4" t="n">
        <v>40</v>
      </c>
      <c r="M56" s="4" t="n">
        <v>40</v>
      </c>
      <c r="N56" s="4" t="n">
        <v>0</v>
      </c>
      <c r="O56" s="4" t="n">
        <v>28</v>
      </c>
      <c r="P56" s="4" t="n">
        <v>12</v>
      </c>
      <c r="Q56" s="4" t="n">
        <v>10</v>
      </c>
      <c r="R56" s="6" t="n">
        <f aca="false">IF(N(L56)=0,0,O56/L56)</f>
        <v>0.7</v>
      </c>
      <c r="S56" s="4" t="n">
        <f aca="false">IF(R56="","",IF(R56&gt;=0.8,50,IF(R56&gt;=0.5,30,IF(R56&gt;=0.01,10,0))))</f>
        <v>30</v>
      </c>
      <c r="T56" s="4" t="n">
        <f aca="false">IF(TRIM(AI56)="Yes",2.5,0)</f>
        <v>0</v>
      </c>
      <c r="U56" s="4" t="n">
        <f aca="false">IF(TRIM(AJ56)="Yes",10,0)</f>
        <v>0</v>
      </c>
      <c r="V56" s="4" t="n">
        <f aca="false">IF(TRIM(AK56)="Yes",5,0)</f>
        <v>5</v>
      </c>
      <c r="W56" s="4" t="n">
        <f aca="false">IF(TRIM(AM56)="Yes",5,0)</f>
        <v>0</v>
      </c>
      <c r="X56" s="4" t="n">
        <f aca="false">IF(OR(TRIM(AN56)="Fully Available",TRIM(AN56)="Not Applicable"),5,IF(TRIM(AN56)="Partially Available",2.5,0))</f>
        <v>5</v>
      </c>
      <c r="Y56" s="4" t="n">
        <f aca="false">IF(TRIM(AO56)="Yes",5,0)</f>
        <v>5</v>
      </c>
      <c r="Z56" s="4" t="n">
        <f aca="false">IF(TRIM(AP56)="Yes",2.5,0)</f>
        <v>2.5</v>
      </c>
      <c r="AA56" s="4" t="n">
        <f aca="false">IF(TRIM(AQ56)="Yes",5,0)</f>
        <v>5</v>
      </c>
      <c r="AB56" s="4" t="n">
        <f aca="false">IF(OR(TRIM(AR56)="Yes",TRIM(AR56)="Not Applicable"),5,0)</f>
        <v>5</v>
      </c>
      <c r="AC56" s="4" t="n">
        <f aca="false">IF(TRIM(AS56)="Excellent",5,IF(TRIM(AS56)="Very Good",4,IF(TRIM(AS56)="Good",3,IF(TRIM(AS56)="Average",2,0))))</f>
        <v>4</v>
      </c>
      <c r="AD56" s="7" t="n">
        <f aca="false">IF(COUNT(S56:AC56)=0,"",SUM(S56:AC56))</f>
        <v>61.5</v>
      </c>
      <c r="AE56" s="7" t="n">
        <f aca="false">IF(COUNTIF($F$2:F56,F56)=1,IFERROR(AVERAGEIF($F:$F,F56,$AD:$AD),""),"")</f>
        <v>75.0714285714286</v>
      </c>
      <c r="AF56" s="8" t="str">
        <f aca="false">IF(AH56&lt;&gt;"",AH56,IF(AE56="","",IF(AE56&gt;=80,"Excellent",IF(AE56&gt;=70,"Very Good",IF(AE56&gt;=60,"Good",IF(AE56&gt;=50,"Average","Poor"))))))</f>
        <v>Very Good</v>
      </c>
      <c r="AG56" s="5"/>
      <c r="AH56" s="4"/>
      <c r="AI56" s="4" t="s">
        <v>82</v>
      </c>
      <c r="AJ56" s="4" t="s">
        <v>82</v>
      </c>
      <c r="AK56" s="4" t="s">
        <v>62</v>
      </c>
      <c r="AL56" s="4" t="s">
        <v>63</v>
      </c>
      <c r="AM56" s="4" t="s">
        <v>82</v>
      </c>
      <c r="AN56" s="4" t="s">
        <v>64</v>
      </c>
      <c r="AO56" s="4" t="s">
        <v>62</v>
      </c>
      <c r="AP56" s="4" t="s">
        <v>62</v>
      </c>
      <c r="AQ56" s="4" t="s">
        <v>62</v>
      </c>
      <c r="AR56" s="4" t="s">
        <v>73</v>
      </c>
      <c r="AS56" s="4" t="s">
        <v>74</v>
      </c>
      <c r="AT56" s="4" t="n">
        <v>5</v>
      </c>
      <c r="AU56" s="4" t="s">
        <v>66</v>
      </c>
      <c r="AV56" s="4" t="s">
        <v>244</v>
      </c>
      <c r="AW56" s="4" t="s">
        <v>270</v>
      </c>
      <c r="AX56" s="4" t="s">
        <v>271</v>
      </c>
      <c r="AY56" s="4" t="n">
        <v>10</v>
      </c>
      <c r="AZ56" s="4" t="s">
        <v>62</v>
      </c>
      <c r="BA56" s="4" t="s">
        <v>272</v>
      </c>
      <c r="BB56" s="4" t="s">
        <v>59</v>
      </c>
      <c r="BC56" s="6" t="n">
        <v>0.3571</v>
      </c>
      <c r="BD56" s="4" t="n">
        <v>86</v>
      </c>
    </row>
    <row r="57" customFormat="false" ht="171.6" hidden="false" customHeight="false" outlineLevel="0" collapsed="false">
      <c r="A57" s="4"/>
      <c r="B57" s="4" t="s">
        <v>56</v>
      </c>
      <c r="C57" s="4" t="s">
        <v>57</v>
      </c>
      <c r="D57" s="4" t="s">
        <v>58</v>
      </c>
      <c r="E57" s="4" t="s">
        <v>59</v>
      </c>
      <c r="F57" s="4" t="n">
        <v>5</v>
      </c>
      <c r="G57" s="5" t="s">
        <v>269</v>
      </c>
      <c r="H57" s="5" t="s">
        <v>273</v>
      </c>
      <c r="I57" s="4"/>
      <c r="J57" s="4"/>
      <c r="K57" s="4"/>
      <c r="L57" s="4" t="n">
        <v>20</v>
      </c>
      <c r="M57" s="4" t="n">
        <v>20</v>
      </c>
      <c r="N57" s="4" t="n">
        <v>0</v>
      </c>
      <c r="O57" s="4" t="n">
        <v>18</v>
      </c>
      <c r="P57" s="4" t="n">
        <v>2</v>
      </c>
      <c r="Q57" s="4" t="n">
        <v>7</v>
      </c>
      <c r="R57" s="6" t="n">
        <f aca="false">IF(N(L57)=0,0,O57/L57)</f>
        <v>0.9</v>
      </c>
      <c r="S57" s="4" t="n">
        <f aca="false">IF(R57="","",IF(R57&gt;=0.8,50,IF(R57&gt;=0.5,30,IF(R57&gt;=0.01,10,0))))</f>
        <v>50</v>
      </c>
      <c r="T57" s="4" t="n">
        <f aca="false">IF(TRIM(AI57)="Yes",2.5,0)</f>
        <v>0</v>
      </c>
      <c r="U57" s="4" t="n">
        <f aca="false">IF(TRIM(AJ57)="Yes",10,0)</f>
        <v>0</v>
      </c>
      <c r="V57" s="4" t="n">
        <f aca="false">IF(TRIM(AK57)="Yes",5,0)</f>
        <v>5</v>
      </c>
      <c r="W57" s="4" t="n">
        <f aca="false">IF(TRIM(AM57)="Yes",5,0)</f>
        <v>0</v>
      </c>
      <c r="X57" s="4" t="n">
        <f aca="false">IF(OR(TRIM(AN57)="Fully Available",TRIM(AN57)="Not Applicable"),5,IF(TRIM(AN57)="Partially Available",2.5,0))</f>
        <v>5</v>
      </c>
      <c r="Y57" s="4" t="n">
        <f aca="false">IF(TRIM(AO57)="Yes",5,0)</f>
        <v>5</v>
      </c>
      <c r="Z57" s="4" t="n">
        <f aca="false">IF(TRIM(AP57)="Yes",2.5,0)</f>
        <v>2.5</v>
      </c>
      <c r="AA57" s="4" t="n">
        <f aca="false">IF(TRIM(AQ57)="Yes",5,0)</f>
        <v>5</v>
      </c>
      <c r="AB57" s="4" t="n">
        <f aca="false">IF(OR(TRIM(AR57)="Yes",TRIM(AR57)="Not Applicable"),5,0)</f>
        <v>5</v>
      </c>
      <c r="AC57" s="4" t="n">
        <f aca="false">IF(TRIM(AS57)="Excellent",5,IF(TRIM(AS57)="Very Good",4,IF(TRIM(AS57)="Good",3,IF(TRIM(AS57)="Average",2,0))))</f>
        <v>4</v>
      </c>
      <c r="AD57" s="7" t="n">
        <f aca="false">IF(COUNT(S57:AC57)=0,"",SUM(S57:AC57))</f>
        <v>81.5</v>
      </c>
      <c r="AE57" s="7"/>
      <c r="AF57" s="8"/>
      <c r="AG57" s="5"/>
      <c r="AH57" s="4"/>
      <c r="AI57" s="4" t="s">
        <v>82</v>
      </c>
      <c r="AJ57" s="4" t="s">
        <v>82</v>
      </c>
      <c r="AK57" s="4" t="s">
        <v>62</v>
      </c>
      <c r="AL57" s="4" t="s">
        <v>63</v>
      </c>
      <c r="AM57" s="4" t="s">
        <v>82</v>
      </c>
      <c r="AN57" s="4" t="s">
        <v>64</v>
      </c>
      <c r="AO57" s="4" t="s">
        <v>62</v>
      </c>
      <c r="AP57" s="4" t="s">
        <v>62</v>
      </c>
      <c r="AQ57" s="4" t="s">
        <v>62</v>
      </c>
      <c r="AR57" s="4" t="s">
        <v>73</v>
      </c>
      <c r="AS57" s="4" t="s">
        <v>74</v>
      </c>
      <c r="AT57" s="4" t="n">
        <v>2</v>
      </c>
      <c r="AU57" s="4" t="s">
        <v>66</v>
      </c>
      <c r="AV57" s="4" t="s">
        <v>244</v>
      </c>
      <c r="AW57" s="4" t="s">
        <v>274</v>
      </c>
      <c r="AX57" s="4" t="s">
        <v>267</v>
      </c>
      <c r="AY57" s="4" t="n">
        <v>9</v>
      </c>
      <c r="AZ57" s="4" t="s">
        <v>62</v>
      </c>
      <c r="BA57" s="4" t="s">
        <v>272</v>
      </c>
      <c r="BB57" s="4" t="s">
        <v>59</v>
      </c>
      <c r="BC57" s="6" t="n">
        <v>0.3889</v>
      </c>
      <c r="BD57" s="4" t="n">
        <v>86</v>
      </c>
    </row>
    <row r="58" customFormat="false" ht="171.6" hidden="false" customHeight="false" outlineLevel="0" collapsed="false">
      <c r="A58" s="4"/>
      <c r="B58" s="4" t="s">
        <v>56</v>
      </c>
      <c r="C58" s="4" t="s">
        <v>57</v>
      </c>
      <c r="D58" s="4" t="s">
        <v>58</v>
      </c>
      <c r="E58" s="4" t="s">
        <v>59</v>
      </c>
      <c r="F58" s="4" t="n">
        <v>5</v>
      </c>
      <c r="G58" s="5" t="s">
        <v>269</v>
      </c>
      <c r="H58" s="5" t="s">
        <v>261</v>
      </c>
      <c r="I58" s="4"/>
      <c r="J58" s="4"/>
      <c r="K58" s="4"/>
      <c r="L58" s="4" t="n">
        <v>40</v>
      </c>
      <c r="M58" s="4" t="n">
        <v>40</v>
      </c>
      <c r="N58" s="4" t="n">
        <v>0</v>
      </c>
      <c r="O58" s="4" t="n">
        <v>33</v>
      </c>
      <c r="P58" s="4" t="n">
        <v>7</v>
      </c>
      <c r="Q58" s="4" t="n">
        <v>10</v>
      </c>
      <c r="R58" s="6" t="n">
        <f aca="false">IF(N(L58)=0,0,O58/L58)</f>
        <v>0.825</v>
      </c>
      <c r="S58" s="4" t="n">
        <f aca="false">IF(R58="","",IF(R58&gt;=0.8,50,IF(R58&gt;=0.5,30,IF(R58&gt;=0.01,10,0))))</f>
        <v>50</v>
      </c>
      <c r="T58" s="4" t="n">
        <f aca="false">IF(TRIM(AI58)="Yes",2.5,0)</f>
        <v>0</v>
      </c>
      <c r="U58" s="4" t="n">
        <f aca="false">IF(TRIM(AJ58)="Yes",10,0)</f>
        <v>0</v>
      </c>
      <c r="V58" s="4" t="n">
        <f aca="false">IF(TRIM(AK58)="Yes",5,0)</f>
        <v>5</v>
      </c>
      <c r="W58" s="4" t="n">
        <f aca="false">IF(TRIM(AM58)="Yes",5,0)</f>
        <v>0</v>
      </c>
      <c r="X58" s="4" t="n">
        <f aca="false">IF(OR(TRIM(AN58)="Fully Available",TRIM(AN58)="Not Applicable"),5,IF(TRIM(AN58)="Partially Available",2.5,0))</f>
        <v>5</v>
      </c>
      <c r="Y58" s="4" t="n">
        <f aca="false">IF(TRIM(AO58)="Yes",5,0)</f>
        <v>0</v>
      </c>
      <c r="Z58" s="4" t="n">
        <f aca="false">IF(TRIM(AP58)="Yes",2.5,0)</f>
        <v>2.5</v>
      </c>
      <c r="AA58" s="4" t="n">
        <f aca="false">IF(TRIM(AQ58)="Yes",5,0)</f>
        <v>5</v>
      </c>
      <c r="AB58" s="4" t="n">
        <f aca="false">IF(OR(TRIM(AR58)="Yes",TRIM(AR58)="Not Applicable"),5,0)</f>
        <v>5</v>
      </c>
      <c r="AC58" s="4" t="n">
        <f aca="false">IF(TRIM(AS58)="Excellent",5,IF(TRIM(AS58)="Very Good",4,IF(TRIM(AS58)="Good",3,IF(TRIM(AS58)="Average",2,0))))</f>
        <v>4</v>
      </c>
      <c r="AD58" s="7" t="n">
        <f aca="false">IF(COUNT(S58:AC58)=0,"",SUM(S58:AC58))</f>
        <v>76.5</v>
      </c>
      <c r="AE58" s="7"/>
      <c r="AF58" s="8"/>
      <c r="AG58" s="5"/>
      <c r="AH58" s="4"/>
      <c r="AI58" s="4" t="s">
        <v>82</v>
      </c>
      <c r="AJ58" s="4" t="s">
        <v>82</v>
      </c>
      <c r="AK58" s="4" t="s">
        <v>62</v>
      </c>
      <c r="AL58" s="4" t="s">
        <v>63</v>
      </c>
      <c r="AM58" s="4" t="s">
        <v>82</v>
      </c>
      <c r="AN58" s="4" t="s">
        <v>64</v>
      </c>
      <c r="AO58" s="4" t="s">
        <v>82</v>
      </c>
      <c r="AP58" s="4" t="s">
        <v>62</v>
      </c>
      <c r="AQ58" s="4" t="s">
        <v>62</v>
      </c>
      <c r="AR58" s="4" t="s">
        <v>73</v>
      </c>
      <c r="AS58" s="4" t="s">
        <v>74</v>
      </c>
      <c r="AT58" s="4" t="n">
        <v>2</v>
      </c>
      <c r="AU58" s="4" t="s">
        <v>66</v>
      </c>
      <c r="AV58" s="4" t="s">
        <v>244</v>
      </c>
      <c r="AW58" s="4" t="s">
        <v>275</v>
      </c>
      <c r="AX58" s="4" t="s">
        <v>276</v>
      </c>
      <c r="AY58" s="4" t="n">
        <v>3</v>
      </c>
      <c r="AZ58" s="4" t="s">
        <v>62</v>
      </c>
      <c r="BA58" s="4" t="s">
        <v>272</v>
      </c>
      <c r="BB58" s="4" t="s">
        <v>59</v>
      </c>
      <c r="BC58" s="6" t="n">
        <v>0.303</v>
      </c>
      <c r="BD58" s="4" t="n">
        <v>86</v>
      </c>
    </row>
    <row r="59" customFormat="false" ht="171.6" hidden="false" customHeight="false" outlineLevel="0" collapsed="false">
      <c r="A59" s="4"/>
      <c r="B59" s="4" t="s">
        <v>56</v>
      </c>
      <c r="C59" s="4" t="s">
        <v>57</v>
      </c>
      <c r="D59" s="4" t="s">
        <v>58</v>
      </c>
      <c r="E59" s="4" t="s">
        <v>59</v>
      </c>
      <c r="F59" s="4" t="n">
        <v>5</v>
      </c>
      <c r="G59" s="5" t="s">
        <v>269</v>
      </c>
      <c r="H59" s="5" t="s">
        <v>90</v>
      </c>
      <c r="I59" s="4"/>
      <c r="J59" s="4"/>
      <c r="K59" s="4"/>
      <c r="L59" s="4" t="n">
        <v>20</v>
      </c>
      <c r="M59" s="4" t="n">
        <v>20</v>
      </c>
      <c r="N59" s="4" t="n">
        <v>0</v>
      </c>
      <c r="O59" s="4" t="n">
        <v>16</v>
      </c>
      <c r="P59" s="4" t="n">
        <v>4</v>
      </c>
      <c r="Q59" s="4" t="n">
        <v>7</v>
      </c>
      <c r="R59" s="6" t="n">
        <f aca="false">IF(N(L59)=0,0,O59/L59)</f>
        <v>0.8</v>
      </c>
      <c r="S59" s="4" t="n">
        <f aca="false">IF(R59="","",IF(R59&gt;=0.8,50,IF(R59&gt;=0.5,30,IF(R59&gt;=0.01,10,0))))</f>
        <v>50</v>
      </c>
      <c r="T59" s="4" t="n">
        <f aca="false">IF(TRIM(AI59)="Yes",2.5,0)</f>
        <v>0</v>
      </c>
      <c r="U59" s="4" t="n">
        <f aca="false">IF(TRIM(AJ59)="Yes",10,0)</f>
        <v>0</v>
      </c>
      <c r="V59" s="4" t="n">
        <f aca="false">IF(TRIM(AK59)="Yes",5,0)</f>
        <v>5</v>
      </c>
      <c r="W59" s="4" t="n">
        <f aca="false">IF(TRIM(AM59)="Yes",5,0)</f>
        <v>0</v>
      </c>
      <c r="X59" s="4" t="n">
        <f aca="false">IF(OR(TRIM(AN59)="Fully Available",TRIM(AN59)="Not Applicable"),5,IF(TRIM(AN59)="Partially Available",2.5,0))</f>
        <v>5</v>
      </c>
      <c r="Y59" s="4" t="n">
        <f aca="false">IF(TRIM(AO59)="Yes",5,0)</f>
        <v>5</v>
      </c>
      <c r="Z59" s="4" t="n">
        <f aca="false">IF(TRIM(AP59)="Yes",2.5,0)</f>
        <v>2.5</v>
      </c>
      <c r="AA59" s="4" t="n">
        <f aca="false">IF(TRIM(AQ59)="Yes",5,0)</f>
        <v>5</v>
      </c>
      <c r="AB59" s="4" t="n">
        <f aca="false">IF(OR(TRIM(AR59)="Yes",TRIM(AR59)="Not Applicable"),5,0)</f>
        <v>5</v>
      </c>
      <c r="AC59" s="4" t="n">
        <f aca="false">IF(TRIM(AS59)="Excellent",5,IF(TRIM(AS59)="Very Good",4,IF(TRIM(AS59)="Good",3,IF(TRIM(AS59)="Average",2,0))))</f>
        <v>4</v>
      </c>
      <c r="AD59" s="7" t="n">
        <f aca="false">IF(COUNT(S59:AC59)=0,"",SUM(S59:AC59))</f>
        <v>81.5</v>
      </c>
      <c r="AE59" s="7"/>
      <c r="AF59" s="8"/>
      <c r="AG59" s="5"/>
      <c r="AH59" s="4"/>
      <c r="AI59" s="4" t="s">
        <v>82</v>
      </c>
      <c r="AJ59" s="4" t="s">
        <v>82</v>
      </c>
      <c r="AK59" s="4" t="s">
        <v>62</v>
      </c>
      <c r="AL59" s="4" t="s">
        <v>63</v>
      </c>
      <c r="AM59" s="4" t="s">
        <v>82</v>
      </c>
      <c r="AN59" s="4" t="s">
        <v>64</v>
      </c>
      <c r="AO59" s="4" t="s">
        <v>62</v>
      </c>
      <c r="AP59" s="4" t="s">
        <v>62</v>
      </c>
      <c r="AQ59" s="4" t="s">
        <v>62</v>
      </c>
      <c r="AR59" s="4" t="s">
        <v>73</v>
      </c>
      <c r="AS59" s="4" t="s">
        <v>74</v>
      </c>
      <c r="AT59" s="4" t="n">
        <v>2</v>
      </c>
      <c r="AU59" s="4" t="s">
        <v>66</v>
      </c>
      <c r="AV59" s="4" t="s">
        <v>244</v>
      </c>
      <c r="AW59" s="4" t="s">
        <v>277</v>
      </c>
      <c r="AX59" s="4" t="s">
        <v>278</v>
      </c>
      <c r="AY59" s="4" t="n">
        <v>4</v>
      </c>
      <c r="AZ59" s="4" t="s">
        <v>62</v>
      </c>
      <c r="BA59" s="4" t="s">
        <v>272</v>
      </c>
      <c r="BB59" s="4" t="s">
        <v>59</v>
      </c>
      <c r="BC59" s="6" t="n">
        <v>0.4375</v>
      </c>
      <c r="BD59" s="4" t="n">
        <v>86</v>
      </c>
    </row>
    <row r="60" customFormat="false" ht="171.6" hidden="false" customHeight="false" outlineLevel="0" collapsed="false">
      <c r="A60" s="4"/>
      <c r="B60" s="4" t="s">
        <v>56</v>
      </c>
      <c r="C60" s="4" t="s">
        <v>57</v>
      </c>
      <c r="D60" s="4" t="s">
        <v>58</v>
      </c>
      <c r="E60" s="4" t="s">
        <v>59</v>
      </c>
      <c r="F60" s="4" t="n">
        <v>5</v>
      </c>
      <c r="G60" s="5" t="s">
        <v>269</v>
      </c>
      <c r="H60" s="5" t="s">
        <v>279</v>
      </c>
      <c r="I60" s="4"/>
      <c r="J60" s="4"/>
      <c r="K60" s="4"/>
      <c r="L60" s="4" t="n">
        <v>40</v>
      </c>
      <c r="M60" s="4" t="n">
        <v>40</v>
      </c>
      <c r="N60" s="4" t="n">
        <v>0</v>
      </c>
      <c r="O60" s="4" t="n">
        <v>34</v>
      </c>
      <c r="P60" s="4" t="n">
        <v>6</v>
      </c>
      <c r="Q60" s="4" t="n">
        <v>10</v>
      </c>
      <c r="R60" s="6" t="n">
        <f aca="false">IF(N(L60)=0,0,O60/L60)</f>
        <v>0.85</v>
      </c>
      <c r="S60" s="4" t="n">
        <f aca="false">IF(R60="","",IF(R60&gt;=0.8,50,IF(R60&gt;=0.5,30,IF(R60&gt;=0.01,10,0))))</f>
        <v>50</v>
      </c>
      <c r="T60" s="4" t="n">
        <f aca="false">IF(TRIM(AI60)="Yes",2.5,0)</f>
        <v>0</v>
      </c>
      <c r="U60" s="4" t="n">
        <f aca="false">IF(TRIM(AJ60)="Yes",10,0)</f>
        <v>0</v>
      </c>
      <c r="V60" s="4" t="n">
        <f aca="false">IF(TRIM(AK60)="Yes",5,0)</f>
        <v>5</v>
      </c>
      <c r="W60" s="4" t="n">
        <f aca="false">IF(TRIM(AM60)="Yes",5,0)</f>
        <v>0</v>
      </c>
      <c r="X60" s="4" t="n">
        <f aca="false">IF(OR(TRIM(AN60)="Fully Available",TRIM(AN60)="Not Applicable"),5,IF(TRIM(AN60)="Partially Available",2.5,0))</f>
        <v>5</v>
      </c>
      <c r="Y60" s="4" t="n">
        <f aca="false">IF(TRIM(AO60)="Yes",5,0)</f>
        <v>5</v>
      </c>
      <c r="Z60" s="4" t="n">
        <f aca="false">IF(TRIM(AP60)="Yes",2.5,0)</f>
        <v>2.5</v>
      </c>
      <c r="AA60" s="4" t="n">
        <f aca="false">IF(TRIM(AQ60)="Yes",5,0)</f>
        <v>5</v>
      </c>
      <c r="AB60" s="4" t="n">
        <f aca="false">IF(OR(TRIM(AR60)="Yes",TRIM(AR60)="Not Applicable"),5,0)</f>
        <v>5</v>
      </c>
      <c r="AC60" s="4" t="n">
        <f aca="false">IF(TRIM(AS60)="Excellent",5,IF(TRIM(AS60)="Very Good",4,IF(TRIM(AS60)="Good",3,IF(TRIM(AS60)="Average",2,0))))</f>
        <v>4</v>
      </c>
      <c r="AD60" s="7" t="n">
        <f aca="false">IF(COUNT(S60:AC60)=0,"",SUM(S60:AC60))</f>
        <v>81.5</v>
      </c>
      <c r="AE60" s="7"/>
      <c r="AF60" s="8"/>
      <c r="AG60" s="5"/>
      <c r="AH60" s="4"/>
      <c r="AI60" s="4" t="s">
        <v>82</v>
      </c>
      <c r="AJ60" s="4" t="s">
        <v>82</v>
      </c>
      <c r="AK60" s="4" t="s">
        <v>62</v>
      </c>
      <c r="AL60" s="4" t="s">
        <v>63</v>
      </c>
      <c r="AM60" s="4" t="s">
        <v>82</v>
      </c>
      <c r="AN60" s="4" t="s">
        <v>64</v>
      </c>
      <c r="AO60" s="4" t="s">
        <v>62</v>
      </c>
      <c r="AP60" s="4" t="s">
        <v>62</v>
      </c>
      <c r="AQ60" s="4" t="s">
        <v>62</v>
      </c>
      <c r="AR60" s="4" t="s">
        <v>62</v>
      </c>
      <c r="AS60" s="4" t="s">
        <v>74</v>
      </c>
      <c r="AT60" s="4" t="n">
        <v>2</v>
      </c>
      <c r="AU60" s="4" t="s">
        <v>112</v>
      </c>
      <c r="AV60" s="4" t="s">
        <v>244</v>
      </c>
      <c r="AW60" s="4" t="s">
        <v>280</v>
      </c>
      <c r="AX60" s="4" t="s">
        <v>281</v>
      </c>
      <c r="AY60" s="4" t="n">
        <v>7</v>
      </c>
      <c r="AZ60" s="4" t="s">
        <v>62</v>
      </c>
      <c r="BA60" s="4" t="s">
        <v>272</v>
      </c>
      <c r="BB60" s="4" t="s">
        <v>59</v>
      </c>
      <c r="BC60" s="6" t="n">
        <v>0.2941</v>
      </c>
      <c r="BD60" s="4" t="n">
        <v>86</v>
      </c>
    </row>
    <row r="61" customFormat="false" ht="171.6" hidden="false" customHeight="false" outlineLevel="0" collapsed="false">
      <c r="A61" s="4"/>
      <c r="B61" s="4" t="s">
        <v>56</v>
      </c>
      <c r="C61" s="4" t="s">
        <v>57</v>
      </c>
      <c r="D61" s="4" t="s">
        <v>58</v>
      </c>
      <c r="E61" s="4" t="s">
        <v>59</v>
      </c>
      <c r="F61" s="4" t="n">
        <v>5</v>
      </c>
      <c r="G61" s="5" t="s">
        <v>269</v>
      </c>
      <c r="H61" s="5" t="s">
        <v>254</v>
      </c>
      <c r="I61" s="4"/>
      <c r="J61" s="4"/>
      <c r="K61" s="4"/>
      <c r="L61" s="4" t="n">
        <v>40</v>
      </c>
      <c r="M61" s="4" t="n">
        <v>40</v>
      </c>
      <c r="N61" s="4" t="n">
        <v>0</v>
      </c>
      <c r="O61" s="4" t="n">
        <v>38</v>
      </c>
      <c r="P61" s="4" t="n">
        <v>2</v>
      </c>
      <c r="Q61" s="4" t="n">
        <v>10</v>
      </c>
      <c r="R61" s="6" t="n">
        <f aca="false">IF(N(L61)=0,0,O61/L61)</f>
        <v>0.95</v>
      </c>
      <c r="S61" s="4" t="n">
        <f aca="false">IF(R61="","",IF(R61&gt;=0.8,50,IF(R61&gt;=0.5,30,IF(R61&gt;=0.01,10,0))))</f>
        <v>50</v>
      </c>
      <c r="T61" s="4" t="n">
        <f aca="false">IF(TRIM(AI61)="Yes",2.5,0)</f>
        <v>0</v>
      </c>
      <c r="U61" s="4" t="n">
        <f aca="false">IF(TRIM(AJ61)="Yes",10,0)</f>
        <v>0</v>
      </c>
      <c r="V61" s="4" t="n">
        <f aca="false">IF(TRIM(AK61)="Yes",5,0)</f>
        <v>5</v>
      </c>
      <c r="W61" s="4" t="n">
        <f aca="false">IF(TRIM(AM61)="Yes",5,0)</f>
        <v>0</v>
      </c>
      <c r="X61" s="4" t="n">
        <f aca="false">IF(OR(TRIM(AN61)="Fully Available",TRIM(AN61)="Not Applicable"),5,IF(TRIM(AN61)="Partially Available",2.5,0))</f>
        <v>5</v>
      </c>
      <c r="Y61" s="4" t="n">
        <f aca="false">IF(TRIM(AO61)="Yes",5,0)</f>
        <v>5</v>
      </c>
      <c r="Z61" s="4" t="n">
        <f aca="false">IF(TRIM(AP61)="Yes",2.5,0)</f>
        <v>2.5</v>
      </c>
      <c r="AA61" s="4" t="n">
        <f aca="false">IF(TRIM(AQ61)="Yes",5,0)</f>
        <v>5</v>
      </c>
      <c r="AB61" s="4" t="n">
        <f aca="false">IF(OR(TRIM(AR61)="Yes",TRIM(AR61)="Not Applicable"),5,0)</f>
        <v>5</v>
      </c>
      <c r="AC61" s="4" t="n">
        <f aca="false">IF(TRIM(AS61)="Excellent",5,IF(TRIM(AS61)="Very Good",4,IF(TRIM(AS61)="Good",3,IF(TRIM(AS61)="Average",2,0))))</f>
        <v>4</v>
      </c>
      <c r="AD61" s="7" t="n">
        <f aca="false">IF(COUNT(S61:AC61)=0,"",SUM(S61:AC61))</f>
        <v>81.5</v>
      </c>
      <c r="AE61" s="7"/>
      <c r="AF61" s="8"/>
      <c r="AG61" s="5"/>
      <c r="AH61" s="4"/>
      <c r="AI61" s="4" t="s">
        <v>82</v>
      </c>
      <c r="AJ61" s="4" t="s">
        <v>82</v>
      </c>
      <c r="AK61" s="4" t="s">
        <v>62</v>
      </c>
      <c r="AL61" s="4" t="s">
        <v>63</v>
      </c>
      <c r="AM61" s="4" t="s">
        <v>82</v>
      </c>
      <c r="AN61" s="4" t="s">
        <v>64</v>
      </c>
      <c r="AO61" s="4" t="s">
        <v>62</v>
      </c>
      <c r="AP61" s="4" t="s">
        <v>62</v>
      </c>
      <c r="AQ61" s="4" t="s">
        <v>62</v>
      </c>
      <c r="AR61" s="4" t="s">
        <v>73</v>
      </c>
      <c r="AS61" s="4" t="s">
        <v>74</v>
      </c>
      <c r="AT61" s="4" t="n">
        <v>4</v>
      </c>
      <c r="AU61" s="4" t="s">
        <v>66</v>
      </c>
      <c r="AV61" s="4" t="s">
        <v>244</v>
      </c>
      <c r="AW61" s="4" t="s">
        <v>282</v>
      </c>
      <c r="AX61" s="4" t="s">
        <v>283</v>
      </c>
      <c r="AY61" s="4" t="n">
        <v>1</v>
      </c>
      <c r="AZ61" s="4" t="s">
        <v>62</v>
      </c>
      <c r="BA61" s="4" t="s">
        <v>272</v>
      </c>
      <c r="BB61" s="4" t="s">
        <v>59</v>
      </c>
      <c r="BC61" s="6" t="n">
        <v>0.2632</v>
      </c>
      <c r="BD61" s="4" t="n">
        <v>86</v>
      </c>
    </row>
    <row r="62" customFormat="false" ht="171.6" hidden="false" customHeight="false" outlineLevel="0" collapsed="false">
      <c r="A62" s="4"/>
      <c r="B62" s="4" t="s">
        <v>56</v>
      </c>
      <c r="C62" s="4" t="s">
        <v>57</v>
      </c>
      <c r="D62" s="4" t="s">
        <v>58</v>
      </c>
      <c r="E62" s="4" t="s">
        <v>59</v>
      </c>
      <c r="F62" s="4" t="n">
        <v>5</v>
      </c>
      <c r="G62" s="5" t="s">
        <v>269</v>
      </c>
      <c r="H62" s="5" t="s">
        <v>284</v>
      </c>
      <c r="I62" s="4"/>
      <c r="J62" s="4"/>
      <c r="K62" s="4"/>
      <c r="L62" s="4" t="n">
        <v>20</v>
      </c>
      <c r="M62" s="4" t="n">
        <v>20</v>
      </c>
      <c r="N62" s="4" t="n">
        <v>0</v>
      </c>
      <c r="O62" s="4" t="n">
        <v>13</v>
      </c>
      <c r="P62" s="4" t="n">
        <v>7</v>
      </c>
      <c r="Q62" s="4" t="n">
        <v>7</v>
      </c>
      <c r="R62" s="6" t="n">
        <f aca="false">IF(N(L62)=0,0,O62/L62)</f>
        <v>0.65</v>
      </c>
      <c r="S62" s="4" t="n">
        <f aca="false">IF(R62="","",IF(R62&gt;=0.8,50,IF(R62&gt;=0.5,30,IF(R62&gt;=0.01,10,0))))</f>
        <v>30</v>
      </c>
      <c r="T62" s="4" t="n">
        <f aca="false">IF(TRIM(AI62)="Yes",2.5,0)</f>
        <v>0</v>
      </c>
      <c r="U62" s="4" t="n">
        <f aca="false">IF(TRIM(AJ62)="Yes",10,0)</f>
        <v>0</v>
      </c>
      <c r="V62" s="4" t="n">
        <f aca="false">IF(TRIM(AK62)="Yes",5,0)</f>
        <v>5</v>
      </c>
      <c r="W62" s="4" t="n">
        <f aca="false">IF(TRIM(AM62)="Yes",5,0)</f>
        <v>0</v>
      </c>
      <c r="X62" s="4" t="n">
        <f aca="false">IF(OR(TRIM(AN62)="Fully Available",TRIM(AN62)="Not Applicable"),5,IF(TRIM(AN62)="Partially Available",2.5,0))</f>
        <v>5</v>
      </c>
      <c r="Y62" s="4" t="n">
        <f aca="false">IF(TRIM(AO62)="Yes",5,0)</f>
        <v>5</v>
      </c>
      <c r="Z62" s="4" t="n">
        <f aca="false">IF(TRIM(AP62)="Yes",2.5,0)</f>
        <v>2.5</v>
      </c>
      <c r="AA62" s="4" t="n">
        <f aca="false">IF(TRIM(AQ62)="Yes",5,0)</f>
        <v>5</v>
      </c>
      <c r="AB62" s="4" t="n">
        <f aca="false">IF(OR(TRIM(AR62)="Yes",TRIM(AR62)="Not Applicable"),5,0)</f>
        <v>5</v>
      </c>
      <c r="AC62" s="4" t="n">
        <f aca="false">IF(TRIM(AS62)="Excellent",5,IF(TRIM(AS62)="Very Good",4,IF(TRIM(AS62)="Good",3,IF(TRIM(AS62)="Average",2,0))))</f>
        <v>4</v>
      </c>
      <c r="AD62" s="7" t="n">
        <f aca="false">IF(COUNT(S62:AC62)=0,"",SUM(S62:AC62))</f>
        <v>61.5</v>
      </c>
      <c r="AE62" s="7"/>
      <c r="AF62" s="8"/>
      <c r="AG62" s="5"/>
      <c r="AH62" s="4"/>
      <c r="AI62" s="4" t="s">
        <v>82</v>
      </c>
      <c r="AJ62" s="4" t="s">
        <v>82</v>
      </c>
      <c r="AK62" s="4" t="s">
        <v>62</v>
      </c>
      <c r="AL62" s="4" t="s">
        <v>63</v>
      </c>
      <c r="AM62" s="4" t="s">
        <v>82</v>
      </c>
      <c r="AN62" s="4" t="s">
        <v>64</v>
      </c>
      <c r="AO62" s="4" t="s">
        <v>62</v>
      </c>
      <c r="AP62" s="4" t="s">
        <v>62</v>
      </c>
      <c r="AQ62" s="4" t="s">
        <v>62</v>
      </c>
      <c r="AR62" s="4" t="s">
        <v>73</v>
      </c>
      <c r="AS62" s="4" t="s">
        <v>74</v>
      </c>
      <c r="AT62" s="4" t="n">
        <v>3</v>
      </c>
      <c r="AU62" s="4" t="s">
        <v>66</v>
      </c>
      <c r="AV62" s="4" t="s">
        <v>244</v>
      </c>
      <c r="AW62" s="4" t="s">
        <v>285</v>
      </c>
      <c r="AX62" s="4" t="s">
        <v>286</v>
      </c>
      <c r="AY62" s="4" t="n">
        <v>10</v>
      </c>
      <c r="AZ62" s="4" t="s">
        <v>62</v>
      </c>
      <c r="BA62" s="4" t="s">
        <v>272</v>
      </c>
      <c r="BB62" s="4" t="s">
        <v>59</v>
      </c>
      <c r="BC62" s="6" t="n">
        <v>0.5385</v>
      </c>
      <c r="BD62" s="4" t="n">
        <v>86</v>
      </c>
    </row>
    <row r="63" customFormat="false" ht="285.05" hidden="false" customHeight="false" outlineLevel="0" collapsed="false">
      <c r="A63" s="4" t="n">
        <v>26</v>
      </c>
      <c r="B63" s="4" t="s">
        <v>56</v>
      </c>
      <c r="C63" s="4" t="s">
        <v>57</v>
      </c>
      <c r="D63" s="4" t="s">
        <v>58</v>
      </c>
      <c r="E63" s="4" t="s">
        <v>59</v>
      </c>
      <c r="F63" s="4" t="n">
        <v>4142</v>
      </c>
      <c r="G63" s="5" t="s">
        <v>287</v>
      </c>
      <c r="H63" s="5" t="s">
        <v>61</v>
      </c>
      <c r="I63" s="4"/>
      <c r="J63" s="4"/>
      <c r="K63" s="4"/>
      <c r="L63" s="4" t="n">
        <v>15</v>
      </c>
      <c r="M63" s="4" t="n">
        <v>15</v>
      </c>
      <c r="N63" s="4" t="n">
        <v>0</v>
      </c>
      <c r="O63" s="4" t="n">
        <v>15</v>
      </c>
      <c r="P63" s="4" t="n">
        <v>0</v>
      </c>
      <c r="Q63" s="4" t="n">
        <v>7</v>
      </c>
      <c r="R63" s="6" t="n">
        <f aca="false">IF(N(L63)=0,0,O63/L63)</f>
        <v>1</v>
      </c>
      <c r="S63" s="4" t="n">
        <f aca="false">IF(R63="","",IF(R63&gt;=0.8,50,IF(R63&gt;=0.5,30,IF(R63&gt;=0.01,10,0))))</f>
        <v>50</v>
      </c>
      <c r="T63" s="4" t="n">
        <f aca="false">IF(TRIM(AI63)="Yes",2.5,0)</f>
        <v>2.5</v>
      </c>
      <c r="U63" s="4" t="n">
        <f aca="false">IF(TRIM(AJ63)="Yes",10,0)</f>
        <v>10</v>
      </c>
      <c r="V63" s="4" t="n">
        <f aca="false">IF(TRIM(AK63)="Yes",5,0)</f>
        <v>5</v>
      </c>
      <c r="W63" s="4" t="n">
        <f aca="false">IF(TRIM(AM63)="Yes",5,0)</f>
        <v>5</v>
      </c>
      <c r="X63" s="4" t="n">
        <f aca="false">IF(OR(TRIM(AN63)="Fully Available",TRIM(AN63)="Not Applicable"),5,IF(TRIM(AN63)="Partially Available",2.5,0))</f>
        <v>5</v>
      </c>
      <c r="Y63" s="4" t="n">
        <f aca="false">IF(TRIM(AO63)="Yes",5,0)</f>
        <v>5</v>
      </c>
      <c r="Z63" s="4" t="n">
        <f aca="false">IF(TRIM(AP63)="Yes",2.5,0)</f>
        <v>2.5</v>
      </c>
      <c r="AA63" s="4" t="n">
        <f aca="false">IF(TRIM(AQ63)="Yes",5,0)</f>
        <v>5</v>
      </c>
      <c r="AB63" s="4" t="n">
        <f aca="false">IF(OR(TRIM(AR63)="Yes",TRIM(AR63)="Not Applicable"),5,0)</f>
        <v>5</v>
      </c>
      <c r="AC63" s="4" t="n">
        <f aca="false">IF(TRIM(AS63)="Excellent",5,IF(TRIM(AS63)="Very Good",4,IF(TRIM(AS63)="Good",3,IF(TRIM(AS63)="Average",2,0))))</f>
        <v>4</v>
      </c>
      <c r="AD63" s="7" t="n">
        <f aca="false">IF(COUNT(S63:AC63)=0,"",SUM(S63:AC63))</f>
        <v>99</v>
      </c>
      <c r="AE63" s="7" t="n">
        <f aca="false">IF(COUNTIF($F$2:F63,F63)=1,IFERROR(AVERAGEIF($F:$F,F63,$AD:$AD),""),"")</f>
        <v>99</v>
      </c>
      <c r="AF63" s="8" t="str">
        <f aca="false">IF(AH63&lt;&gt;"",AH63,IF(AE63="","",IF(AE63&gt;=80,"Excellent",IF(AE63&gt;=70,"Very Good",IF(AE63&gt;=60,"Good",IF(AE63&gt;=50,"Average","Poor"))))))</f>
        <v>Excellent</v>
      </c>
      <c r="AG63" s="5"/>
      <c r="AH63" s="4"/>
      <c r="AI63" s="4" t="s">
        <v>62</v>
      </c>
      <c r="AJ63" s="4" t="s">
        <v>62</v>
      </c>
      <c r="AK63" s="4" t="s">
        <v>62</v>
      </c>
      <c r="AL63" s="4" t="s">
        <v>63</v>
      </c>
      <c r="AM63" s="4" t="s">
        <v>62</v>
      </c>
      <c r="AN63" s="4" t="s">
        <v>64</v>
      </c>
      <c r="AO63" s="4" t="s">
        <v>62</v>
      </c>
      <c r="AP63" s="4" t="s">
        <v>62</v>
      </c>
      <c r="AQ63" s="4" t="s">
        <v>62</v>
      </c>
      <c r="AR63" s="4" t="s">
        <v>62</v>
      </c>
      <c r="AS63" s="4" t="s">
        <v>74</v>
      </c>
      <c r="AT63" s="4" t="n">
        <v>8</v>
      </c>
      <c r="AU63" s="4" t="s">
        <v>66</v>
      </c>
      <c r="AV63" s="4" t="s">
        <v>288</v>
      </c>
      <c r="AW63" s="4" t="s">
        <v>289</v>
      </c>
      <c r="AX63" s="4" t="s">
        <v>290</v>
      </c>
      <c r="AY63" s="4" t="n">
        <v>18</v>
      </c>
      <c r="AZ63" s="4" t="s">
        <v>62</v>
      </c>
      <c r="BA63" s="4" t="s">
        <v>291</v>
      </c>
      <c r="BB63" s="4" t="s">
        <v>59</v>
      </c>
      <c r="BC63" s="6" t="n">
        <v>0.4667</v>
      </c>
      <c r="BD63" s="4" t="n">
        <v>100</v>
      </c>
    </row>
    <row r="64" customFormat="false" ht="285.05" hidden="false" customHeight="false" outlineLevel="0" collapsed="false">
      <c r="A64" s="4"/>
      <c r="B64" s="4" t="s">
        <v>56</v>
      </c>
      <c r="C64" s="4" t="s">
        <v>57</v>
      </c>
      <c r="D64" s="4" t="s">
        <v>58</v>
      </c>
      <c r="E64" s="4" t="s">
        <v>59</v>
      </c>
      <c r="F64" s="4" t="n">
        <v>4142</v>
      </c>
      <c r="G64" s="5" t="s">
        <v>287</v>
      </c>
      <c r="H64" s="5" t="s">
        <v>190</v>
      </c>
      <c r="I64" s="4"/>
      <c r="J64" s="4"/>
      <c r="K64" s="4"/>
      <c r="L64" s="4" t="n">
        <v>20</v>
      </c>
      <c r="M64" s="4" t="n">
        <v>20</v>
      </c>
      <c r="N64" s="4" t="n">
        <v>0</v>
      </c>
      <c r="O64" s="4" t="n">
        <v>20</v>
      </c>
      <c r="P64" s="4" t="n">
        <v>0</v>
      </c>
      <c r="Q64" s="4" t="n">
        <v>7</v>
      </c>
      <c r="R64" s="6" t="n">
        <f aca="false">IF(N(L64)=0,0,O64/L64)</f>
        <v>1</v>
      </c>
      <c r="S64" s="4" t="n">
        <f aca="false">IF(R64="","",IF(R64&gt;=0.8,50,IF(R64&gt;=0.5,30,IF(R64&gt;=0.01,10,0))))</f>
        <v>50</v>
      </c>
      <c r="T64" s="4" t="n">
        <f aca="false">IF(TRIM(AI64)="Yes",2.5,0)</f>
        <v>2.5</v>
      </c>
      <c r="U64" s="4" t="n">
        <f aca="false">IF(TRIM(AJ64)="Yes",10,0)</f>
        <v>10</v>
      </c>
      <c r="V64" s="4" t="n">
        <f aca="false">IF(TRIM(AK64)="Yes",5,0)</f>
        <v>5</v>
      </c>
      <c r="W64" s="4" t="n">
        <f aca="false">IF(TRIM(AM64)="Yes",5,0)</f>
        <v>5</v>
      </c>
      <c r="X64" s="4" t="n">
        <f aca="false">IF(OR(TRIM(AN64)="Fully Available",TRIM(AN64)="Not Applicable"),5,IF(TRIM(AN64)="Partially Available",2.5,0))</f>
        <v>5</v>
      </c>
      <c r="Y64" s="4" t="n">
        <f aca="false">IF(TRIM(AO64)="Yes",5,0)</f>
        <v>5</v>
      </c>
      <c r="Z64" s="4" t="n">
        <f aca="false">IF(TRIM(AP64)="Yes",2.5,0)</f>
        <v>2.5</v>
      </c>
      <c r="AA64" s="4" t="n">
        <f aca="false">IF(TRIM(AQ64)="Yes",5,0)</f>
        <v>5</v>
      </c>
      <c r="AB64" s="4" t="n">
        <f aca="false">IF(OR(TRIM(AR64)="Yes",TRIM(AR64)="Not Applicable"),5,0)</f>
        <v>5</v>
      </c>
      <c r="AC64" s="4" t="n">
        <f aca="false">IF(TRIM(AS64)="Excellent",5,IF(TRIM(AS64)="Very Good",4,IF(TRIM(AS64)="Good",3,IF(TRIM(AS64)="Average",2,0))))</f>
        <v>4</v>
      </c>
      <c r="AD64" s="7" t="n">
        <f aca="false">IF(COUNT(S64:AC64)=0,"",SUM(S64:AC64))</f>
        <v>99</v>
      </c>
      <c r="AE64" s="7"/>
      <c r="AF64" s="8"/>
      <c r="AG64" s="5"/>
      <c r="AH64" s="4"/>
      <c r="AI64" s="4" t="s">
        <v>62</v>
      </c>
      <c r="AJ64" s="4" t="s">
        <v>62</v>
      </c>
      <c r="AK64" s="4" t="s">
        <v>62</v>
      </c>
      <c r="AL64" s="4" t="s">
        <v>63</v>
      </c>
      <c r="AM64" s="4" t="s">
        <v>62</v>
      </c>
      <c r="AN64" s="4" t="s">
        <v>64</v>
      </c>
      <c r="AO64" s="4" t="s">
        <v>62</v>
      </c>
      <c r="AP64" s="4" t="s">
        <v>62</v>
      </c>
      <c r="AQ64" s="4" t="s">
        <v>62</v>
      </c>
      <c r="AR64" s="4" t="s">
        <v>62</v>
      </c>
      <c r="AS64" s="4" t="s">
        <v>74</v>
      </c>
      <c r="AT64" s="4" t="n">
        <v>6</v>
      </c>
      <c r="AU64" s="4" t="s">
        <v>112</v>
      </c>
      <c r="AV64" s="4" t="s">
        <v>288</v>
      </c>
      <c r="AW64" s="4" t="s">
        <v>292</v>
      </c>
      <c r="AX64" s="4" t="s">
        <v>293</v>
      </c>
      <c r="AY64" s="4" t="n">
        <v>7</v>
      </c>
      <c r="AZ64" s="4" t="s">
        <v>62</v>
      </c>
      <c r="BA64" s="4" t="s">
        <v>291</v>
      </c>
      <c r="BB64" s="4" t="s">
        <v>59</v>
      </c>
      <c r="BC64" s="6" t="n">
        <v>0.35</v>
      </c>
      <c r="BD64" s="4" t="n">
        <v>100</v>
      </c>
    </row>
    <row r="65" customFormat="false" ht="285.05" hidden="false" customHeight="false" outlineLevel="0" collapsed="false">
      <c r="A65" s="4" t="n">
        <v>27</v>
      </c>
      <c r="B65" s="4" t="s">
        <v>56</v>
      </c>
      <c r="C65" s="4" t="s">
        <v>57</v>
      </c>
      <c r="D65" s="4" t="s">
        <v>58</v>
      </c>
      <c r="E65" s="4" t="s">
        <v>59</v>
      </c>
      <c r="F65" s="4" t="n">
        <v>3644</v>
      </c>
      <c r="G65" s="5" t="s">
        <v>294</v>
      </c>
      <c r="H65" s="5" t="s">
        <v>190</v>
      </c>
      <c r="I65" s="4"/>
      <c r="J65" s="4"/>
      <c r="K65" s="4"/>
      <c r="L65" s="4" t="n">
        <v>19</v>
      </c>
      <c r="M65" s="4" t="n">
        <v>19</v>
      </c>
      <c r="N65" s="4" t="n">
        <v>0</v>
      </c>
      <c r="O65" s="4" t="n">
        <v>10</v>
      </c>
      <c r="P65" s="4" t="n">
        <v>9</v>
      </c>
      <c r="Q65" s="4" t="n">
        <v>7</v>
      </c>
      <c r="R65" s="6" t="n">
        <f aca="false">IF(N(L65)=0,0,O65/L65)</f>
        <v>0.526315789473684</v>
      </c>
      <c r="S65" s="4" t="n">
        <f aca="false">IF(R65="","",IF(R65&gt;=0.8,50,IF(R65&gt;=0.5,30,IF(R65&gt;=0.01,10,0))))</f>
        <v>30</v>
      </c>
      <c r="T65" s="4" t="n">
        <f aca="false">IF(TRIM(AI65)="Yes",2.5,0)</f>
        <v>0</v>
      </c>
      <c r="U65" s="4" t="n">
        <f aca="false">IF(TRIM(AJ65)="Yes",10,0)</f>
        <v>10</v>
      </c>
      <c r="V65" s="4" t="n">
        <f aca="false">IF(TRIM(AK65)="Yes",5,0)</f>
        <v>5</v>
      </c>
      <c r="W65" s="4" t="n">
        <f aca="false">IF(TRIM(AM65)="Yes",5,0)</f>
        <v>5</v>
      </c>
      <c r="X65" s="4" t="n">
        <f aca="false">IF(OR(TRIM(AN65)="Fully Available",TRIM(AN65)="Not Applicable"),5,IF(TRIM(AN65)="Partially Available",2.5,0))</f>
        <v>5</v>
      </c>
      <c r="Y65" s="4" t="n">
        <f aca="false">IF(TRIM(AO65)="Yes",5,0)</f>
        <v>5</v>
      </c>
      <c r="Z65" s="4" t="n">
        <f aca="false">IF(TRIM(AP65)="Yes",2.5,0)</f>
        <v>2.5</v>
      </c>
      <c r="AA65" s="4" t="n">
        <f aca="false">IF(TRIM(AQ65)="Yes",5,0)</f>
        <v>5</v>
      </c>
      <c r="AB65" s="4" t="n">
        <f aca="false">IF(OR(TRIM(AR65)="Yes",TRIM(AR65)="Not Applicable"),5,0)</f>
        <v>5</v>
      </c>
      <c r="AC65" s="4" t="n">
        <f aca="false">IF(TRIM(AS65)="Excellent",5,IF(TRIM(AS65)="Very Good",4,IF(TRIM(AS65)="Good",3,IF(TRIM(AS65)="Average",2,0))))</f>
        <v>3</v>
      </c>
      <c r="AD65" s="7" t="n">
        <f aca="false">IF(COUNT(S65:AC65)=0,"",SUM(S65:AC65))</f>
        <v>75.5</v>
      </c>
      <c r="AE65" s="7" t="n">
        <f aca="false">IF(COUNTIF($F$2:F65,F65)=1,IFERROR(AVERAGEIF($F:$F,F65,$AD:$AD),""),"")</f>
        <v>62.1666666666667</v>
      </c>
      <c r="AF65" s="8" t="str">
        <f aca="false">IF(AH65&lt;&gt;"",AH65,IF(AE65="","",IF(AE65&gt;=80,"Excellent",IF(AE65&gt;=70,"Very Good",IF(AE65&gt;=60,"Good",IF(AE65&gt;=50,"Average","Poor"))))))</f>
        <v>Good</v>
      </c>
      <c r="AG65" s="5"/>
      <c r="AH65" s="4"/>
      <c r="AI65" s="4" t="s">
        <v>82</v>
      </c>
      <c r="AJ65" s="4" t="s">
        <v>62</v>
      </c>
      <c r="AK65" s="4" t="s">
        <v>62</v>
      </c>
      <c r="AL65" s="4" t="s">
        <v>63</v>
      </c>
      <c r="AM65" s="4" t="s">
        <v>62</v>
      </c>
      <c r="AN65" s="4" t="s">
        <v>64</v>
      </c>
      <c r="AO65" s="4" t="s">
        <v>62</v>
      </c>
      <c r="AP65" s="4" t="s">
        <v>62</v>
      </c>
      <c r="AQ65" s="4" t="s">
        <v>62</v>
      </c>
      <c r="AR65" s="4" t="s">
        <v>62</v>
      </c>
      <c r="AS65" s="4" t="s">
        <v>185</v>
      </c>
      <c r="AT65" s="4" t="n">
        <v>8</v>
      </c>
      <c r="AU65" s="4" t="s">
        <v>66</v>
      </c>
      <c r="AV65" s="4" t="s">
        <v>244</v>
      </c>
      <c r="AW65" s="4" t="s">
        <v>295</v>
      </c>
      <c r="AX65" s="4" t="s">
        <v>296</v>
      </c>
      <c r="AY65" s="4" t="n">
        <v>2</v>
      </c>
      <c r="AZ65" s="4" t="s">
        <v>62</v>
      </c>
      <c r="BA65" s="4" t="s">
        <v>297</v>
      </c>
      <c r="BB65" s="4" t="s">
        <v>59</v>
      </c>
      <c r="BC65" s="6" t="n">
        <v>0.7</v>
      </c>
      <c r="BD65" s="4" t="n">
        <v>76</v>
      </c>
    </row>
    <row r="66" customFormat="false" ht="285.05" hidden="false" customHeight="false" outlineLevel="0" collapsed="false">
      <c r="A66" s="4"/>
      <c r="B66" s="4" t="s">
        <v>56</v>
      </c>
      <c r="C66" s="4" t="s">
        <v>57</v>
      </c>
      <c r="D66" s="4" t="s">
        <v>58</v>
      </c>
      <c r="E66" s="4" t="s">
        <v>59</v>
      </c>
      <c r="F66" s="4" t="n">
        <v>3644</v>
      </c>
      <c r="G66" s="5" t="s">
        <v>294</v>
      </c>
      <c r="H66" s="5" t="s">
        <v>298</v>
      </c>
      <c r="I66" s="4"/>
      <c r="J66" s="4"/>
      <c r="K66" s="4"/>
      <c r="L66" s="4" t="n">
        <v>20</v>
      </c>
      <c r="M66" s="4" t="n">
        <v>20</v>
      </c>
      <c r="N66" s="4" t="n">
        <v>0</v>
      </c>
      <c r="O66" s="4" t="n">
        <v>10</v>
      </c>
      <c r="P66" s="4" t="n">
        <v>10</v>
      </c>
      <c r="Q66" s="4" t="n">
        <v>7</v>
      </c>
      <c r="R66" s="6" t="n">
        <f aca="false">IF(N(L66)=0,0,O66/L66)</f>
        <v>0.5</v>
      </c>
      <c r="S66" s="4" t="n">
        <f aca="false">IF(R66="","",IF(R66&gt;=0.8,50,IF(R66&gt;=0.5,30,IF(R66&gt;=0.01,10,0))))</f>
        <v>30</v>
      </c>
      <c r="T66" s="4" t="n">
        <f aca="false">IF(TRIM(AI66)="Yes",2.5,0)</f>
        <v>0</v>
      </c>
      <c r="U66" s="4" t="n">
        <f aca="false">IF(TRIM(AJ66)="Yes",10,0)</f>
        <v>10</v>
      </c>
      <c r="V66" s="4" t="n">
        <f aca="false">IF(TRIM(AK66)="Yes",5,0)</f>
        <v>5</v>
      </c>
      <c r="W66" s="4" t="n">
        <f aca="false">IF(TRIM(AM66)="Yes",5,0)</f>
        <v>5</v>
      </c>
      <c r="X66" s="4" t="n">
        <f aca="false">IF(OR(TRIM(AN66)="Fully Available",TRIM(AN66)="Not Applicable"),5,IF(TRIM(AN66)="Partially Available",2.5,0))</f>
        <v>5</v>
      </c>
      <c r="Y66" s="4" t="n">
        <f aca="false">IF(TRIM(AO66)="Yes",5,0)</f>
        <v>0</v>
      </c>
      <c r="Z66" s="4" t="n">
        <f aca="false">IF(TRIM(AP66)="Yes",2.5,0)</f>
        <v>2.5</v>
      </c>
      <c r="AA66" s="4" t="n">
        <f aca="false">IF(TRIM(AQ66)="Yes",5,0)</f>
        <v>0</v>
      </c>
      <c r="AB66" s="4" t="n">
        <f aca="false">IF(OR(TRIM(AR66)="Yes",TRIM(AR66)="Not Applicable"),5,0)</f>
        <v>5</v>
      </c>
      <c r="AC66" s="4" t="n">
        <f aca="false">IF(TRIM(AS66)="Excellent",5,IF(TRIM(AS66)="Very Good",4,IF(TRIM(AS66)="Good",3,IF(TRIM(AS66)="Average",2,0))))</f>
        <v>3</v>
      </c>
      <c r="AD66" s="7" t="n">
        <f aca="false">IF(COUNT(S66:AC66)=0,"",SUM(S66:AC66))</f>
        <v>65.5</v>
      </c>
      <c r="AE66" s="7"/>
      <c r="AF66" s="8"/>
      <c r="AG66" s="5"/>
      <c r="AH66" s="4"/>
      <c r="AI66" s="4" t="s">
        <v>82</v>
      </c>
      <c r="AJ66" s="4" t="s">
        <v>62</v>
      </c>
      <c r="AK66" s="4" t="s">
        <v>62</v>
      </c>
      <c r="AL66" s="4" t="s">
        <v>63</v>
      </c>
      <c r="AM66" s="4" t="s">
        <v>62</v>
      </c>
      <c r="AN66" s="4" t="s">
        <v>64</v>
      </c>
      <c r="AO66" s="4" t="s">
        <v>82</v>
      </c>
      <c r="AP66" s="4" t="s">
        <v>62</v>
      </c>
      <c r="AQ66" s="4" t="s">
        <v>82</v>
      </c>
      <c r="AR66" s="4" t="s">
        <v>62</v>
      </c>
      <c r="AS66" s="4" t="s">
        <v>185</v>
      </c>
      <c r="AT66" s="4" t="n">
        <v>0</v>
      </c>
      <c r="AU66" s="4" t="s">
        <v>66</v>
      </c>
      <c r="AV66" s="4" t="s">
        <v>244</v>
      </c>
      <c r="AW66" s="4" t="s">
        <v>295</v>
      </c>
      <c r="AX66" s="4" t="s">
        <v>299</v>
      </c>
      <c r="AY66" s="4" t="n">
        <v>2</v>
      </c>
      <c r="AZ66" s="4" t="s">
        <v>62</v>
      </c>
      <c r="BA66" s="4" t="s">
        <v>297</v>
      </c>
      <c r="BB66" s="4" t="s">
        <v>59</v>
      </c>
      <c r="BC66" s="6" t="n">
        <v>0.7</v>
      </c>
      <c r="BD66" s="4" t="n">
        <v>76</v>
      </c>
    </row>
    <row r="67" customFormat="false" ht="285.05" hidden="false" customHeight="false" outlineLevel="0" collapsed="false">
      <c r="A67" s="4"/>
      <c r="B67" s="4" t="s">
        <v>56</v>
      </c>
      <c r="C67" s="4" t="s">
        <v>57</v>
      </c>
      <c r="D67" s="4" t="s">
        <v>58</v>
      </c>
      <c r="E67" s="4" t="s">
        <v>59</v>
      </c>
      <c r="F67" s="4" t="n">
        <v>3644</v>
      </c>
      <c r="G67" s="5" t="s">
        <v>294</v>
      </c>
      <c r="H67" s="5" t="s">
        <v>279</v>
      </c>
      <c r="I67" s="4"/>
      <c r="J67" s="4"/>
      <c r="K67" s="4"/>
      <c r="L67" s="4" t="n">
        <v>20</v>
      </c>
      <c r="M67" s="4" t="n">
        <v>20</v>
      </c>
      <c r="N67" s="4" t="n">
        <v>0</v>
      </c>
      <c r="O67" s="4" t="n">
        <v>4</v>
      </c>
      <c r="P67" s="4" t="n">
        <v>16</v>
      </c>
      <c r="Q67" s="4" t="n">
        <v>4</v>
      </c>
      <c r="R67" s="6" t="n">
        <f aca="false">IF(N(L67)=0,0,O67/L67)</f>
        <v>0.2</v>
      </c>
      <c r="S67" s="4" t="n">
        <f aca="false">IF(R67="","",IF(R67&gt;=0.8,50,IF(R67&gt;=0.5,30,IF(R67&gt;=0.01,10,0))))</f>
        <v>10</v>
      </c>
      <c r="T67" s="4" t="n">
        <f aca="false">IF(TRIM(AI67)="Yes",2.5,0)</f>
        <v>0</v>
      </c>
      <c r="U67" s="4" t="n">
        <f aca="false">IF(TRIM(AJ67)="Yes",10,0)</f>
        <v>10</v>
      </c>
      <c r="V67" s="4" t="n">
        <f aca="false">IF(TRIM(AK67)="Yes",5,0)</f>
        <v>5</v>
      </c>
      <c r="W67" s="4" t="n">
        <f aca="false">IF(TRIM(AM67)="Yes",5,0)</f>
        <v>5</v>
      </c>
      <c r="X67" s="4" t="n">
        <f aca="false">IF(OR(TRIM(AN67)="Fully Available",TRIM(AN67)="Not Applicable"),5,IF(TRIM(AN67)="Partially Available",2.5,0))</f>
        <v>5</v>
      </c>
      <c r="Y67" s="4" t="n">
        <f aca="false">IF(TRIM(AO67)="Yes",5,0)</f>
        <v>0</v>
      </c>
      <c r="Z67" s="4" t="n">
        <f aca="false">IF(TRIM(AP67)="Yes",2.5,0)</f>
        <v>2.5</v>
      </c>
      <c r="AA67" s="4" t="n">
        <f aca="false">IF(TRIM(AQ67)="Yes",5,0)</f>
        <v>0</v>
      </c>
      <c r="AB67" s="4" t="n">
        <f aca="false">IF(OR(TRIM(AR67)="Yes",TRIM(AR67)="Not Applicable"),5,0)</f>
        <v>5</v>
      </c>
      <c r="AC67" s="4" t="n">
        <f aca="false">IF(TRIM(AS67)="Excellent",5,IF(TRIM(AS67)="Very Good",4,IF(TRIM(AS67)="Good",3,IF(TRIM(AS67)="Average",2,0))))</f>
        <v>3</v>
      </c>
      <c r="AD67" s="7" t="n">
        <f aca="false">IF(COUNT(S67:AC67)=0,"",SUM(S67:AC67))</f>
        <v>45.5</v>
      </c>
      <c r="AE67" s="7"/>
      <c r="AF67" s="8"/>
      <c r="AG67" s="5"/>
      <c r="AH67" s="4"/>
      <c r="AI67" s="4" t="s">
        <v>82</v>
      </c>
      <c r="AJ67" s="4" t="s">
        <v>62</v>
      </c>
      <c r="AK67" s="4" t="s">
        <v>62</v>
      </c>
      <c r="AL67" s="4" t="s">
        <v>63</v>
      </c>
      <c r="AM67" s="4" t="s">
        <v>62</v>
      </c>
      <c r="AN67" s="4" t="s">
        <v>64</v>
      </c>
      <c r="AO67" s="4" t="s">
        <v>82</v>
      </c>
      <c r="AP67" s="4" t="s">
        <v>62</v>
      </c>
      <c r="AQ67" s="4" t="s">
        <v>82</v>
      </c>
      <c r="AR67" s="4" t="s">
        <v>62</v>
      </c>
      <c r="AS67" s="4" t="s">
        <v>185</v>
      </c>
      <c r="AT67" s="4" t="n">
        <v>0</v>
      </c>
      <c r="AU67" s="4" t="s">
        <v>66</v>
      </c>
      <c r="AV67" s="4" t="s">
        <v>244</v>
      </c>
      <c r="AW67" s="4" t="s">
        <v>300</v>
      </c>
      <c r="AX67" s="4" t="s">
        <v>301</v>
      </c>
      <c r="AY67" s="4" t="n">
        <v>10</v>
      </c>
      <c r="AZ67" s="4" t="s">
        <v>62</v>
      </c>
      <c r="BA67" s="4" t="s">
        <v>297</v>
      </c>
      <c r="BB67" s="4" t="s">
        <v>59</v>
      </c>
      <c r="BC67" s="6" t="n">
        <v>1</v>
      </c>
      <c r="BD67" s="4" t="n">
        <v>76</v>
      </c>
    </row>
    <row r="68" customFormat="false" ht="199.95" hidden="false" customHeight="false" outlineLevel="0" collapsed="false">
      <c r="A68" s="4" t="n">
        <v>28</v>
      </c>
      <c r="B68" s="4" t="s">
        <v>56</v>
      </c>
      <c r="C68" s="4" t="s">
        <v>57</v>
      </c>
      <c r="D68" s="4" t="s">
        <v>58</v>
      </c>
      <c r="E68" s="4" t="s">
        <v>59</v>
      </c>
      <c r="F68" s="4" t="n">
        <v>6172</v>
      </c>
      <c r="G68" s="5" t="s">
        <v>302</v>
      </c>
      <c r="H68" s="5" t="s">
        <v>61</v>
      </c>
      <c r="I68" s="4"/>
      <c r="J68" s="4"/>
      <c r="K68" s="4"/>
      <c r="L68" s="4" t="n">
        <v>30</v>
      </c>
      <c r="M68" s="4" t="n">
        <v>30</v>
      </c>
      <c r="N68" s="4" t="n">
        <v>0</v>
      </c>
      <c r="O68" s="4" t="n">
        <v>23</v>
      </c>
      <c r="P68" s="4" t="n">
        <v>7</v>
      </c>
      <c r="Q68" s="4" t="n">
        <v>6</v>
      </c>
      <c r="R68" s="6" t="n">
        <f aca="false">IF(N(L68)=0,0,O68/L68)</f>
        <v>0.766666666666667</v>
      </c>
      <c r="S68" s="4" t="n">
        <f aca="false">IF(R68="","",IF(R68&gt;=0.8,50,IF(R68&gt;=0.5,30,IF(R68&gt;=0.01,10,0))))</f>
        <v>30</v>
      </c>
      <c r="T68" s="4" t="n">
        <f aca="false">IF(TRIM(AI68)="Yes",2.5,0)</f>
        <v>2.5</v>
      </c>
      <c r="U68" s="4" t="n">
        <f aca="false">IF(TRIM(AJ68)="Yes",10,0)</f>
        <v>10</v>
      </c>
      <c r="V68" s="4" t="n">
        <f aca="false">IF(TRIM(AK68)="Yes",5,0)</f>
        <v>5</v>
      </c>
      <c r="W68" s="4" t="n">
        <f aca="false">IF(TRIM(AM68)="Yes",5,0)</f>
        <v>5</v>
      </c>
      <c r="X68" s="4" t="n">
        <f aca="false">IF(OR(TRIM(AN68)="Fully Available",TRIM(AN68)="Not Applicable"),5,IF(TRIM(AN68)="Partially Available",2.5,0))</f>
        <v>5</v>
      </c>
      <c r="Y68" s="4" t="n">
        <f aca="false">IF(TRIM(AO68)="Yes",5,0)</f>
        <v>0</v>
      </c>
      <c r="Z68" s="4" t="n">
        <f aca="false">IF(TRIM(AP68)="Yes",2.5,0)</f>
        <v>2.5</v>
      </c>
      <c r="AA68" s="4" t="n">
        <f aca="false">IF(TRIM(AQ68)="Yes",5,0)</f>
        <v>5</v>
      </c>
      <c r="AB68" s="4" t="n">
        <f aca="false">IF(OR(TRIM(AR68)="Yes",TRIM(AR68)="Not Applicable"),5,0)</f>
        <v>5</v>
      </c>
      <c r="AC68" s="4" t="n">
        <f aca="false">IF(TRIM(AS68)="Excellent",5,IF(TRIM(AS68)="Very Good",4,IF(TRIM(AS68)="Good",3,IF(TRIM(AS68)="Average",2,0))))</f>
        <v>4</v>
      </c>
      <c r="AD68" s="7" t="n">
        <f aca="false">IF(COUNT(S68:AC68)=0,"",SUM(S68:AC68))</f>
        <v>74</v>
      </c>
      <c r="AE68" s="7" t="n">
        <f aca="false">IF(COUNTIF($F$2:F68,F68)=1,IFERROR(AVERAGEIF($F:$F,F68,$AD:$AD),""),"")</f>
        <v>62.75</v>
      </c>
      <c r="AF68" s="8" t="str">
        <f aca="false">IF(AH68&lt;&gt;"",AH68,IF(AE68="","",IF(AE68&gt;=80,"Excellent",IF(AE68&gt;=70,"Very Good",IF(AE68&gt;=60,"Good",IF(AE68&gt;=50,"Average","Poor"))))))</f>
        <v>Good</v>
      </c>
      <c r="AG68" s="5"/>
      <c r="AH68" s="4"/>
      <c r="AI68" s="4" t="s">
        <v>62</v>
      </c>
      <c r="AJ68" s="4" t="s">
        <v>62</v>
      </c>
      <c r="AK68" s="4" t="s">
        <v>62</v>
      </c>
      <c r="AL68" s="4" t="s">
        <v>63</v>
      </c>
      <c r="AM68" s="4" t="s">
        <v>62</v>
      </c>
      <c r="AN68" s="4" t="s">
        <v>64</v>
      </c>
      <c r="AO68" s="4" t="s">
        <v>82</v>
      </c>
      <c r="AP68" s="4" t="s">
        <v>62</v>
      </c>
      <c r="AQ68" s="4" t="s">
        <v>62</v>
      </c>
      <c r="AR68" s="4" t="s">
        <v>62</v>
      </c>
      <c r="AS68" s="4" t="s">
        <v>74</v>
      </c>
      <c r="AT68" s="4" t="n">
        <v>5</v>
      </c>
      <c r="AU68" s="4" t="s">
        <v>66</v>
      </c>
      <c r="AV68" s="4" t="s">
        <v>288</v>
      </c>
      <c r="AW68" s="4" t="s">
        <v>303</v>
      </c>
      <c r="AX68" s="4" t="s">
        <v>304</v>
      </c>
      <c r="AY68" s="4" t="n">
        <v>4</v>
      </c>
      <c r="AZ68" s="4" t="s">
        <v>62</v>
      </c>
      <c r="BA68" s="4" t="s">
        <v>305</v>
      </c>
      <c r="BB68" s="4" t="s">
        <v>59</v>
      </c>
      <c r="BC68" s="6" t="n">
        <v>0.2609</v>
      </c>
      <c r="BD68" s="4" t="n">
        <v>72</v>
      </c>
    </row>
    <row r="69" customFormat="false" ht="199.95" hidden="false" customHeight="false" outlineLevel="0" collapsed="false">
      <c r="A69" s="4"/>
      <c r="B69" s="4" t="s">
        <v>56</v>
      </c>
      <c r="C69" s="4" t="s">
        <v>57</v>
      </c>
      <c r="D69" s="4" t="s">
        <v>58</v>
      </c>
      <c r="E69" s="4" t="s">
        <v>59</v>
      </c>
      <c r="F69" s="4" t="n">
        <v>6172</v>
      </c>
      <c r="G69" s="5" t="s">
        <v>302</v>
      </c>
      <c r="H69" s="5" t="s">
        <v>177</v>
      </c>
      <c r="I69" s="4"/>
      <c r="J69" s="4"/>
      <c r="K69" s="4"/>
      <c r="L69" s="4" t="n">
        <v>20</v>
      </c>
      <c r="M69" s="4" t="n">
        <v>20</v>
      </c>
      <c r="N69" s="4" t="n">
        <v>0</v>
      </c>
      <c r="O69" s="4" t="n">
        <v>5</v>
      </c>
      <c r="P69" s="4" t="n">
        <v>15</v>
      </c>
      <c r="Q69" s="4" t="n">
        <v>4</v>
      </c>
      <c r="R69" s="6" t="n">
        <f aca="false">IF(N(L69)=0,0,O69/L69)</f>
        <v>0.25</v>
      </c>
      <c r="S69" s="4" t="n">
        <f aca="false">IF(R69="","",IF(R69&gt;=0.8,50,IF(R69&gt;=0.5,30,IF(R69&gt;=0.01,10,0))))</f>
        <v>10</v>
      </c>
      <c r="T69" s="4" t="n">
        <f aca="false">IF(TRIM(AI69)="Yes",2.5,0)</f>
        <v>2.5</v>
      </c>
      <c r="U69" s="4" t="n">
        <f aca="false">IF(TRIM(AJ69)="Yes",10,0)</f>
        <v>10</v>
      </c>
      <c r="V69" s="4" t="n">
        <f aca="false">IF(TRIM(AK69)="Yes",5,0)</f>
        <v>5</v>
      </c>
      <c r="W69" s="4" t="n">
        <f aca="false">IF(TRIM(AM69)="Yes",5,0)</f>
        <v>5</v>
      </c>
      <c r="X69" s="4" t="n">
        <f aca="false">IF(OR(TRIM(AN69)="Fully Available",TRIM(AN69)="Not Applicable"),5,IF(TRIM(AN69)="Partially Available",2.5,0))</f>
        <v>2.5</v>
      </c>
      <c r="Y69" s="4" t="n">
        <f aca="false">IF(TRIM(AO69)="Yes",5,0)</f>
        <v>0</v>
      </c>
      <c r="Z69" s="4" t="n">
        <f aca="false">IF(TRIM(AP69)="Yes",2.5,0)</f>
        <v>2.5</v>
      </c>
      <c r="AA69" s="4" t="n">
        <f aca="false">IF(TRIM(AQ69)="Yes",5,0)</f>
        <v>5</v>
      </c>
      <c r="AB69" s="4" t="n">
        <f aca="false">IF(OR(TRIM(AR69)="Yes",TRIM(AR69)="Not Applicable"),5,0)</f>
        <v>5</v>
      </c>
      <c r="AC69" s="4" t="n">
        <f aca="false">IF(TRIM(AS69)="Excellent",5,IF(TRIM(AS69)="Very Good",4,IF(TRIM(AS69)="Good",3,IF(TRIM(AS69)="Average",2,0))))</f>
        <v>4</v>
      </c>
      <c r="AD69" s="7" t="n">
        <f aca="false">IF(COUNT(S69:AC69)=0,"",SUM(S69:AC69))</f>
        <v>51.5</v>
      </c>
      <c r="AE69" s="7"/>
      <c r="AF69" s="8"/>
      <c r="AG69" s="5"/>
      <c r="AH69" s="4"/>
      <c r="AI69" s="4" t="s">
        <v>62</v>
      </c>
      <c r="AJ69" s="4" t="s">
        <v>62</v>
      </c>
      <c r="AK69" s="4" t="s">
        <v>62</v>
      </c>
      <c r="AL69" s="4" t="s">
        <v>63</v>
      </c>
      <c r="AM69" s="4" t="s">
        <v>62</v>
      </c>
      <c r="AN69" s="4" t="s">
        <v>147</v>
      </c>
      <c r="AO69" s="4" t="s">
        <v>82</v>
      </c>
      <c r="AP69" s="4" t="s">
        <v>62</v>
      </c>
      <c r="AQ69" s="4" t="s">
        <v>62</v>
      </c>
      <c r="AR69" s="4" t="s">
        <v>73</v>
      </c>
      <c r="AS69" s="4" t="s">
        <v>74</v>
      </c>
      <c r="AT69" s="4" t="n">
        <v>3</v>
      </c>
      <c r="AU69" s="4" t="s">
        <v>66</v>
      </c>
      <c r="AV69" s="4" t="s">
        <v>288</v>
      </c>
      <c r="AW69" s="4" t="s">
        <v>306</v>
      </c>
      <c r="AX69" s="4" t="s">
        <v>307</v>
      </c>
      <c r="AY69" s="4" t="n">
        <v>8</v>
      </c>
      <c r="AZ69" s="4" t="s">
        <v>62</v>
      </c>
      <c r="BA69" s="4" t="s">
        <v>305</v>
      </c>
      <c r="BB69" s="4" t="s">
        <v>59</v>
      </c>
      <c r="BC69" s="6" t="n">
        <v>0.8</v>
      </c>
      <c r="BD69" s="4" t="n">
        <v>72</v>
      </c>
    </row>
    <row r="70" customFormat="false" ht="72.35" hidden="false" customHeight="false" outlineLevel="0" collapsed="false">
      <c r="A70" s="4" t="n">
        <v>29</v>
      </c>
      <c r="B70" s="4" t="s">
        <v>56</v>
      </c>
      <c r="C70" s="4" t="s">
        <v>57</v>
      </c>
      <c r="D70" s="4" t="s">
        <v>58</v>
      </c>
      <c r="E70" s="4" t="s">
        <v>59</v>
      </c>
      <c r="F70" s="4" t="n">
        <v>5985</v>
      </c>
      <c r="G70" s="5" t="s">
        <v>308</v>
      </c>
      <c r="H70" s="5" t="s">
        <v>309</v>
      </c>
      <c r="I70" s="4"/>
      <c r="J70" s="4"/>
      <c r="K70" s="4"/>
      <c r="L70" s="4" t="n">
        <v>40</v>
      </c>
      <c r="M70" s="4" t="n">
        <v>40</v>
      </c>
      <c r="N70" s="4" t="n">
        <v>0</v>
      </c>
      <c r="O70" s="4" t="n">
        <v>40</v>
      </c>
      <c r="P70" s="4" t="n">
        <v>0</v>
      </c>
      <c r="Q70" s="4" t="n">
        <v>20</v>
      </c>
      <c r="R70" s="6" t="n">
        <f aca="false">IF(N(L70)=0,0,O70/L70)</f>
        <v>1</v>
      </c>
      <c r="S70" s="4" t="n">
        <f aca="false">IF(R70="","",IF(R70&gt;=0.8,50,IF(R70&gt;=0.5,30,IF(R70&gt;=0.01,10,0))))</f>
        <v>50</v>
      </c>
      <c r="T70" s="4" t="n">
        <f aca="false">IF(TRIM(AI70)="Yes",2.5,0)</f>
        <v>2.5</v>
      </c>
      <c r="U70" s="4" t="n">
        <f aca="false">IF(TRIM(AJ70)="Yes",10,0)</f>
        <v>10</v>
      </c>
      <c r="V70" s="4" t="n">
        <f aca="false">IF(TRIM(AK70)="Yes",5,0)</f>
        <v>5</v>
      </c>
      <c r="W70" s="4" t="n">
        <f aca="false">IF(TRIM(AM70)="Yes",5,0)</f>
        <v>5</v>
      </c>
      <c r="X70" s="4" t="n">
        <f aca="false">IF(OR(TRIM(AN70)="Fully Available",TRIM(AN70)="Not Applicable"),5,IF(TRIM(AN70)="Partially Available",2.5,0))</f>
        <v>5</v>
      </c>
      <c r="Y70" s="4" t="n">
        <f aca="false">IF(TRIM(AO70)="Yes",5,0)</f>
        <v>5</v>
      </c>
      <c r="Z70" s="4" t="n">
        <f aca="false">IF(TRIM(AP70)="Yes",2.5,0)</f>
        <v>2.5</v>
      </c>
      <c r="AA70" s="4" t="n">
        <f aca="false">IF(TRIM(AQ70)="Yes",5,0)</f>
        <v>5</v>
      </c>
      <c r="AB70" s="4" t="n">
        <f aca="false">IF(OR(TRIM(AR70)="Yes",TRIM(AR70)="Not Applicable"),5,0)</f>
        <v>5</v>
      </c>
      <c r="AC70" s="4" t="n">
        <f aca="false">IF(TRIM(AS70)="Excellent",5,IF(TRIM(AS70)="Very Good",4,IF(TRIM(AS70)="Good",3,IF(TRIM(AS70)="Average",2,0))))</f>
        <v>4</v>
      </c>
      <c r="AD70" s="7" t="n">
        <f aca="false">IF(COUNT(S70:AC70)=0,"",SUM(S70:AC70))</f>
        <v>99</v>
      </c>
      <c r="AE70" s="7" t="n">
        <f aca="false">IF(COUNTIF($F$2:F70,F70)=1,IFERROR(AVERAGEIF($F:$F,F70,$AD:$AD),""),"")</f>
        <v>99</v>
      </c>
      <c r="AF70" s="8" t="str">
        <f aca="false">IF(AH70&lt;&gt;"",AH70,IF(AE70="","",IF(AE70&gt;=80,"Excellent",IF(AE70&gt;=70,"Very Good",IF(AE70&gt;=60,"Good",IF(AE70&gt;=50,"Average","Poor"))))))</f>
        <v>Excellent</v>
      </c>
      <c r="AG70" s="5"/>
      <c r="AH70" s="4"/>
      <c r="AI70" s="4" t="s">
        <v>62</v>
      </c>
      <c r="AJ70" s="4" t="s">
        <v>62</v>
      </c>
      <c r="AK70" s="4" t="s">
        <v>62</v>
      </c>
      <c r="AL70" s="4" t="s">
        <v>63</v>
      </c>
      <c r="AM70" s="4" t="s">
        <v>62</v>
      </c>
      <c r="AN70" s="4" t="s">
        <v>64</v>
      </c>
      <c r="AO70" s="4" t="s">
        <v>62</v>
      </c>
      <c r="AP70" s="4" t="s">
        <v>62</v>
      </c>
      <c r="AQ70" s="4" t="s">
        <v>62</v>
      </c>
      <c r="AR70" s="4" t="s">
        <v>73</v>
      </c>
      <c r="AS70" s="4" t="s">
        <v>74</v>
      </c>
      <c r="AT70" s="4" t="n">
        <v>5</v>
      </c>
      <c r="AU70" s="4" t="s">
        <v>66</v>
      </c>
      <c r="AV70" s="4" t="s">
        <v>288</v>
      </c>
      <c r="AW70" s="4" t="s">
        <v>310</v>
      </c>
      <c r="AX70" s="4" t="s">
        <v>311</v>
      </c>
      <c r="AY70" s="4" t="n">
        <v>12</v>
      </c>
      <c r="AZ70" s="4" t="s">
        <v>62</v>
      </c>
      <c r="BA70" s="4" t="s">
        <v>312</v>
      </c>
      <c r="BB70" s="4" t="s">
        <v>59</v>
      </c>
      <c r="BC70" s="6" t="n">
        <v>0.5</v>
      </c>
      <c r="BD70" s="4" t="n">
        <v>90</v>
      </c>
    </row>
    <row r="71" customFormat="false" ht="214.15" hidden="false" customHeight="false" outlineLevel="0" collapsed="false">
      <c r="A71" s="4" t="n">
        <v>30</v>
      </c>
      <c r="B71" s="4" t="s">
        <v>56</v>
      </c>
      <c r="C71" s="4" t="s">
        <v>57</v>
      </c>
      <c r="D71" s="4" t="s">
        <v>58</v>
      </c>
      <c r="E71" s="4" t="s">
        <v>59</v>
      </c>
      <c r="F71" s="4" t="n">
        <v>5850</v>
      </c>
      <c r="G71" s="5" t="s">
        <v>313</v>
      </c>
      <c r="H71" s="5" t="s">
        <v>190</v>
      </c>
      <c r="I71" s="4"/>
      <c r="J71" s="4"/>
      <c r="K71" s="4"/>
      <c r="L71" s="4" t="n">
        <v>20</v>
      </c>
      <c r="M71" s="4" t="n">
        <v>20</v>
      </c>
      <c r="N71" s="4" t="n">
        <v>0</v>
      </c>
      <c r="O71" s="4" t="n">
        <v>14</v>
      </c>
      <c r="P71" s="4" t="n">
        <v>6</v>
      </c>
      <c r="Q71" s="4" t="n">
        <v>7</v>
      </c>
      <c r="R71" s="6" t="n">
        <f aca="false">IF(N(L71)=0,0,O71/L71)</f>
        <v>0.7</v>
      </c>
      <c r="S71" s="4" t="n">
        <f aca="false">IF(R71="","",IF(R71&gt;=0.8,50,IF(R71&gt;=0.5,30,IF(R71&gt;=0.01,10,0))))</f>
        <v>30</v>
      </c>
      <c r="T71" s="4" t="n">
        <f aca="false">IF(TRIM(AI71)="Yes",2.5,0)</f>
        <v>0</v>
      </c>
      <c r="U71" s="4" t="n">
        <f aca="false">IF(TRIM(AJ71)="Yes",10,0)</f>
        <v>10</v>
      </c>
      <c r="V71" s="4" t="n">
        <f aca="false">IF(TRIM(AK71)="Yes",5,0)</f>
        <v>5</v>
      </c>
      <c r="W71" s="4" t="n">
        <f aca="false">IF(TRIM(AM71)="Yes",5,0)</f>
        <v>5</v>
      </c>
      <c r="X71" s="4" t="n">
        <f aca="false">IF(OR(TRIM(AN71)="Fully Available",TRIM(AN71)="Not Applicable"),5,IF(TRIM(AN71)="Partially Available",2.5,0))</f>
        <v>2.5</v>
      </c>
      <c r="Y71" s="4" t="n">
        <f aca="false">IF(TRIM(AO71)="Yes",5,0)</f>
        <v>5</v>
      </c>
      <c r="Z71" s="4" t="n">
        <f aca="false">IF(TRIM(AP71)="Yes",2.5,0)</f>
        <v>2.5</v>
      </c>
      <c r="AA71" s="4" t="n">
        <f aca="false">IF(TRIM(AQ71)="Yes",5,0)</f>
        <v>5</v>
      </c>
      <c r="AB71" s="4" t="n">
        <f aca="false">IF(OR(TRIM(AR71)="Yes",TRIM(AR71)="Not Applicable"),5,0)</f>
        <v>5</v>
      </c>
      <c r="AC71" s="4" t="n">
        <f aca="false">IF(TRIM(AS71)="Excellent",5,IF(TRIM(AS71)="Very Good",4,IF(TRIM(AS71)="Good",3,IF(TRIM(AS71)="Average",2,0))))</f>
        <v>3</v>
      </c>
      <c r="AD71" s="7" t="n">
        <f aca="false">IF(COUNT(S71:AC71)=0,"",SUM(S71:AC71))</f>
        <v>73</v>
      </c>
      <c r="AE71" s="7" t="n">
        <f aca="false">IF(COUNTIF($F$2:F71,F71)=1,IFERROR(AVERAGEIF($F:$F,F71,$AD:$AD),""),"")</f>
        <v>84.875</v>
      </c>
      <c r="AF71" s="8" t="str">
        <f aca="false">IF(AH71&lt;&gt;"",AH71,IF(AE71="","",IF(AE71&gt;=80,"Excellent",IF(AE71&gt;=70,"Very Good",IF(AE71&gt;=60,"Good",IF(AE71&gt;=50,"Average","Poor"))))))</f>
        <v>Excellent</v>
      </c>
      <c r="AG71" s="5"/>
      <c r="AH71" s="4"/>
      <c r="AI71" s="4" t="s">
        <v>82</v>
      </c>
      <c r="AJ71" s="4" t="s">
        <v>62</v>
      </c>
      <c r="AK71" s="4" t="s">
        <v>62</v>
      </c>
      <c r="AL71" s="4" t="s">
        <v>63</v>
      </c>
      <c r="AM71" s="4" t="s">
        <v>62</v>
      </c>
      <c r="AN71" s="4" t="s">
        <v>147</v>
      </c>
      <c r="AO71" s="4" t="s">
        <v>62</v>
      </c>
      <c r="AP71" s="4" t="s">
        <v>62</v>
      </c>
      <c r="AQ71" s="4" t="s">
        <v>62</v>
      </c>
      <c r="AR71" s="4" t="s">
        <v>73</v>
      </c>
      <c r="AS71" s="4" t="s">
        <v>185</v>
      </c>
      <c r="AT71" s="4" t="n">
        <v>4</v>
      </c>
      <c r="AU71" s="4" t="s">
        <v>112</v>
      </c>
      <c r="AV71" s="4" t="s">
        <v>208</v>
      </c>
      <c r="AW71" s="4" t="s">
        <v>314</v>
      </c>
      <c r="AX71" s="4" t="s">
        <v>188</v>
      </c>
      <c r="AY71" s="4" t="n">
        <v>20</v>
      </c>
      <c r="AZ71" s="4" t="s">
        <v>62</v>
      </c>
      <c r="BA71" s="4" t="s">
        <v>315</v>
      </c>
      <c r="BB71" s="4" t="s">
        <v>59</v>
      </c>
      <c r="BC71" s="6" t="n">
        <v>0.5</v>
      </c>
      <c r="BD71" s="4" t="n">
        <v>78</v>
      </c>
    </row>
    <row r="72" customFormat="false" ht="214.15" hidden="false" customHeight="false" outlineLevel="0" collapsed="false">
      <c r="A72" s="4"/>
      <c r="B72" s="4" t="s">
        <v>56</v>
      </c>
      <c r="C72" s="4" t="s">
        <v>57</v>
      </c>
      <c r="D72" s="4" t="s">
        <v>58</v>
      </c>
      <c r="E72" s="4" t="s">
        <v>59</v>
      </c>
      <c r="F72" s="4" t="n">
        <v>5850</v>
      </c>
      <c r="G72" s="5" t="s">
        <v>313</v>
      </c>
      <c r="H72" s="5" t="s">
        <v>261</v>
      </c>
      <c r="I72" s="4"/>
      <c r="J72" s="4"/>
      <c r="K72" s="4"/>
      <c r="L72" s="4" t="n">
        <v>20</v>
      </c>
      <c r="M72" s="4" t="n">
        <v>20</v>
      </c>
      <c r="N72" s="4" t="n">
        <v>0</v>
      </c>
      <c r="O72" s="4" t="n">
        <v>20</v>
      </c>
      <c r="P72" s="4" t="n">
        <v>0</v>
      </c>
      <c r="Q72" s="4" t="n">
        <v>7</v>
      </c>
      <c r="R72" s="6" t="n">
        <f aca="false">IF(N(L72)=0,0,O72/L72)</f>
        <v>1</v>
      </c>
      <c r="S72" s="4" t="n">
        <f aca="false">IF(R72="","",IF(R72&gt;=0.8,50,IF(R72&gt;=0.5,30,IF(R72&gt;=0.01,10,0))))</f>
        <v>50</v>
      </c>
      <c r="T72" s="4" t="n">
        <f aca="false">IF(TRIM(AI72)="Yes",2.5,0)</f>
        <v>0</v>
      </c>
      <c r="U72" s="4" t="n">
        <f aca="false">IF(TRIM(AJ72)="Yes",10,0)</f>
        <v>10</v>
      </c>
      <c r="V72" s="4" t="n">
        <f aca="false">IF(TRIM(AK72)="Yes",5,0)</f>
        <v>5</v>
      </c>
      <c r="W72" s="4" t="n">
        <f aca="false">IF(TRIM(AM72)="Yes",5,0)</f>
        <v>5</v>
      </c>
      <c r="X72" s="4" t="n">
        <f aca="false">IF(OR(TRIM(AN72)="Fully Available",TRIM(AN72)="Not Applicable"),5,IF(TRIM(AN72)="Partially Available",2.5,0))</f>
        <v>5</v>
      </c>
      <c r="Y72" s="4" t="n">
        <f aca="false">IF(TRIM(AO72)="Yes",5,0)</f>
        <v>5</v>
      </c>
      <c r="Z72" s="4" t="n">
        <f aca="false">IF(TRIM(AP72)="Yes",2.5,0)</f>
        <v>2.5</v>
      </c>
      <c r="AA72" s="4" t="n">
        <f aca="false">IF(TRIM(AQ72)="Yes",5,0)</f>
        <v>5</v>
      </c>
      <c r="AB72" s="4" t="n">
        <f aca="false">IF(OR(TRIM(AR72)="Yes",TRIM(AR72)="Not Applicable"),5,0)</f>
        <v>5</v>
      </c>
      <c r="AC72" s="4" t="n">
        <f aca="false">IF(TRIM(AS72)="Excellent",5,IF(TRIM(AS72)="Very Good",4,IF(TRIM(AS72)="Good",3,IF(TRIM(AS72)="Average",2,0))))</f>
        <v>3</v>
      </c>
      <c r="AD72" s="7" t="n">
        <f aca="false">IF(COUNT(S72:AC72)=0,"",SUM(S72:AC72))</f>
        <v>95.5</v>
      </c>
      <c r="AE72" s="7"/>
      <c r="AF72" s="8"/>
      <c r="AG72" s="5"/>
      <c r="AH72" s="4"/>
      <c r="AI72" s="4" t="s">
        <v>82</v>
      </c>
      <c r="AJ72" s="4" t="s">
        <v>62</v>
      </c>
      <c r="AK72" s="4" t="s">
        <v>62</v>
      </c>
      <c r="AL72" s="4" t="s">
        <v>63</v>
      </c>
      <c r="AM72" s="4" t="s">
        <v>62</v>
      </c>
      <c r="AN72" s="4" t="s">
        <v>64</v>
      </c>
      <c r="AO72" s="4" t="s">
        <v>62</v>
      </c>
      <c r="AP72" s="4" t="s">
        <v>62</v>
      </c>
      <c r="AQ72" s="4" t="s">
        <v>62</v>
      </c>
      <c r="AR72" s="4" t="s">
        <v>73</v>
      </c>
      <c r="AS72" s="4" t="s">
        <v>185</v>
      </c>
      <c r="AT72" s="4" t="n">
        <v>1</v>
      </c>
      <c r="AU72" s="4" t="s">
        <v>66</v>
      </c>
      <c r="AV72" s="4" t="s">
        <v>208</v>
      </c>
      <c r="AW72" s="4" t="s">
        <v>316</v>
      </c>
      <c r="AX72" s="4" t="s">
        <v>317</v>
      </c>
      <c r="AY72" s="4" t="n">
        <v>1</v>
      </c>
      <c r="AZ72" s="4" t="s">
        <v>62</v>
      </c>
      <c r="BA72" s="4" t="s">
        <v>315</v>
      </c>
      <c r="BB72" s="4" t="s">
        <v>59</v>
      </c>
      <c r="BC72" s="6" t="n">
        <v>0.35</v>
      </c>
      <c r="BD72" s="4" t="n">
        <v>78</v>
      </c>
    </row>
    <row r="73" customFormat="false" ht="214.15" hidden="false" customHeight="false" outlineLevel="0" collapsed="false">
      <c r="A73" s="4"/>
      <c r="B73" s="4" t="s">
        <v>56</v>
      </c>
      <c r="C73" s="4" t="s">
        <v>57</v>
      </c>
      <c r="D73" s="4" t="s">
        <v>58</v>
      </c>
      <c r="E73" s="4" t="s">
        <v>59</v>
      </c>
      <c r="F73" s="4" t="n">
        <v>5850</v>
      </c>
      <c r="G73" s="5" t="s">
        <v>313</v>
      </c>
      <c r="H73" s="5" t="s">
        <v>318</v>
      </c>
      <c r="I73" s="4"/>
      <c r="J73" s="4"/>
      <c r="K73" s="4"/>
      <c r="L73" s="4" t="n">
        <v>20</v>
      </c>
      <c r="M73" s="4" t="n">
        <v>20</v>
      </c>
      <c r="N73" s="4" t="n">
        <v>0</v>
      </c>
      <c r="O73" s="4" t="n">
        <v>16</v>
      </c>
      <c r="P73" s="4" t="n">
        <v>4</v>
      </c>
      <c r="Q73" s="4" t="n">
        <v>7</v>
      </c>
      <c r="R73" s="6" t="n">
        <f aca="false">IF(N(L73)=0,0,O73/L73)</f>
        <v>0.8</v>
      </c>
      <c r="S73" s="4" t="n">
        <f aca="false">IF(R73="","",IF(R73&gt;=0.8,50,IF(R73&gt;=0.5,30,IF(R73&gt;=0.01,10,0))))</f>
        <v>50</v>
      </c>
      <c r="T73" s="4" t="n">
        <f aca="false">IF(TRIM(AI73)="Yes",2.5,0)</f>
        <v>0</v>
      </c>
      <c r="U73" s="4" t="n">
        <f aca="false">IF(TRIM(AJ73)="Yes",10,0)</f>
        <v>10</v>
      </c>
      <c r="V73" s="4" t="n">
        <f aca="false">IF(TRIM(AK73)="Yes",5,0)</f>
        <v>5</v>
      </c>
      <c r="W73" s="4" t="n">
        <f aca="false">IF(TRIM(AM73)="Yes",5,0)</f>
        <v>5</v>
      </c>
      <c r="X73" s="4" t="n">
        <f aca="false">IF(OR(TRIM(AN73)="Fully Available",TRIM(AN73)="Not Applicable"),5,IF(TRIM(AN73)="Partially Available",2.5,0))</f>
        <v>5</v>
      </c>
      <c r="Y73" s="4" t="n">
        <f aca="false">IF(TRIM(AO73)="Yes",5,0)</f>
        <v>5</v>
      </c>
      <c r="Z73" s="4" t="n">
        <f aca="false">IF(TRIM(AP73)="Yes",2.5,0)</f>
        <v>2.5</v>
      </c>
      <c r="AA73" s="4" t="n">
        <f aca="false">IF(TRIM(AQ73)="Yes",5,0)</f>
        <v>5</v>
      </c>
      <c r="AB73" s="4" t="n">
        <f aca="false">IF(OR(TRIM(AR73)="Yes",TRIM(AR73)="Not Applicable"),5,0)</f>
        <v>5</v>
      </c>
      <c r="AC73" s="4" t="n">
        <f aca="false">IF(TRIM(AS73)="Excellent",5,IF(TRIM(AS73)="Very Good",4,IF(TRIM(AS73)="Good",3,IF(TRIM(AS73)="Average",2,0))))</f>
        <v>3</v>
      </c>
      <c r="AD73" s="7" t="n">
        <f aca="false">IF(COUNT(S73:AC73)=0,"",SUM(S73:AC73))</f>
        <v>95.5</v>
      </c>
      <c r="AE73" s="7"/>
      <c r="AF73" s="8"/>
      <c r="AG73" s="5"/>
      <c r="AH73" s="4"/>
      <c r="AI73" s="4" t="s">
        <v>82</v>
      </c>
      <c r="AJ73" s="4" t="s">
        <v>62</v>
      </c>
      <c r="AK73" s="4" t="s">
        <v>62</v>
      </c>
      <c r="AL73" s="4" t="s">
        <v>63</v>
      </c>
      <c r="AM73" s="4" t="s">
        <v>62</v>
      </c>
      <c r="AN73" s="4" t="s">
        <v>64</v>
      </c>
      <c r="AO73" s="4" t="s">
        <v>62</v>
      </c>
      <c r="AP73" s="4" t="s">
        <v>62</v>
      </c>
      <c r="AQ73" s="4" t="s">
        <v>62</v>
      </c>
      <c r="AR73" s="4" t="s">
        <v>73</v>
      </c>
      <c r="AS73" s="4" t="s">
        <v>185</v>
      </c>
      <c r="AT73" s="4" t="n">
        <v>8</v>
      </c>
      <c r="AU73" s="4" t="s">
        <v>66</v>
      </c>
      <c r="AV73" s="4" t="s">
        <v>208</v>
      </c>
      <c r="AW73" s="4" t="s">
        <v>319</v>
      </c>
      <c r="AX73" s="4" t="s">
        <v>320</v>
      </c>
      <c r="AY73" s="4" t="n">
        <v>1</v>
      </c>
      <c r="AZ73" s="4" t="s">
        <v>62</v>
      </c>
      <c r="BA73" s="4" t="s">
        <v>315</v>
      </c>
      <c r="BB73" s="4" t="s">
        <v>59</v>
      </c>
      <c r="BC73" s="6" t="n">
        <v>0.4375</v>
      </c>
      <c r="BD73" s="4" t="n">
        <v>78</v>
      </c>
    </row>
    <row r="74" customFormat="false" ht="214.15" hidden="false" customHeight="false" outlineLevel="0" collapsed="false">
      <c r="A74" s="4"/>
      <c r="B74" s="4" t="s">
        <v>56</v>
      </c>
      <c r="C74" s="4" t="s">
        <v>57</v>
      </c>
      <c r="D74" s="4" t="s">
        <v>58</v>
      </c>
      <c r="E74" s="4" t="s">
        <v>59</v>
      </c>
      <c r="F74" s="4" t="n">
        <v>5850</v>
      </c>
      <c r="G74" s="5" t="s">
        <v>313</v>
      </c>
      <c r="H74" s="5" t="s">
        <v>321</v>
      </c>
      <c r="I74" s="4"/>
      <c r="J74" s="4"/>
      <c r="K74" s="4"/>
      <c r="L74" s="4" t="n">
        <v>20</v>
      </c>
      <c r="M74" s="4" t="n">
        <v>20</v>
      </c>
      <c r="N74" s="4" t="n">
        <v>0</v>
      </c>
      <c r="O74" s="4" t="n">
        <v>15</v>
      </c>
      <c r="P74" s="4" t="n">
        <v>5</v>
      </c>
      <c r="Q74" s="4" t="n">
        <v>7</v>
      </c>
      <c r="R74" s="6" t="n">
        <f aca="false">IF(N(L74)=0,0,O74/L74)</f>
        <v>0.75</v>
      </c>
      <c r="S74" s="4" t="n">
        <f aca="false">IF(R74="","",IF(R74&gt;=0.8,50,IF(R74&gt;=0.5,30,IF(R74&gt;=0.01,10,0))))</f>
        <v>30</v>
      </c>
      <c r="T74" s="4" t="n">
        <f aca="false">IF(TRIM(AI74)="Yes",2.5,0)</f>
        <v>0</v>
      </c>
      <c r="U74" s="4" t="n">
        <f aca="false">IF(TRIM(AJ74)="Yes",10,0)</f>
        <v>10</v>
      </c>
      <c r="V74" s="4" t="n">
        <f aca="false">IF(TRIM(AK74)="Yes",5,0)</f>
        <v>5</v>
      </c>
      <c r="W74" s="4" t="n">
        <f aca="false">IF(TRIM(AM74)="Yes",5,0)</f>
        <v>5</v>
      </c>
      <c r="X74" s="4" t="n">
        <f aca="false">IF(OR(TRIM(AN74)="Fully Available",TRIM(AN74)="Not Applicable"),5,IF(TRIM(AN74)="Partially Available",2.5,0))</f>
        <v>5</v>
      </c>
      <c r="Y74" s="4" t="n">
        <f aca="false">IF(TRIM(AO74)="Yes",5,0)</f>
        <v>5</v>
      </c>
      <c r="Z74" s="4" t="n">
        <f aca="false">IF(TRIM(AP74)="Yes",2.5,0)</f>
        <v>2.5</v>
      </c>
      <c r="AA74" s="4" t="n">
        <f aca="false">IF(TRIM(AQ74)="Yes",5,0)</f>
        <v>5</v>
      </c>
      <c r="AB74" s="4" t="n">
        <f aca="false">IF(OR(TRIM(AR74)="Yes",TRIM(AR74)="Not Applicable"),5,0)</f>
        <v>5</v>
      </c>
      <c r="AC74" s="4" t="n">
        <f aca="false">IF(TRIM(AS74)="Excellent",5,IF(TRIM(AS74)="Very Good",4,IF(TRIM(AS74)="Good",3,IF(TRIM(AS74)="Average",2,0))))</f>
        <v>3</v>
      </c>
      <c r="AD74" s="7" t="n">
        <f aca="false">IF(COUNT(S74:AC74)=0,"",SUM(S74:AC74))</f>
        <v>75.5</v>
      </c>
      <c r="AE74" s="7"/>
      <c r="AF74" s="8"/>
      <c r="AG74" s="5"/>
      <c r="AH74" s="4"/>
      <c r="AI74" s="4" t="s">
        <v>82</v>
      </c>
      <c r="AJ74" s="4" t="s">
        <v>62</v>
      </c>
      <c r="AK74" s="4" t="s">
        <v>62</v>
      </c>
      <c r="AL74" s="4" t="s">
        <v>63</v>
      </c>
      <c r="AM74" s="4" t="s">
        <v>62</v>
      </c>
      <c r="AN74" s="4" t="s">
        <v>64</v>
      </c>
      <c r="AO74" s="4" t="s">
        <v>62</v>
      </c>
      <c r="AP74" s="4" t="s">
        <v>62</v>
      </c>
      <c r="AQ74" s="4" t="s">
        <v>62</v>
      </c>
      <c r="AR74" s="4" t="s">
        <v>73</v>
      </c>
      <c r="AS74" s="4" t="s">
        <v>185</v>
      </c>
      <c r="AT74" s="4" t="n">
        <v>4</v>
      </c>
      <c r="AU74" s="4" t="s">
        <v>66</v>
      </c>
      <c r="AV74" s="4" t="s">
        <v>208</v>
      </c>
      <c r="AW74" s="4" t="s">
        <v>322</v>
      </c>
      <c r="AX74" s="4" t="s">
        <v>317</v>
      </c>
      <c r="AY74" s="4" t="n">
        <v>1</v>
      </c>
      <c r="AZ74" s="4" t="s">
        <v>62</v>
      </c>
      <c r="BA74" s="4" t="s">
        <v>315</v>
      </c>
      <c r="BB74" s="4" t="s">
        <v>59</v>
      </c>
      <c r="BC74" s="6" t="n">
        <v>0.4667</v>
      </c>
      <c r="BD74" s="4" t="n">
        <v>78</v>
      </c>
    </row>
    <row r="75" customFormat="false" ht="313.4" hidden="false" customHeight="false" outlineLevel="0" collapsed="false">
      <c r="A75" s="4" t="n">
        <v>31</v>
      </c>
      <c r="B75" s="4" t="s">
        <v>56</v>
      </c>
      <c r="C75" s="4" t="s">
        <v>57</v>
      </c>
      <c r="D75" s="4" t="s">
        <v>58</v>
      </c>
      <c r="E75" s="4" t="s">
        <v>59</v>
      </c>
      <c r="F75" s="4" t="n">
        <v>2099</v>
      </c>
      <c r="G75" s="5" t="s">
        <v>323</v>
      </c>
      <c r="H75" s="5" t="s">
        <v>78</v>
      </c>
      <c r="I75" s="4"/>
      <c r="J75" s="4"/>
      <c r="K75" s="4"/>
      <c r="L75" s="4" t="n">
        <v>20</v>
      </c>
      <c r="M75" s="4" t="n">
        <v>20</v>
      </c>
      <c r="N75" s="4" t="n">
        <v>0</v>
      </c>
      <c r="O75" s="4" t="n">
        <v>10</v>
      </c>
      <c r="P75" s="4" t="n">
        <v>10</v>
      </c>
      <c r="Q75" s="4" t="n">
        <v>8</v>
      </c>
      <c r="R75" s="6" t="n">
        <f aca="false">IF(N(L75)=0,0,O75/L75)</f>
        <v>0.5</v>
      </c>
      <c r="S75" s="4" t="n">
        <f aca="false">IF(R75="","",IF(R75&gt;=0.8,50,IF(R75&gt;=0.5,30,IF(R75&gt;=0.01,10,0))))</f>
        <v>30</v>
      </c>
      <c r="T75" s="4" t="n">
        <f aca="false">IF(TRIM(AI75)="Yes",2.5,0)</f>
        <v>0</v>
      </c>
      <c r="U75" s="4" t="n">
        <f aca="false">IF(TRIM(AJ75)="Yes",10,0)</f>
        <v>0</v>
      </c>
      <c r="V75" s="4" t="n">
        <f aca="false">IF(TRIM(AK75)="Yes",5,0)</f>
        <v>5</v>
      </c>
      <c r="W75" s="4" t="n">
        <f aca="false">IF(TRIM(AM75)="Yes",5,0)</f>
        <v>5</v>
      </c>
      <c r="X75" s="4" t="n">
        <f aca="false">IF(OR(TRIM(AN75)="Fully Available",TRIM(AN75)="Not Applicable"),5,IF(TRIM(AN75)="Partially Available",2.5,0))</f>
        <v>5</v>
      </c>
      <c r="Y75" s="4" t="n">
        <f aca="false">IF(TRIM(AO75)="Yes",5,0)</f>
        <v>5</v>
      </c>
      <c r="Z75" s="4" t="n">
        <f aca="false">IF(TRIM(AP75)="Yes",2.5,0)</f>
        <v>2.5</v>
      </c>
      <c r="AA75" s="4" t="n">
        <f aca="false">IF(TRIM(AQ75)="Yes",5,0)</f>
        <v>5</v>
      </c>
      <c r="AB75" s="4" t="n">
        <f aca="false">IF(OR(TRIM(AR75)="Yes",TRIM(AR75)="Not Applicable"),5,0)</f>
        <v>5</v>
      </c>
      <c r="AC75" s="4" t="n">
        <f aca="false">IF(TRIM(AS75)="Excellent",5,IF(TRIM(AS75)="Very Good",4,IF(TRIM(AS75)="Good",3,IF(TRIM(AS75)="Average",2,0))))</f>
        <v>3</v>
      </c>
      <c r="AD75" s="7" t="n">
        <f aca="false">IF(COUNT(S75:AC75)=0,"",SUM(S75:AC75))</f>
        <v>65.5</v>
      </c>
      <c r="AE75" s="7" t="n">
        <f aca="false">IF(COUNTIF($F$2:F75,F75)=1,IFERROR(AVERAGEIF($F:$F,F75,$AD:$AD),""),"")</f>
        <v>50.8125</v>
      </c>
      <c r="AF75" s="8" t="str">
        <f aca="false">IF(AH75&lt;&gt;"",AH75,IF(AE75="","",IF(AE75&gt;=80,"Excellent",IF(AE75&gt;=70,"Very Good",IF(AE75&gt;=60,"Good",IF(AE75&gt;=50,"Average","Poor"))))))</f>
        <v>Average</v>
      </c>
      <c r="AG75" s="5"/>
      <c r="AH75" s="4"/>
      <c r="AI75" s="4" t="s">
        <v>82</v>
      </c>
      <c r="AJ75" s="4" t="s">
        <v>82</v>
      </c>
      <c r="AK75" s="4" t="s">
        <v>62</v>
      </c>
      <c r="AL75" s="4" t="s">
        <v>63</v>
      </c>
      <c r="AM75" s="4" t="s">
        <v>62</v>
      </c>
      <c r="AN75" s="4" t="s">
        <v>64</v>
      </c>
      <c r="AO75" s="4" t="s">
        <v>62</v>
      </c>
      <c r="AP75" s="4" t="s">
        <v>62</v>
      </c>
      <c r="AQ75" s="4" t="s">
        <v>62</v>
      </c>
      <c r="AR75" s="4" t="s">
        <v>62</v>
      </c>
      <c r="AS75" s="4" t="s">
        <v>185</v>
      </c>
      <c r="AT75" s="4" t="n">
        <v>7</v>
      </c>
      <c r="AU75" s="4" t="s">
        <v>66</v>
      </c>
      <c r="AV75" s="4" t="s">
        <v>91</v>
      </c>
      <c r="AW75" s="4" t="s">
        <v>324</v>
      </c>
      <c r="AX75" s="4" t="s">
        <v>325</v>
      </c>
      <c r="AY75" s="4" t="n">
        <v>5</v>
      </c>
      <c r="AZ75" s="4" t="s">
        <v>62</v>
      </c>
      <c r="BA75" s="4" t="s">
        <v>326</v>
      </c>
      <c r="BB75" s="4" t="s">
        <v>59</v>
      </c>
      <c r="BC75" s="6" t="n">
        <v>0.8</v>
      </c>
      <c r="BD75" s="4" t="n">
        <v>69</v>
      </c>
    </row>
    <row r="76" customFormat="false" ht="313.4" hidden="false" customHeight="false" outlineLevel="0" collapsed="false">
      <c r="A76" s="4"/>
      <c r="B76" s="4" t="s">
        <v>56</v>
      </c>
      <c r="C76" s="4" t="s">
        <v>57</v>
      </c>
      <c r="D76" s="4" t="s">
        <v>58</v>
      </c>
      <c r="E76" s="4" t="s">
        <v>59</v>
      </c>
      <c r="F76" s="4" t="n">
        <v>2099</v>
      </c>
      <c r="G76" s="5" t="s">
        <v>323</v>
      </c>
      <c r="H76" s="5" t="s">
        <v>214</v>
      </c>
      <c r="I76" s="4"/>
      <c r="J76" s="4"/>
      <c r="K76" s="4"/>
      <c r="L76" s="4" t="n">
        <v>20</v>
      </c>
      <c r="M76" s="4" t="n">
        <v>17</v>
      </c>
      <c r="N76" s="4" t="n">
        <v>3</v>
      </c>
      <c r="O76" s="4" t="n">
        <v>5</v>
      </c>
      <c r="P76" s="4" t="n">
        <v>12</v>
      </c>
      <c r="Q76" s="4" t="n">
        <v>5</v>
      </c>
      <c r="R76" s="6" t="n">
        <f aca="false">IF(N(L76)=0,0,O76/L76)</f>
        <v>0.25</v>
      </c>
      <c r="S76" s="4" t="n">
        <f aca="false">IF(R76="","",IF(R76&gt;=0.8,50,IF(R76&gt;=0.5,30,IF(R76&gt;=0.01,10,0))))</f>
        <v>10</v>
      </c>
      <c r="T76" s="4" t="n">
        <f aca="false">IF(TRIM(AI76)="Yes",2.5,0)</f>
        <v>0</v>
      </c>
      <c r="U76" s="4" t="n">
        <f aca="false">IF(TRIM(AJ76)="Yes",10,0)</f>
        <v>0</v>
      </c>
      <c r="V76" s="4" t="n">
        <f aca="false">IF(TRIM(AK76)="Yes",5,0)</f>
        <v>5</v>
      </c>
      <c r="W76" s="4" t="n">
        <f aca="false">IF(TRIM(AM76)="Yes",5,0)</f>
        <v>5</v>
      </c>
      <c r="X76" s="4" t="n">
        <f aca="false">IF(OR(TRIM(AN76)="Fully Available",TRIM(AN76)="Not Applicable"),5,IF(TRIM(AN76)="Partially Available",2.5,0))</f>
        <v>2.5</v>
      </c>
      <c r="Y76" s="4" t="n">
        <f aca="false">IF(TRIM(AO76)="Yes",5,0)</f>
        <v>5</v>
      </c>
      <c r="Z76" s="4" t="n">
        <f aca="false">IF(TRIM(AP76)="Yes",2.5,0)</f>
        <v>2.5</v>
      </c>
      <c r="AA76" s="4" t="n">
        <f aca="false">IF(TRIM(AQ76)="Yes",5,0)</f>
        <v>0</v>
      </c>
      <c r="AB76" s="4" t="n">
        <f aca="false">IF(OR(TRIM(AR76)="Yes",TRIM(AR76)="Not Applicable"),5,0)</f>
        <v>5</v>
      </c>
      <c r="AC76" s="4" t="n">
        <f aca="false">IF(TRIM(AS76)="Excellent",5,IF(TRIM(AS76)="Very Good",4,IF(TRIM(AS76)="Good",3,IF(TRIM(AS76)="Average",2,0))))</f>
        <v>3</v>
      </c>
      <c r="AD76" s="7" t="n">
        <f aca="false">IF(COUNT(S76:AC76)=0,"",SUM(S76:AC76))</f>
        <v>38</v>
      </c>
      <c r="AE76" s="7"/>
      <c r="AF76" s="8"/>
      <c r="AG76" s="5"/>
      <c r="AH76" s="4"/>
      <c r="AI76" s="4" t="s">
        <v>82</v>
      </c>
      <c r="AJ76" s="4" t="s">
        <v>82</v>
      </c>
      <c r="AK76" s="4" t="s">
        <v>62</v>
      </c>
      <c r="AL76" s="4" t="s">
        <v>63</v>
      </c>
      <c r="AM76" s="4" t="s">
        <v>62</v>
      </c>
      <c r="AN76" s="4" t="s">
        <v>147</v>
      </c>
      <c r="AO76" s="4" t="s">
        <v>62</v>
      </c>
      <c r="AP76" s="4" t="s">
        <v>62</v>
      </c>
      <c r="AQ76" s="4" t="s">
        <v>82</v>
      </c>
      <c r="AR76" s="4" t="s">
        <v>73</v>
      </c>
      <c r="AS76" s="4" t="s">
        <v>185</v>
      </c>
      <c r="AT76" s="4" t="n">
        <v>0</v>
      </c>
      <c r="AU76" s="4" t="s">
        <v>112</v>
      </c>
      <c r="AV76" s="4" t="s">
        <v>91</v>
      </c>
      <c r="AW76" s="4" t="s">
        <v>327</v>
      </c>
      <c r="AX76" s="4" t="s">
        <v>328</v>
      </c>
      <c r="AY76" s="4" t="n">
        <v>2</v>
      </c>
      <c r="AZ76" s="4" t="s">
        <v>62</v>
      </c>
      <c r="BA76" s="4" t="s">
        <v>326</v>
      </c>
      <c r="BB76" s="4" t="s">
        <v>59</v>
      </c>
      <c r="BC76" s="6" t="n">
        <v>1</v>
      </c>
      <c r="BD76" s="4" t="n">
        <v>69</v>
      </c>
    </row>
    <row r="77" customFormat="false" ht="313.4" hidden="false" customHeight="false" outlineLevel="0" collapsed="false">
      <c r="A77" s="4"/>
      <c r="B77" s="4" t="s">
        <v>56</v>
      </c>
      <c r="C77" s="4" t="s">
        <v>57</v>
      </c>
      <c r="D77" s="4" t="s">
        <v>58</v>
      </c>
      <c r="E77" s="4" t="s">
        <v>59</v>
      </c>
      <c r="F77" s="4" t="n">
        <v>2099</v>
      </c>
      <c r="G77" s="5" t="s">
        <v>323</v>
      </c>
      <c r="H77" s="5" t="s">
        <v>238</v>
      </c>
      <c r="I77" s="4"/>
      <c r="J77" s="4"/>
      <c r="K77" s="4"/>
      <c r="L77" s="4" t="n">
        <v>20</v>
      </c>
      <c r="M77" s="4" t="n">
        <v>20</v>
      </c>
      <c r="N77" s="4" t="n">
        <v>0</v>
      </c>
      <c r="O77" s="4" t="n">
        <v>10</v>
      </c>
      <c r="P77" s="4" t="n">
        <v>10</v>
      </c>
      <c r="Q77" s="4" t="n">
        <v>8</v>
      </c>
      <c r="R77" s="6" t="n">
        <f aca="false">IF(N(L77)=0,0,O77/L77)</f>
        <v>0.5</v>
      </c>
      <c r="S77" s="4" t="n">
        <f aca="false">IF(R77="","",IF(R77&gt;=0.8,50,IF(R77&gt;=0.5,30,IF(R77&gt;=0.01,10,0))))</f>
        <v>30</v>
      </c>
      <c r="T77" s="4" t="n">
        <f aca="false">IF(TRIM(AI77)="Yes",2.5,0)</f>
        <v>0</v>
      </c>
      <c r="U77" s="4" t="n">
        <f aca="false">IF(TRIM(AJ77)="Yes",10,0)</f>
        <v>0</v>
      </c>
      <c r="V77" s="4" t="n">
        <f aca="false">IF(TRIM(AK77)="Yes",5,0)</f>
        <v>5</v>
      </c>
      <c r="W77" s="4" t="n">
        <f aca="false">IF(TRIM(AM77)="Yes",5,0)</f>
        <v>5</v>
      </c>
      <c r="X77" s="4" t="n">
        <f aca="false">IF(OR(TRIM(AN77)="Fully Available",TRIM(AN77)="Not Applicable"),5,IF(TRIM(AN77)="Partially Available",2.5,0))</f>
        <v>5</v>
      </c>
      <c r="Y77" s="4" t="n">
        <f aca="false">IF(TRIM(AO77)="Yes",5,0)</f>
        <v>5</v>
      </c>
      <c r="Z77" s="4" t="n">
        <f aca="false">IF(TRIM(AP77)="Yes",2.5,0)</f>
        <v>2.5</v>
      </c>
      <c r="AA77" s="4" t="n">
        <f aca="false">IF(TRIM(AQ77)="Yes",5,0)</f>
        <v>5</v>
      </c>
      <c r="AB77" s="4" t="n">
        <f aca="false">IF(OR(TRIM(AR77)="Yes",TRIM(AR77)="Not Applicable"),5,0)</f>
        <v>5</v>
      </c>
      <c r="AC77" s="4" t="n">
        <f aca="false">IF(TRIM(AS77)="Excellent",5,IF(TRIM(AS77)="Very Good",4,IF(TRIM(AS77)="Good",3,IF(TRIM(AS77)="Average",2,0))))</f>
        <v>3</v>
      </c>
      <c r="AD77" s="7" t="n">
        <f aca="false">IF(COUNT(S77:AC77)=0,"",SUM(S77:AC77))</f>
        <v>65.5</v>
      </c>
      <c r="AE77" s="7"/>
      <c r="AF77" s="8"/>
      <c r="AG77" s="5"/>
      <c r="AH77" s="4"/>
      <c r="AI77" s="4" t="s">
        <v>82</v>
      </c>
      <c r="AJ77" s="4" t="s">
        <v>82</v>
      </c>
      <c r="AK77" s="4" t="s">
        <v>62</v>
      </c>
      <c r="AL77" s="4" t="s">
        <v>63</v>
      </c>
      <c r="AM77" s="4" t="s">
        <v>62</v>
      </c>
      <c r="AN77" s="4" t="s">
        <v>64</v>
      </c>
      <c r="AO77" s="4" t="s">
        <v>62</v>
      </c>
      <c r="AP77" s="4" t="s">
        <v>62</v>
      </c>
      <c r="AQ77" s="4" t="s">
        <v>62</v>
      </c>
      <c r="AR77" s="4" t="s">
        <v>73</v>
      </c>
      <c r="AS77" s="4" t="s">
        <v>185</v>
      </c>
      <c r="AT77" s="4" t="n">
        <v>5</v>
      </c>
      <c r="AU77" s="4" t="s">
        <v>66</v>
      </c>
      <c r="AV77" s="4" t="s">
        <v>91</v>
      </c>
      <c r="AW77" s="4" t="s">
        <v>329</v>
      </c>
      <c r="AX77" s="4" t="s">
        <v>330</v>
      </c>
      <c r="AY77" s="4" t="n">
        <v>9</v>
      </c>
      <c r="AZ77" s="4" t="s">
        <v>62</v>
      </c>
      <c r="BA77" s="4" t="s">
        <v>326</v>
      </c>
      <c r="BB77" s="4" t="s">
        <v>59</v>
      </c>
      <c r="BC77" s="6" t="n">
        <v>0.8</v>
      </c>
      <c r="BD77" s="4" t="n">
        <v>69</v>
      </c>
    </row>
    <row r="78" customFormat="false" ht="313.4" hidden="false" customHeight="false" outlineLevel="0" collapsed="false">
      <c r="A78" s="4"/>
      <c r="B78" s="4" t="s">
        <v>56</v>
      </c>
      <c r="C78" s="4" t="s">
        <v>57</v>
      </c>
      <c r="D78" s="4" t="s">
        <v>58</v>
      </c>
      <c r="E78" s="4" t="s">
        <v>59</v>
      </c>
      <c r="F78" s="4" t="n">
        <v>2099</v>
      </c>
      <c r="G78" s="5" t="s">
        <v>323</v>
      </c>
      <c r="H78" s="5" t="s">
        <v>217</v>
      </c>
      <c r="I78" s="4"/>
      <c r="J78" s="4"/>
      <c r="K78" s="4"/>
      <c r="L78" s="4" t="n">
        <v>20</v>
      </c>
      <c r="M78" s="4" t="n">
        <v>20</v>
      </c>
      <c r="N78" s="4" t="n">
        <v>0</v>
      </c>
      <c r="O78" s="4" t="n">
        <v>10</v>
      </c>
      <c r="P78" s="4" t="n">
        <v>10</v>
      </c>
      <c r="Q78" s="4" t="n">
        <v>5</v>
      </c>
      <c r="R78" s="6" t="n">
        <f aca="false">IF(N(L78)=0,0,O78/L78)</f>
        <v>0.5</v>
      </c>
      <c r="S78" s="4" t="n">
        <f aca="false">IF(R78="","",IF(R78&gt;=0.8,50,IF(R78&gt;=0.5,30,IF(R78&gt;=0.01,10,0))))</f>
        <v>30</v>
      </c>
      <c r="T78" s="4" t="n">
        <f aca="false">IF(TRIM(AI78)="Yes",2.5,0)</f>
        <v>0</v>
      </c>
      <c r="U78" s="4" t="n">
        <f aca="false">IF(TRIM(AJ78)="Yes",10,0)</f>
        <v>0</v>
      </c>
      <c r="V78" s="4" t="n">
        <f aca="false">IF(TRIM(AK78)="Yes",5,0)</f>
        <v>5</v>
      </c>
      <c r="W78" s="4" t="n">
        <f aca="false">IF(TRIM(AM78)="Yes",5,0)</f>
        <v>5</v>
      </c>
      <c r="X78" s="4" t="n">
        <f aca="false">IF(OR(TRIM(AN78)="Fully Available",TRIM(AN78)="Not Applicable"),5,IF(TRIM(AN78)="Partially Available",2.5,0))</f>
        <v>5</v>
      </c>
      <c r="Y78" s="4" t="n">
        <f aca="false">IF(TRIM(AO78)="Yes",5,0)</f>
        <v>5</v>
      </c>
      <c r="Z78" s="4" t="n">
        <f aca="false">IF(TRIM(AP78)="Yes",2.5,0)</f>
        <v>2.5</v>
      </c>
      <c r="AA78" s="4" t="n">
        <f aca="false">IF(TRIM(AQ78)="Yes",5,0)</f>
        <v>5</v>
      </c>
      <c r="AB78" s="4" t="n">
        <f aca="false">IF(OR(TRIM(AR78)="Yes",TRIM(AR78)="Not Applicable"),5,0)</f>
        <v>5</v>
      </c>
      <c r="AC78" s="4" t="n">
        <f aca="false">IF(TRIM(AS78)="Excellent",5,IF(TRIM(AS78)="Very Good",4,IF(TRIM(AS78)="Good",3,IF(TRIM(AS78)="Average",2,0))))</f>
        <v>3</v>
      </c>
      <c r="AD78" s="7" t="n">
        <f aca="false">IF(COUNT(S78:AC78)=0,"",SUM(S78:AC78))</f>
        <v>65.5</v>
      </c>
      <c r="AE78" s="7"/>
      <c r="AF78" s="8"/>
      <c r="AG78" s="5"/>
      <c r="AH78" s="4"/>
      <c r="AI78" s="4" t="s">
        <v>82</v>
      </c>
      <c r="AJ78" s="4" t="s">
        <v>82</v>
      </c>
      <c r="AK78" s="4" t="s">
        <v>62</v>
      </c>
      <c r="AL78" s="4" t="s">
        <v>63</v>
      </c>
      <c r="AM78" s="4" t="s">
        <v>62</v>
      </c>
      <c r="AN78" s="4" t="s">
        <v>64</v>
      </c>
      <c r="AO78" s="4" t="s">
        <v>62</v>
      </c>
      <c r="AP78" s="4" t="s">
        <v>62</v>
      </c>
      <c r="AQ78" s="4" t="s">
        <v>62</v>
      </c>
      <c r="AR78" s="4" t="s">
        <v>62</v>
      </c>
      <c r="AS78" s="4" t="s">
        <v>185</v>
      </c>
      <c r="AT78" s="4" t="n">
        <v>5</v>
      </c>
      <c r="AU78" s="4" t="s">
        <v>112</v>
      </c>
      <c r="AV78" s="4" t="s">
        <v>91</v>
      </c>
      <c r="AW78" s="4" t="s">
        <v>331</v>
      </c>
      <c r="AX78" s="4" t="s">
        <v>332</v>
      </c>
      <c r="AY78" s="4" t="n">
        <v>10</v>
      </c>
      <c r="AZ78" s="4" t="s">
        <v>62</v>
      </c>
      <c r="BA78" s="4" t="s">
        <v>326</v>
      </c>
      <c r="BB78" s="4" t="s">
        <v>59</v>
      </c>
      <c r="BC78" s="6" t="n">
        <v>0.5</v>
      </c>
      <c r="BD78" s="4" t="n">
        <v>69</v>
      </c>
    </row>
    <row r="79" customFormat="false" ht="313.4" hidden="false" customHeight="false" outlineLevel="0" collapsed="false">
      <c r="A79" s="4"/>
      <c r="B79" s="4" t="s">
        <v>56</v>
      </c>
      <c r="C79" s="4" t="s">
        <v>57</v>
      </c>
      <c r="D79" s="4" t="s">
        <v>58</v>
      </c>
      <c r="E79" s="4" t="s">
        <v>59</v>
      </c>
      <c r="F79" s="4" t="n">
        <v>2099</v>
      </c>
      <c r="G79" s="5" t="s">
        <v>323</v>
      </c>
      <c r="H79" s="5" t="s">
        <v>223</v>
      </c>
      <c r="I79" s="4"/>
      <c r="J79" s="4"/>
      <c r="K79" s="4"/>
      <c r="L79" s="4" t="n">
        <v>20</v>
      </c>
      <c r="M79" s="4" t="n">
        <v>15</v>
      </c>
      <c r="N79" s="4" t="n">
        <v>5</v>
      </c>
      <c r="O79" s="4" t="n">
        <v>9</v>
      </c>
      <c r="P79" s="4" t="n">
        <v>6</v>
      </c>
      <c r="Q79" s="4" t="n">
        <v>5</v>
      </c>
      <c r="R79" s="6" t="n">
        <f aca="false">IF(N(L79)=0,0,O79/L79)</f>
        <v>0.45</v>
      </c>
      <c r="S79" s="4" t="n">
        <f aca="false">IF(R79="","",IF(R79&gt;=0.8,50,IF(R79&gt;=0.5,30,IF(R79&gt;=0.01,10,0))))</f>
        <v>10</v>
      </c>
      <c r="T79" s="4" t="n">
        <f aca="false">IF(TRIM(AI79)="Yes",2.5,0)</f>
        <v>0</v>
      </c>
      <c r="U79" s="4" t="n">
        <f aca="false">IF(TRIM(AJ79)="Yes",10,0)</f>
        <v>0</v>
      </c>
      <c r="V79" s="4" t="n">
        <f aca="false">IF(TRIM(AK79)="Yes",5,0)</f>
        <v>5</v>
      </c>
      <c r="W79" s="4" t="n">
        <f aca="false">IF(TRIM(AM79)="Yes",5,0)</f>
        <v>5</v>
      </c>
      <c r="X79" s="4" t="n">
        <f aca="false">IF(OR(TRIM(AN79)="Fully Available",TRIM(AN79)="Not Applicable"),5,IF(TRIM(AN79)="Partially Available",2.5,0))</f>
        <v>2.5</v>
      </c>
      <c r="Y79" s="4" t="n">
        <f aca="false">IF(TRIM(AO79)="Yes",5,0)</f>
        <v>5</v>
      </c>
      <c r="Z79" s="4" t="n">
        <f aca="false">IF(TRIM(AP79)="Yes",2.5,0)</f>
        <v>2.5</v>
      </c>
      <c r="AA79" s="4" t="n">
        <f aca="false">IF(TRIM(AQ79)="Yes",5,0)</f>
        <v>5</v>
      </c>
      <c r="AB79" s="4" t="n">
        <f aca="false">IF(OR(TRIM(AR79)="Yes",TRIM(AR79)="Not Applicable"),5,0)</f>
        <v>5</v>
      </c>
      <c r="AC79" s="4" t="n">
        <f aca="false">IF(TRIM(AS79)="Excellent",5,IF(TRIM(AS79)="Very Good",4,IF(TRIM(AS79)="Good",3,IF(TRIM(AS79)="Average",2,0))))</f>
        <v>3</v>
      </c>
      <c r="AD79" s="7" t="n">
        <f aca="false">IF(COUNT(S79:AC79)=0,"",SUM(S79:AC79))</f>
        <v>43</v>
      </c>
      <c r="AE79" s="7"/>
      <c r="AF79" s="8"/>
      <c r="AG79" s="5"/>
      <c r="AH79" s="4"/>
      <c r="AI79" s="4" t="s">
        <v>82</v>
      </c>
      <c r="AJ79" s="4" t="s">
        <v>82</v>
      </c>
      <c r="AK79" s="4" t="s">
        <v>62</v>
      </c>
      <c r="AL79" s="4" t="s">
        <v>63</v>
      </c>
      <c r="AM79" s="4" t="s">
        <v>62</v>
      </c>
      <c r="AN79" s="4" t="s">
        <v>147</v>
      </c>
      <c r="AO79" s="4" t="s">
        <v>62</v>
      </c>
      <c r="AP79" s="4" t="s">
        <v>62</v>
      </c>
      <c r="AQ79" s="4" t="s">
        <v>62</v>
      </c>
      <c r="AR79" s="4" t="s">
        <v>73</v>
      </c>
      <c r="AS79" s="4" t="s">
        <v>185</v>
      </c>
      <c r="AT79" s="4" t="n">
        <v>4</v>
      </c>
      <c r="AU79" s="4" t="s">
        <v>66</v>
      </c>
      <c r="AV79" s="4" t="s">
        <v>91</v>
      </c>
      <c r="AW79" s="4" t="s">
        <v>333</v>
      </c>
      <c r="AX79" s="4" t="s">
        <v>334</v>
      </c>
      <c r="AY79" s="4" t="n">
        <v>4</v>
      </c>
      <c r="AZ79" s="4" t="s">
        <v>62</v>
      </c>
      <c r="BA79" s="4" t="s">
        <v>326</v>
      </c>
      <c r="BB79" s="4" t="s">
        <v>59</v>
      </c>
      <c r="BC79" s="6" t="n">
        <v>0.5556</v>
      </c>
      <c r="BD79" s="4" t="n">
        <v>69</v>
      </c>
    </row>
    <row r="80" customFormat="false" ht="313.4" hidden="false" customHeight="false" outlineLevel="0" collapsed="false">
      <c r="A80" s="4"/>
      <c r="B80" s="4" t="s">
        <v>56</v>
      </c>
      <c r="C80" s="4" t="s">
        <v>57</v>
      </c>
      <c r="D80" s="4" t="s">
        <v>58</v>
      </c>
      <c r="E80" s="4" t="s">
        <v>59</v>
      </c>
      <c r="F80" s="4" t="n">
        <v>2099</v>
      </c>
      <c r="G80" s="5" t="s">
        <v>323</v>
      </c>
      <c r="H80" s="5" t="s">
        <v>90</v>
      </c>
      <c r="I80" s="4"/>
      <c r="J80" s="4"/>
      <c r="K80" s="4"/>
      <c r="L80" s="4" t="n">
        <v>20</v>
      </c>
      <c r="M80" s="4" t="n">
        <v>15</v>
      </c>
      <c r="N80" s="4" t="n">
        <v>5</v>
      </c>
      <c r="O80" s="4" t="n">
        <v>9</v>
      </c>
      <c r="P80" s="4" t="n">
        <v>6</v>
      </c>
      <c r="Q80" s="4" t="n">
        <v>5</v>
      </c>
      <c r="R80" s="6" t="n">
        <f aca="false">IF(N(L80)=0,0,O80/L80)</f>
        <v>0.45</v>
      </c>
      <c r="S80" s="4" t="n">
        <f aca="false">IF(R80="","",IF(R80&gt;=0.8,50,IF(R80&gt;=0.5,30,IF(R80&gt;=0.01,10,0))))</f>
        <v>10</v>
      </c>
      <c r="T80" s="4" t="n">
        <f aca="false">IF(TRIM(AI80)="Yes",2.5,0)</f>
        <v>0</v>
      </c>
      <c r="U80" s="4" t="n">
        <f aca="false">IF(TRIM(AJ80)="Yes",10,0)</f>
        <v>0</v>
      </c>
      <c r="V80" s="4" t="n">
        <f aca="false">IF(TRIM(AK80)="Yes",5,0)</f>
        <v>5</v>
      </c>
      <c r="W80" s="4" t="n">
        <f aca="false">IF(TRIM(AM80)="Yes",5,0)</f>
        <v>5</v>
      </c>
      <c r="X80" s="4" t="n">
        <f aca="false">IF(OR(TRIM(AN80)="Fully Available",TRIM(AN80)="Not Applicable"),5,IF(TRIM(AN80)="Partially Available",2.5,0))</f>
        <v>2.5</v>
      </c>
      <c r="Y80" s="4" t="n">
        <f aca="false">IF(TRIM(AO80)="Yes",5,0)</f>
        <v>5</v>
      </c>
      <c r="Z80" s="4" t="n">
        <f aca="false">IF(TRIM(AP80)="Yes",2.5,0)</f>
        <v>2.5</v>
      </c>
      <c r="AA80" s="4" t="n">
        <f aca="false">IF(TRIM(AQ80)="Yes",5,0)</f>
        <v>5</v>
      </c>
      <c r="AB80" s="4" t="n">
        <f aca="false">IF(OR(TRIM(AR80)="Yes",TRIM(AR80)="Not Applicable"),5,0)</f>
        <v>5</v>
      </c>
      <c r="AC80" s="4" t="n">
        <f aca="false">IF(TRIM(AS80)="Excellent",5,IF(TRIM(AS80)="Very Good",4,IF(TRIM(AS80)="Good",3,IF(TRIM(AS80)="Average",2,0))))</f>
        <v>3</v>
      </c>
      <c r="AD80" s="7" t="n">
        <f aca="false">IF(COUNT(S80:AC80)=0,"",SUM(S80:AC80))</f>
        <v>43</v>
      </c>
      <c r="AE80" s="7"/>
      <c r="AF80" s="8"/>
      <c r="AG80" s="5"/>
      <c r="AH80" s="4"/>
      <c r="AI80" s="4" t="s">
        <v>82</v>
      </c>
      <c r="AJ80" s="4" t="s">
        <v>82</v>
      </c>
      <c r="AK80" s="4" t="s">
        <v>62</v>
      </c>
      <c r="AL80" s="4" t="s">
        <v>63</v>
      </c>
      <c r="AM80" s="4" t="s">
        <v>62</v>
      </c>
      <c r="AN80" s="4" t="s">
        <v>147</v>
      </c>
      <c r="AO80" s="4" t="s">
        <v>62</v>
      </c>
      <c r="AP80" s="4" t="s">
        <v>62</v>
      </c>
      <c r="AQ80" s="4" t="s">
        <v>62</v>
      </c>
      <c r="AR80" s="4" t="s">
        <v>73</v>
      </c>
      <c r="AS80" s="4" t="s">
        <v>185</v>
      </c>
      <c r="AT80" s="4" t="n">
        <v>5</v>
      </c>
      <c r="AU80" s="4" t="s">
        <v>66</v>
      </c>
      <c r="AV80" s="4" t="s">
        <v>91</v>
      </c>
      <c r="AW80" s="4" t="s">
        <v>329</v>
      </c>
      <c r="AX80" s="4" t="s">
        <v>330</v>
      </c>
      <c r="AY80" s="4" t="n">
        <v>9</v>
      </c>
      <c r="AZ80" s="4" t="s">
        <v>62</v>
      </c>
      <c r="BA80" s="4" t="s">
        <v>326</v>
      </c>
      <c r="BB80" s="4" t="s">
        <v>59</v>
      </c>
      <c r="BC80" s="6" t="n">
        <v>0.5556</v>
      </c>
      <c r="BD80" s="4" t="n">
        <v>69</v>
      </c>
    </row>
    <row r="81" customFormat="false" ht="313.4" hidden="false" customHeight="false" outlineLevel="0" collapsed="false">
      <c r="A81" s="4"/>
      <c r="B81" s="4" t="s">
        <v>56</v>
      </c>
      <c r="C81" s="4" t="s">
        <v>57</v>
      </c>
      <c r="D81" s="4" t="s">
        <v>58</v>
      </c>
      <c r="E81" s="4" t="s">
        <v>59</v>
      </c>
      <c r="F81" s="4" t="n">
        <v>2099</v>
      </c>
      <c r="G81" s="5" t="s">
        <v>323</v>
      </c>
      <c r="H81" s="5" t="s">
        <v>229</v>
      </c>
      <c r="I81" s="4"/>
      <c r="J81" s="4"/>
      <c r="K81" s="4"/>
      <c r="L81" s="4" t="n">
        <v>20</v>
      </c>
      <c r="M81" s="4" t="n">
        <v>15</v>
      </c>
      <c r="N81" s="4" t="n">
        <v>5</v>
      </c>
      <c r="O81" s="4" t="n">
        <v>7</v>
      </c>
      <c r="P81" s="4" t="n">
        <v>8</v>
      </c>
      <c r="Q81" s="4" t="n">
        <v>5</v>
      </c>
      <c r="R81" s="6" t="n">
        <f aca="false">IF(N(L81)=0,0,O81/L81)</f>
        <v>0.35</v>
      </c>
      <c r="S81" s="4" t="n">
        <f aca="false">IF(R81="","",IF(R81&gt;=0.8,50,IF(R81&gt;=0.5,30,IF(R81&gt;=0.01,10,0))))</f>
        <v>10</v>
      </c>
      <c r="T81" s="4" t="n">
        <f aca="false">IF(TRIM(AI81)="Yes",2.5,0)</f>
        <v>0</v>
      </c>
      <c r="U81" s="4" t="n">
        <f aca="false">IF(TRIM(AJ81)="Yes",10,0)</f>
        <v>0</v>
      </c>
      <c r="V81" s="4" t="n">
        <f aca="false">IF(TRIM(AK81)="Yes",5,0)</f>
        <v>5</v>
      </c>
      <c r="W81" s="4" t="n">
        <f aca="false">IF(TRIM(AM81)="Yes",5,0)</f>
        <v>5</v>
      </c>
      <c r="X81" s="4" t="n">
        <f aca="false">IF(OR(TRIM(AN81)="Fully Available",TRIM(AN81)="Not Applicable"),5,IF(TRIM(AN81)="Partially Available",2.5,0))</f>
        <v>2.5</v>
      </c>
      <c r="Y81" s="4" t="n">
        <f aca="false">IF(TRIM(AO81)="Yes",5,0)</f>
        <v>5</v>
      </c>
      <c r="Z81" s="4" t="n">
        <f aca="false">IF(TRIM(AP81)="Yes",2.5,0)</f>
        <v>2.5</v>
      </c>
      <c r="AA81" s="4" t="n">
        <f aca="false">IF(TRIM(AQ81)="Yes",5,0)</f>
        <v>5</v>
      </c>
      <c r="AB81" s="4" t="n">
        <f aca="false">IF(OR(TRIM(AR81)="Yes",TRIM(AR81)="Not Applicable"),5,0)</f>
        <v>5</v>
      </c>
      <c r="AC81" s="4" t="n">
        <f aca="false">IF(TRIM(AS81)="Excellent",5,IF(TRIM(AS81)="Very Good",4,IF(TRIM(AS81)="Good",3,IF(TRIM(AS81)="Average",2,0))))</f>
        <v>3</v>
      </c>
      <c r="AD81" s="7" t="n">
        <f aca="false">IF(COUNT(S81:AC81)=0,"",SUM(S81:AC81))</f>
        <v>43</v>
      </c>
      <c r="AE81" s="7"/>
      <c r="AF81" s="8"/>
      <c r="AG81" s="5"/>
      <c r="AH81" s="4"/>
      <c r="AI81" s="4" t="s">
        <v>82</v>
      </c>
      <c r="AJ81" s="4" t="s">
        <v>82</v>
      </c>
      <c r="AK81" s="4" t="s">
        <v>62</v>
      </c>
      <c r="AL81" s="4" t="s">
        <v>63</v>
      </c>
      <c r="AM81" s="4" t="s">
        <v>62</v>
      </c>
      <c r="AN81" s="4" t="s">
        <v>147</v>
      </c>
      <c r="AO81" s="4" t="s">
        <v>62</v>
      </c>
      <c r="AP81" s="4" t="s">
        <v>62</v>
      </c>
      <c r="AQ81" s="4" t="s">
        <v>62</v>
      </c>
      <c r="AR81" s="4" t="s">
        <v>73</v>
      </c>
      <c r="AS81" s="4" t="s">
        <v>185</v>
      </c>
      <c r="AT81" s="4" t="n">
        <v>3</v>
      </c>
      <c r="AU81" s="4" t="s">
        <v>112</v>
      </c>
      <c r="AV81" s="4" t="s">
        <v>91</v>
      </c>
      <c r="AW81" s="4" t="s">
        <v>335</v>
      </c>
      <c r="AX81" s="4" t="s">
        <v>336</v>
      </c>
      <c r="AY81" s="4" t="n">
        <v>1</v>
      </c>
      <c r="AZ81" s="4" t="s">
        <v>62</v>
      </c>
      <c r="BA81" s="4" t="s">
        <v>326</v>
      </c>
      <c r="BB81" s="4" t="s">
        <v>59</v>
      </c>
      <c r="BC81" s="6" t="n">
        <v>0.7143</v>
      </c>
      <c r="BD81" s="4" t="n">
        <v>69</v>
      </c>
    </row>
    <row r="82" customFormat="false" ht="313.4" hidden="false" customHeight="false" outlineLevel="0" collapsed="false">
      <c r="A82" s="4"/>
      <c r="B82" s="4" t="s">
        <v>56</v>
      </c>
      <c r="C82" s="4" t="s">
        <v>57</v>
      </c>
      <c r="D82" s="4" t="s">
        <v>58</v>
      </c>
      <c r="E82" s="4" t="s">
        <v>59</v>
      </c>
      <c r="F82" s="4" t="n">
        <v>2099</v>
      </c>
      <c r="G82" s="5" t="s">
        <v>323</v>
      </c>
      <c r="H82" s="5" t="s">
        <v>321</v>
      </c>
      <c r="I82" s="4"/>
      <c r="J82" s="4"/>
      <c r="K82" s="4"/>
      <c r="L82" s="4" t="n">
        <v>20</v>
      </c>
      <c r="M82" s="4" t="n">
        <v>15</v>
      </c>
      <c r="N82" s="4" t="n">
        <v>5</v>
      </c>
      <c r="O82" s="4" t="n">
        <v>9</v>
      </c>
      <c r="P82" s="4" t="n">
        <v>6</v>
      </c>
      <c r="Q82" s="4" t="n">
        <v>5</v>
      </c>
      <c r="R82" s="6" t="n">
        <f aca="false">IF(N(L82)=0,0,O82/L82)</f>
        <v>0.45</v>
      </c>
      <c r="S82" s="4" t="n">
        <f aca="false">IF(R82="","",IF(R82&gt;=0.8,50,IF(R82&gt;=0.5,30,IF(R82&gt;=0.01,10,0))))</f>
        <v>10</v>
      </c>
      <c r="T82" s="4" t="n">
        <f aca="false">IF(TRIM(AI82)="Yes",2.5,0)</f>
        <v>0</v>
      </c>
      <c r="U82" s="4" t="n">
        <f aca="false">IF(TRIM(AJ82)="Yes",10,0)</f>
        <v>0</v>
      </c>
      <c r="V82" s="4" t="n">
        <f aca="false">IF(TRIM(AK82)="Yes",5,0)</f>
        <v>5</v>
      </c>
      <c r="W82" s="4" t="n">
        <f aca="false">IF(TRIM(AM82)="Yes",5,0)</f>
        <v>5</v>
      </c>
      <c r="X82" s="4" t="n">
        <f aca="false">IF(OR(TRIM(AN82)="Fully Available",TRIM(AN82)="Not Applicable"),5,IF(TRIM(AN82)="Partially Available",2.5,0))</f>
        <v>2.5</v>
      </c>
      <c r="Y82" s="4" t="n">
        <f aca="false">IF(TRIM(AO82)="Yes",5,0)</f>
        <v>5</v>
      </c>
      <c r="Z82" s="4" t="n">
        <f aca="false">IF(TRIM(AP82)="Yes",2.5,0)</f>
        <v>2.5</v>
      </c>
      <c r="AA82" s="4" t="n">
        <f aca="false">IF(TRIM(AQ82)="Yes",5,0)</f>
        <v>5</v>
      </c>
      <c r="AB82" s="4" t="n">
        <f aca="false">IF(OR(TRIM(AR82)="Yes",TRIM(AR82)="Not Applicable"),5,0)</f>
        <v>5</v>
      </c>
      <c r="AC82" s="4" t="n">
        <f aca="false">IF(TRIM(AS82)="Excellent",5,IF(TRIM(AS82)="Very Good",4,IF(TRIM(AS82)="Good",3,IF(TRIM(AS82)="Average",2,0))))</f>
        <v>3</v>
      </c>
      <c r="AD82" s="7" t="n">
        <f aca="false">IF(COUNT(S82:AC82)=0,"",SUM(S82:AC82))</f>
        <v>43</v>
      </c>
      <c r="AE82" s="7"/>
      <c r="AF82" s="8"/>
      <c r="AG82" s="5"/>
      <c r="AH82" s="4"/>
      <c r="AI82" s="4" t="s">
        <v>82</v>
      </c>
      <c r="AJ82" s="4" t="s">
        <v>82</v>
      </c>
      <c r="AK82" s="4" t="s">
        <v>62</v>
      </c>
      <c r="AL82" s="4" t="s">
        <v>63</v>
      </c>
      <c r="AM82" s="4" t="s">
        <v>62</v>
      </c>
      <c r="AN82" s="4" t="s">
        <v>147</v>
      </c>
      <c r="AO82" s="4" t="s">
        <v>62</v>
      </c>
      <c r="AP82" s="4" t="s">
        <v>62</v>
      </c>
      <c r="AQ82" s="4" t="s">
        <v>62</v>
      </c>
      <c r="AR82" s="4" t="s">
        <v>73</v>
      </c>
      <c r="AS82" s="4" t="s">
        <v>185</v>
      </c>
      <c r="AT82" s="4" t="n">
        <v>4</v>
      </c>
      <c r="AU82" s="4" t="s">
        <v>66</v>
      </c>
      <c r="AV82" s="4" t="s">
        <v>91</v>
      </c>
      <c r="AW82" s="4" t="s">
        <v>324</v>
      </c>
      <c r="AX82" s="4" t="s">
        <v>337</v>
      </c>
      <c r="AY82" s="4" t="n">
        <v>8</v>
      </c>
      <c r="AZ82" s="4" t="s">
        <v>62</v>
      </c>
      <c r="BA82" s="4" t="s">
        <v>326</v>
      </c>
      <c r="BB82" s="4" t="s">
        <v>59</v>
      </c>
      <c r="BC82" s="6" t="n">
        <v>0.5556</v>
      </c>
      <c r="BD82" s="4" t="n">
        <v>69</v>
      </c>
    </row>
    <row r="83" customFormat="false" ht="285.05" hidden="false" customHeight="false" outlineLevel="0" collapsed="false">
      <c r="A83" s="4" t="n">
        <v>32</v>
      </c>
      <c r="B83" s="4" t="s">
        <v>56</v>
      </c>
      <c r="C83" s="4" t="s">
        <v>57</v>
      </c>
      <c r="D83" s="4" t="s">
        <v>58</v>
      </c>
      <c r="E83" s="4" t="s">
        <v>59</v>
      </c>
      <c r="F83" s="4" t="n">
        <v>1330</v>
      </c>
      <c r="G83" s="5" t="s">
        <v>338</v>
      </c>
      <c r="H83" s="5" t="s">
        <v>78</v>
      </c>
      <c r="I83" s="4"/>
      <c r="J83" s="4"/>
      <c r="K83" s="4"/>
      <c r="L83" s="4" t="n">
        <v>20</v>
      </c>
      <c r="M83" s="4" t="n">
        <v>20</v>
      </c>
      <c r="N83" s="4" t="n">
        <v>0</v>
      </c>
      <c r="O83" s="4" t="n">
        <v>7</v>
      </c>
      <c r="P83" s="4" t="n">
        <v>13</v>
      </c>
      <c r="Q83" s="4" t="n">
        <v>5</v>
      </c>
      <c r="R83" s="6" t="n">
        <f aca="false">IF(N(L83)=0,0,O83/L83)</f>
        <v>0.35</v>
      </c>
      <c r="S83" s="4" t="n">
        <f aca="false">IF(R83="","",IF(R83&gt;=0.8,50,IF(R83&gt;=0.5,30,IF(R83&gt;=0.01,10,0))))</f>
        <v>10</v>
      </c>
      <c r="T83" s="4" t="n">
        <f aca="false">IF(TRIM(AI83)="Yes",2.5,0)</f>
        <v>0</v>
      </c>
      <c r="U83" s="4" t="n">
        <f aca="false">IF(TRIM(AJ83)="Yes",10,0)</f>
        <v>0</v>
      </c>
      <c r="V83" s="4" t="n">
        <f aca="false">IF(TRIM(AK83)="Yes",5,0)</f>
        <v>5</v>
      </c>
      <c r="W83" s="4" t="n">
        <f aca="false">IF(TRIM(AM83)="Yes",5,0)</f>
        <v>5</v>
      </c>
      <c r="X83" s="4" t="n">
        <f aca="false">IF(OR(TRIM(AN83)="Fully Available",TRIM(AN83)="Not Applicable"),5,IF(TRIM(AN83)="Partially Available",2.5,0))</f>
        <v>5</v>
      </c>
      <c r="Y83" s="4" t="n">
        <f aca="false">IF(TRIM(AO83)="Yes",5,0)</f>
        <v>5</v>
      </c>
      <c r="Z83" s="4" t="n">
        <f aca="false">IF(TRIM(AP83)="Yes",2.5,0)</f>
        <v>2.5</v>
      </c>
      <c r="AA83" s="4" t="n">
        <f aca="false">IF(TRIM(AQ83)="Yes",5,0)</f>
        <v>5</v>
      </c>
      <c r="AB83" s="4" t="n">
        <f aca="false">IF(OR(TRIM(AR83)="Yes",TRIM(AR83)="Not Applicable"),5,0)</f>
        <v>5</v>
      </c>
      <c r="AC83" s="4" t="n">
        <f aca="false">IF(TRIM(AS83)="Excellent",5,IF(TRIM(AS83)="Very Good",4,IF(TRIM(AS83)="Good",3,IF(TRIM(AS83)="Average",2,0))))</f>
        <v>4</v>
      </c>
      <c r="AD83" s="7" t="n">
        <f aca="false">IF(COUNT(S83:AC83)=0,"",SUM(S83:AC83))</f>
        <v>46.5</v>
      </c>
      <c r="AE83" s="7" t="n">
        <f aca="false">IF(COUNTIF($F$2:F83,F83)=1,IFERROR(AVERAGEIF($F:$F,F83,$AD:$AD),""),"")</f>
        <v>45.25</v>
      </c>
      <c r="AF83" s="8" t="str">
        <f aca="false">IF(AH83&lt;&gt;"",AH83,IF(AE83="","",IF(AE83&gt;=80,"Excellent",IF(AE83&gt;=70,"Very Good",IF(AE83&gt;=60,"Good",IF(AE83&gt;=50,"Average","Poor"))))))</f>
        <v>Poor</v>
      </c>
      <c r="AG83" s="5"/>
      <c r="AH83" s="4"/>
      <c r="AI83" s="4" t="s">
        <v>82</v>
      </c>
      <c r="AJ83" s="4" t="s">
        <v>82</v>
      </c>
      <c r="AK83" s="4" t="s">
        <v>62</v>
      </c>
      <c r="AL83" s="4" t="s">
        <v>63</v>
      </c>
      <c r="AM83" s="4" t="s">
        <v>62</v>
      </c>
      <c r="AN83" s="4" t="s">
        <v>64</v>
      </c>
      <c r="AO83" s="4" t="s">
        <v>62</v>
      </c>
      <c r="AP83" s="4" t="s">
        <v>62</v>
      </c>
      <c r="AQ83" s="4" t="s">
        <v>62</v>
      </c>
      <c r="AR83" s="4" t="s">
        <v>73</v>
      </c>
      <c r="AS83" s="4" t="s">
        <v>74</v>
      </c>
      <c r="AT83" s="4" t="n">
        <v>3</v>
      </c>
      <c r="AU83" s="4" t="s">
        <v>66</v>
      </c>
      <c r="AV83" s="4" t="s">
        <v>288</v>
      </c>
      <c r="AW83" s="4" t="s">
        <v>339</v>
      </c>
      <c r="AX83" s="4" t="s">
        <v>163</v>
      </c>
      <c r="AY83" s="4" t="n">
        <v>1</v>
      </c>
      <c r="AZ83" s="4" t="s">
        <v>62</v>
      </c>
      <c r="BA83" s="4" t="s">
        <v>340</v>
      </c>
      <c r="BB83" s="4" t="s">
        <v>59</v>
      </c>
      <c r="BC83" s="6" t="n">
        <v>0.7143</v>
      </c>
      <c r="BD83" s="4" t="n">
        <v>64</v>
      </c>
    </row>
    <row r="84" customFormat="false" ht="285.05" hidden="false" customHeight="false" outlineLevel="0" collapsed="false">
      <c r="A84" s="4"/>
      <c r="B84" s="4" t="s">
        <v>56</v>
      </c>
      <c r="C84" s="4" t="s">
        <v>57</v>
      </c>
      <c r="D84" s="4" t="s">
        <v>58</v>
      </c>
      <c r="E84" s="4" t="s">
        <v>59</v>
      </c>
      <c r="F84" s="4" t="n">
        <v>1330</v>
      </c>
      <c r="G84" s="5" t="s">
        <v>338</v>
      </c>
      <c r="H84" s="5" t="s">
        <v>214</v>
      </c>
      <c r="I84" s="4"/>
      <c r="J84" s="4"/>
      <c r="K84" s="4"/>
      <c r="L84" s="4" t="n">
        <v>40</v>
      </c>
      <c r="M84" s="4" t="n">
        <v>40</v>
      </c>
      <c r="N84" s="4" t="n">
        <v>0</v>
      </c>
      <c r="O84" s="4" t="n">
        <v>5</v>
      </c>
      <c r="P84" s="4" t="n">
        <v>35</v>
      </c>
      <c r="Q84" s="4" t="n">
        <v>5</v>
      </c>
      <c r="R84" s="6" t="n">
        <f aca="false">IF(N(L84)=0,0,O84/L84)</f>
        <v>0.125</v>
      </c>
      <c r="S84" s="4" t="n">
        <f aca="false">IF(R84="","",IF(R84&gt;=0.8,50,IF(R84&gt;=0.5,30,IF(R84&gt;=0.01,10,0))))</f>
        <v>10</v>
      </c>
      <c r="T84" s="4" t="n">
        <f aca="false">IF(TRIM(AI84)="Yes",2.5,0)</f>
        <v>0</v>
      </c>
      <c r="U84" s="4" t="n">
        <f aca="false">IF(TRIM(AJ84)="Yes",10,0)</f>
        <v>0</v>
      </c>
      <c r="V84" s="4" t="n">
        <f aca="false">IF(TRIM(AK84)="Yes",5,0)</f>
        <v>5</v>
      </c>
      <c r="W84" s="4" t="n">
        <f aca="false">IF(TRIM(AM84)="Yes",5,0)</f>
        <v>5</v>
      </c>
      <c r="X84" s="4" t="n">
        <f aca="false">IF(OR(TRIM(AN84)="Fully Available",TRIM(AN84)="Not Applicable"),5,IF(TRIM(AN84)="Partially Available",2.5,0))</f>
        <v>2.5</v>
      </c>
      <c r="Y84" s="4" t="n">
        <f aca="false">IF(TRIM(AO84)="Yes",5,0)</f>
        <v>5</v>
      </c>
      <c r="Z84" s="4" t="n">
        <f aca="false">IF(TRIM(AP84)="Yes",2.5,0)</f>
        <v>2.5</v>
      </c>
      <c r="AA84" s="4" t="n">
        <f aca="false">IF(TRIM(AQ84)="Yes",5,0)</f>
        <v>5</v>
      </c>
      <c r="AB84" s="4" t="n">
        <f aca="false">IF(OR(TRIM(AR84)="Yes",TRIM(AR84)="Not Applicable"),5,0)</f>
        <v>5</v>
      </c>
      <c r="AC84" s="4" t="n">
        <f aca="false">IF(TRIM(AS84)="Excellent",5,IF(TRIM(AS84)="Very Good",4,IF(TRIM(AS84)="Good",3,IF(TRIM(AS84)="Average",2,0))))</f>
        <v>4</v>
      </c>
      <c r="AD84" s="7" t="n">
        <f aca="false">IF(COUNT(S84:AC84)=0,"",SUM(S84:AC84))</f>
        <v>44</v>
      </c>
      <c r="AE84" s="7"/>
      <c r="AF84" s="8"/>
      <c r="AG84" s="5"/>
      <c r="AH84" s="4"/>
      <c r="AI84" s="4" t="s">
        <v>82</v>
      </c>
      <c r="AJ84" s="4" t="s">
        <v>82</v>
      </c>
      <c r="AK84" s="4" t="s">
        <v>62</v>
      </c>
      <c r="AL84" s="4" t="s">
        <v>63</v>
      </c>
      <c r="AM84" s="4" t="s">
        <v>62</v>
      </c>
      <c r="AN84" s="4" t="s">
        <v>147</v>
      </c>
      <c r="AO84" s="4" t="s">
        <v>62</v>
      </c>
      <c r="AP84" s="4" t="s">
        <v>62</v>
      </c>
      <c r="AQ84" s="4" t="s">
        <v>62</v>
      </c>
      <c r="AR84" s="4" t="s">
        <v>62</v>
      </c>
      <c r="AS84" s="4" t="s">
        <v>74</v>
      </c>
      <c r="AT84" s="4" t="n">
        <v>3</v>
      </c>
      <c r="AU84" s="4" t="s">
        <v>112</v>
      </c>
      <c r="AV84" s="4" t="s">
        <v>288</v>
      </c>
      <c r="AW84" s="4" t="s">
        <v>341</v>
      </c>
      <c r="AX84" s="4" t="s">
        <v>342</v>
      </c>
      <c r="AY84" s="4" t="n">
        <v>5</v>
      </c>
      <c r="AZ84" s="4" t="s">
        <v>62</v>
      </c>
      <c r="BA84" s="4" t="s">
        <v>340</v>
      </c>
      <c r="BB84" s="4" t="s">
        <v>59</v>
      </c>
      <c r="BC84" s="6" t="n">
        <v>1</v>
      </c>
      <c r="BD84" s="4" t="n">
        <v>64</v>
      </c>
    </row>
    <row r="85" customFormat="false" ht="285.05" hidden="false" customHeight="false" outlineLevel="0" collapsed="false">
      <c r="A85" s="4"/>
      <c r="B85" s="4" t="s">
        <v>56</v>
      </c>
      <c r="C85" s="4" t="s">
        <v>57</v>
      </c>
      <c r="D85" s="4" t="s">
        <v>58</v>
      </c>
      <c r="E85" s="4" t="s">
        <v>59</v>
      </c>
      <c r="F85" s="4" t="n">
        <v>1330</v>
      </c>
      <c r="G85" s="5" t="s">
        <v>338</v>
      </c>
      <c r="H85" s="5" t="s">
        <v>238</v>
      </c>
      <c r="I85" s="4"/>
      <c r="J85" s="4"/>
      <c r="K85" s="4"/>
      <c r="L85" s="4" t="n">
        <v>20</v>
      </c>
      <c r="M85" s="4" t="n">
        <v>20</v>
      </c>
      <c r="N85" s="4" t="n">
        <v>0</v>
      </c>
      <c r="O85" s="4" t="n">
        <v>7</v>
      </c>
      <c r="P85" s="4" t="n">
        <v>13</v>
      </c>
      <c r="Q85" s="4" t="n">
        <v>5</v>
      </c>
      <c r="R85" s="6" t="n">
        <f aca="false">IF(N(L85)=0,0,O85/L85)</f>
        <v>0.35</v>
      </c>
      <c r="S85" s="4" t="n">
        <f aca="false">IF(R85="","",IF(R85&gt;=0.8,50,IF(R85&gt;=0.5,30,IF(R85&gt;=0.01,10,0))))</f>
        <v>10</v>
      </c>
      <c r="T85" s="4" t="n">
        <f aca="false">IF(TRIM(AI85)="Yes",2.5,0)</f>
        <v>0</v>
      </c>
      <c r="U85" s="4" t="n">
        <f aca="false">IF(TRIM(AJ85)="Yes",10,0)</f>
        <v>0</v>
      </c>
      <c r="V85" s="4" t="n">
        <f aca="false">IF(TRIM(AK85)="Yes",5,0)</f>
        <v>5</v>
      </c>
      <c r="W85" s="4" t="n">
        <f aca="false">IF(TRIM(AM85)="Yes",5,0)</f>
        <v>5</v>
      </c>
      <c r="X85" s="4" t="n">
        <f aca="false">IF(OR(TRIM(AN85)="Fully Available",TRIM(AN85)="Not Applicable"),5,IF(TRIM(AN85)="Partially Available",2.5,0))</f>
        <v>2.5</v>
      </c>
      <c r="Y85" s="4" t="n">
        <f aca="false">IF(TRIM(AO85)="Yes",5,0)</f>
        <v>5</v>
      </c>
      <c r="Z85" s="4" t="n">
        <f aca="false">IF(TRIM(AP85)="Yes",2.5,0)</f>
        <v>2.5</v>
      </c>
      <c r="AA85" s="4" t="n">
        <f aca="false">IF(TRIM(AQ85)="Yes",5,0)</f>
        <v>5</v>
      </c>
      <c r="AB85" s="4" t="n">
        <f aca="false">IF(OR(TRIM(AR85)="Yes",TRIM(AR85)="Not Applicable"),5,0)</f>
        <v>5</v>
      </c>
      <c r="AC85" s="4" t="n">
        <f aca="false">IF(TRIM(AS85)="Excellent",5,IF(TRIM(AS85)="Very Good",4,IF(TRIM(AS85)="Good",3,IF(TRIM(AS85)="Average",2,0))))</f>
        <v>4</v>
      </c>
      <c r="AD85" s="7" t="n">
        <f aca="false">IF(COUNT(S85:AC85)=0,"",SUM(S85:AC85))</f>
        <v>44</v>
      </c>
      <c r="AE85" s="7"/>
      <c r="AF85" s="8"/>
      <c r="AG85" s="5"/>
      <c r="AH85" s="4"/>
      <c r="AI85" s="4" t="s">
        <v>82</v>
      </c>
      <c r="AJ85" s="4" t="s">
        <v>82</v>
      </c>
      <c r="AK85" s="4" t="s">
        <v>62</v>
      </c>
      <c r="AL85" s="4" t="s">
        <v>63</v>
      </c>
      <c r="AM85" s="4" t="s">
        <v>62</v>
      </c>
      <c r="AN85" s="4" t="s">
        <v>147</v>
      </c>
      <c r="AO85" s="4" t="s">
        <v>62</v>
      </c>
      <c r="AP85" s="4" t="s">
        <v>62</v>
      </c>
      <c r="AQ85" s="4" t="s">
        <v>62</v>
      </c>
      <c r="AR85" s="4" t="s">
        <v>73</v>
      </c>
      <c r="AS85" s="4" t="s">
        <v>74</v>
      </c>
      <c r="AT85" s="4" t="n">
        <v>3</v>
      </c>
      <c r="AU85" s="4" t="s">
        <v>66</v>
      </c>
      <c r="AV85" s="4" t="s">
        <v>288</v>
      </c>
      <c r="AW85" s="4" t="s">
        <v>339</v>
      </c>
      <c r="AX85" s="4" t="s">
        <v>163</v>
      </c>
      <c r="AY85" s="4" t="n">
        <v>1</v>
      </c>
      <c r="AZ85" s="4" t="s">
        <v>62</v>
      </c>
      <c r="BA85" s="4" t="s">
        <v>340</v>
      </c>
      <c r="BB85" s="4" t="s">
        <v>59</v>
      </c>
      <c r="BC85" s="6" t="n">
        <v>0.7143</v>
      </c>
      <c r="BD85" s="4" t="n">
        <v>64</v>
      </c>
    </row>
    <row r="86" customFormat="false" ht="285.05" hidden="false" customHeight="false" outlineLevel="0" collapsed="false">
      <c r="A86" s="4"/>
      <c r="B86" s="4" t="s">
        <v>56</v>
      </c>
      <c r="C86" s="4" t="s">
        <v>57</v>
      </c>
      <c r="D86" s="4" t="s">
        <v>58</v>
      </c>
      <c r="E86" s="4" t="s">
        <v>59</v>
      </c>
      <c r="F86" s="4" t="n">
        <v>1330</v>
      </c>
      <c r="G86" s="5" t="s">
        <v>338</v>
      </c>
      <c r="H86" s="5" t="s">
        <v>220</v>
      </c>
      <c r="I86" s="4"/>
      <c r="J86" s="4"/>
      <c r="K86" s="4"/>
      <c r="L86" s="4" t="n">
        <v>100</v>
      </c>
      <c r="M86" s="4" t="n">
        <v>100</v>
      </c>
      <c r="N86" s="4" t="n">
        <v>0</v>
      </c>
      <c r="O86" s="4" t="n">
        <v>15</v>
      </c>
      <c r="P86" s="4" t="n">
        <v>85</v>
      </c>
      <c r="Q86" s="4" t="n">
        <v>13</v>
      </c>
      <c r="R86" s="6" t="n">
        <f aca="false">IF(N(L86)=0,0,O86/L86)</f>
        <v>0.15</v>
      </c>
      <c r="S86" s="4" t="n">
        <f aca="false">IF(R86="","",IF(R86&gt;=0.8,50,IF(R86&gt;=0.5,30,IF(R86&gt;=0.01,10,0))))</f>
        <v>10</v>
      </c>
      <c r="T86" s="4" t="n">
        <f aca="false">IF(TRIM(AI86)="Yes",2.5,0)</f>
        <v>0</v>
      </c>
      <c r="U86" s="4" t="n">
        <f aca="false">IF(TRIM(AJ86)="Yes",10,0)</f>
        <v>0</v>
      </c>
      <c r="V86" s="4" t="n">
        <f aca="false">IF(TRIM(AK86)="Yes",5,0)</f>
        <v>5</v>
      </c>
      <c r="W86" s="4" t="n">
        <f aca="false">IF(TRIM(AM86)="Yes",5,0)</f>
        <v>5</v>
      </c>
      <c r="X86" s="4" t="n">
        <f aca="false">IF(OR(TRIM(AN86)="Fully Available",TRIM(AN86)="Not Applicable"),5,IF(TRIM(AN86)="Partially Available",2.5,0))</f>
        <v>2.5</v>
      </c>
      <c r="Y86" s="4" t="n">
        <f aca="false">IF(TRIM(AO86)="Yes",5,0)</f>
        <v>5</v>
      </c>
      <c r="Z86" s="4" t="n">
        <f aca="false">IF(TRIM(AP86)="Yes",2.5,0)</f>
        <v>2.5</v>
      </c>
      <c r="AA86" s="4" t="n">
        <f aca="false">IF(TRIM(AQ86)="Yes",5,0)</f>
        <v>5</v>
      </c>
      <c r="AB86" s="4" t="n">
        <f aca="false">IF(OR(TRIM(AR86)="Yes",TRIM(AR86)="Not Applicable"),5,0)</f>
        <v>5</v>
      </c>
      <c r="AC86" s="4" t="n">
        <f aca="false">IF(TRIM(AS86)="Excellent",5,IF(TRIM(AS86)="Very Good",4,IF(TRIM(AS86)="Good",3,IF(TRIM(AS86)="Average",2,0))))</f>
        <v>4</v>
      </c>
      <c r="AD86" s="7" t="n">
        <f aca="false">IF(COUNT(S86:AC86)=0,"",SUM(S86:AC86))</f>
        <v>44</v>
      </c>
      <c r="AE86" s="7"/>
      <c r="AF86" s="8"/>
      <c r="AG86" s="5"/>
      <c r="AH86" s="4"/>
      <c r="AI86" s="4" t="s">
        <v>82</v>
      </c>
      <c r="AJ86" s="4" t="s">
        <v>82</v>
      </c>
      <c r="AK86" s="4" t="s">
        <v>62</v>
      </c>
      <c r="AL86" s="4" t="s">
        <v>63</v>
      </c>
      <c r="AM86" s="4" t="s">
        <v>62</v>
      </c>
      <c r="AN86" s="4" t="s">
        <v>147</v>
      </c>
      <c r="AO86" s="4" t="s">
        <v>62</v>
      </c>
      <c r="AP86" s="4" t="s">
        <v>62</v>
      </c>
      <c r="AQ86" s="4" t="s">
        <v>62</v>
      </c>
      <c r="AR86" s="4" t="s">
        <v>73</v>
      </c>
      <c r="AS86" s="4" t="s">
        <v>74</v>
      </c>
      <c r="AT86" s="4" t="n">
        <v>3</v>
      </c>
      <c r="AU86" s="4" t="s">
        <v>112</v>
      </c>
      <c r="AV86" s="4" t="s">
        <v>288</v>
      </c>
      <c r="AW86" s="4" t="s">
        <v>343</v>
      </c>
      <c r="AX86" s="4" t="s">
        <v>344</v>
      </c>
      <c r="AY86" s="4" t="n">
        <v>3</v>
      </c>
      <c r="AZ86" s="4" t="s">
        <v>62</v>
      </c>
      <c r="BA86" s="4" t="s">
        <v>340</v>
      </c>
      <c r="BB86" s="4" t="s">
        <v>59</v>
      </c>
      <c r="BC86" s="6" t="n">
        <v>0.8667</v>
      </c>
      <c r="BD86" s="4" t="n">
        <v>64</v>
      </c>
    </row>
    <row r="87" customFormat="false" ht="285.05" hidden="false" customHeight="false" outlineLevel="0" collapsed="false">
      <c r="A87" s="4"/>
      <c r="B87" s="4" t="s">
        <v>56</v>
      </c>
      <c r="C87" s="4" t="s">
        <v>57</v>
      </c>
      <c r="D87" s="4" t="s">
        <v>58</v>
      </c>
      <c r="E87" s="4" t="s">
        <v>59</v>
      </c>
      <c r="F87" s="4" t="n">
        <v>1330</v>
      </c>
      <c r="G87" s="5" t="s">
        <v>338</v>
      </c>
      <c r="H87" s="5" t="s">
        <v>223</v>
      </c>
      <c r="I87" s="4"/>
      <c r="J87" s="4"/>
      <c r="K87" s="4"/>
      <c r="L87" s="4" t="n">
        <v>80</v>
      </c>
      <c r="M87" s="4" t="n">
        <v>80</v>
      </c>
      <c r="N87" s="4" t="n">
        <v>0</v>
      </c>
      <c r="O87" s="4" t="n">
        <v>16</v>
      </c>
      <c r="P87" s="4" t="n">
        <v>64</v>
      </c>
      <c r="Q87" s="4" t="n">
        <v>16</v>
      </c>
      <c r="R87" s="6" t="n">
        <f aca="false">IF(N(L87)=0,0,O87/L87)</f>
        <v>0.2</v>
      </c>
      <c r="S87" s="4" t="n">
        <f aca="false">IF(R87="","",IF(R87&gt;=0.8,50,IF(R87&gt;=0.5,30,IF(R87&gt;=0.01,10,0))))</f>
        <v>10</v>
      </c>
      <c r="T87" s="4" t="n">
        <f aca="false">IF(TRIM(AI87)="Yes",2.5,0)</f>
        <v>0</v>
      </c>
      <c r="U87" s="4" t="n">
        <f aca="false">IF(TRIM(AJ87)="Yes",10,0)</f>
        <v>0</v>
      </c>
      <c r="V87" s="4" t="n">
        <f aca="false">IF(TRIM(AK87)="Yes",5,0)</f>
        <v>5</v>
      </c>
      <c r="W87" s="4" t="n">
        <f aca="false">IF(TRIM(AM87)="Yes",5,0)</f>
        <v>5</v>
      </c>
      <c r="X87" s="4" t="n">
        <f aca="false">IF(OR(TRIM(AN87)="Fully Available",TRIM(AN87)="Not Applicable"),5,IF(TRIM(AN87)="Partially Available",2.5,0))</f>
        <v>5</v>
      </c>
      <c r="Y87" s="4" t="n">
        <f aca="false">IF(TRIM(AO87)="Yes",5,0)</f>
        <v>5</v>
      </c>
      <c r="Z87" s="4" t="n">
        <f aca="false">IF(TRIM(AP87)="Yes",2.5,0)</f>
        <v>2.5</v>
      </c>
      <c r="AA87" s="4" t="n">
        <f aca="false">IF(TRIM(AQ87)="Yes",5,0)</f>
        <v>5</v>
      </c>
      <c r="AB87" s="4" t="n">
        <f aca="false">IF(OR(TRIM(AR87)="Yes",TRIM(AR87)="Not Applicable"),5,0)</f>
        <v>5</v>
      </c>
      <c r="AC87" s="4" t="n">
        <f aca="false">IF(TRIM(AS87)="Excellent",5,IF(TRIM(AS87)="Very Good",4,IF(TRIM(AS87)="Good",3,IF(TRIM(AS87)="Average",2,0))))</f>
        <v>4</v>
      </c>
      <c r="AD87" s="7" t="n">
        <f aca="false">IF(COUNT(S87:AC87)=0,"",SUM(S87:AC87))</f>
        <v>46.5</v>
      </c>
      <c r="AE87" s="7"/>
      <c r="AF87" s="8"/>
      <c r="AG87" s="5"/>
      <c r="AH87" s="4"/>
      <c r="AI87" s="4" t="s">
        <v>82</v>
      </c>
      <c r="AJ87" s="4" t="s">
        <v>82</v>
      </c>
      <c r="AK87" s="4" t="s">
        <v>62</v>
      </c>
      <c r="AL87" s="4" t="s">
        <v>63</v>
      </c>
      <c r="AM87" s="4" t="s">
        <v>62</v>
      </c>
      <c r="AN87" s="4" t="s">
        <v>64</v>
      </c>
      <c r="AO87" s="4" t="s">
        <v>62</v>
      </c>
      <c r="AP87" s="4" t="s">
        <v>62</v>
      </c>
      <c r="AQ87" s="4" t="s">
        <v>62</v>
      </c>
      <c r="AR87" s="4" t="s">
        <v>73</v>
      </c>
      <c r="AS87" s="4" t="s">
        <v>74</v>
      </c>
      <c r="AT87" s="4" t="n">
        <v>3</v>
      </c>
      <c r="AU87" s="4" t="s">
        <v>112</v>
      </c>
      <c r="AV87" s="4" t="s">
        <v>288</v>
      </c>
      <c r="AW87" s="4" t="s">
        <v>345</v>
      </c>
      <c r="AX87" s="4" t="s">
        <v>346</v>
      </c>
      <c r="AY87" s="4" t="n">
        <v>3</v>
      </c>
      <c r="AZ87" s="4" t="s">
        <v>62</v>
      </c>
      <c r="BA87" s="4" t="s">
        <v>340</v>
      </c>
      <c r="BB87" s="4" t="s">
        <v>59</v>
      </c>
      <c r="BC87" s="6" t="n">
        <v>1</v>
      </c>
      <c r="BD87" s="4" t="n">
        <v>64</v>
      </c>
    </row>
    <row r="88" customFormat="false" ht="285.05" hidden="false" customHeight="false" outlineLevel="0" collapsed="false">
      <c r="A88" s="4"/>
      <c r="B88" s="4" t="s">
        <v>56</v>
      </c>
      <c r="C88" s="4" t="s">
        <v>57</v>
      </c>
      <c r="D88" s="4" t="s">
        <v>58</v>
      </c>
      <c r="E88" s="4" t="s">
        <v>59</v>
      </c>
      <c r="F88" s="4" t="n">
        <v>1330</v>
      </c>
      <c r="G88" s="5" t="s">
        <v>338</v>
      </c>
      <c r="H88" s="5" t="s">
        <v>229</v>
      </c>
      <c r="I88" s="4"/>
      <c r="J88" s="4"/>
      <c r="K88" s="4"/>
      <c r="L88" s="4" t="n">
        <v>40</v>
      </c>
      <c r="M88" s="4" t="n">
        <v>40</v>
      </c>
      <c r="N88" s="4" t="n">
        <v>0</v>
      </c>
      <c r="O88" s="4" t="n">
        <v>12</v>
      </c>
      <c r="P88" s="4" t="n">
        <v>28</v>
      </c>
      <c r="Q88" s="4" t="n">
        <v>9</v>
      </c>
      <c r="R88" s="6" t="n">
        <f aca="false">IF(N(L88)=0,0,O88/L88)</f>
        <v>0.3</v>
      </c>
      <c r="S88" s="4" t="n">
        <f aca="false">IF(R88="","",IF(R88&gt;=0.8,50,IF(R88&gt;=0.5,30,IF(R88&gt;=0.01,10,0))))</f>
        <v>10</v>
      </c>
      <c r="T88" s="4" t="n">
        <f aca="false">IF(TRIM(AI88)="Yes",2.5,0)</f>
        <v>0</v>
      </c>
      <c r="U88" s="4" t="n">
        <f aca="false">IF(TRIM(AJ88)="Yes",10,0)</f>
        <v>0</v>
      </c>
      <c r="V88" s="4" t="n">
        <f aca="false">IF(TRIM(AK88)="Yes",5,0)</f>
        <v>5</v>
      </c>
      <c r="W88" s="4" t="n">
        <f aca="false">IF(TRIM(AM88)="Yes",5,0)</f>
        <v>5</v>
      </c>
      <c r="X88" s="4" t="n">
        <f aca="false">IF(OR(TRIM(AN88)="Fully Available",TRIM(AN88)="Not Applicable"),5,IF(TRIM(AN88)="Partially Available",2.5,0))</f>
        <v>5</v>
      </c>
      <c r="Y88" s="4" t="n">
        <f aca="false">IF(TRIM(AO88)="Yes",5,0)</f>
        <v>5</v>
      </c>
      <c r="Z88" s="4" t="n">
        <f aca="false">IF(TRIM(AP88)="Yes",2.5,0)</f>
        <v>2.5</v>
      </c>
      <c r="AA88" s="4" t="n">
        <f aca="false">IF(TRIM(AQ88)="Yes",5,0)</f>
        <v>5</v>
      </c>
      <c r="AB88" s="4" t="n">
        <f aca="false">IF(OR(TRIM(AR88)="Yes",TRIM(AR88)="Not Applicable"),5,0)</f>
        <v>5</v>
      </c>
      <c r="AC88" s="4" t="n">
        <f aca="false">IF(TRIM(AS88)="Excellent",5,IF(TRIM(AS88)="Very Good",4,IF(TRIM(AS88)="Good",3,IF(TRIM(AS88)="Average",2,0))))</f>
        <v>4</v>
      </c>
      <c r="AD88" s="7" t="n">
        <f aca="false">IF(COUNT(S88:AC88)=0,"",SUM(S88:AC88))</f>
        <v>46.5</v>
      </c>
      <c r="AE88" s="7"/>
      <c r="AF88" s="8"/>
      <c r="AG88" s="5"/>
      <c r="AH88" s="4"/>
      <c r="AI88" s="4" t="s">
        <v>82</v>
      </c>
      <c r="AJ88" s="4" t="s">
        <v>82</v>
      </c>
      <c r="AK88" s="4" t="s">
        <v>62</v>
      </c>
      <c r="AL88" s="4" t="s">
        <v>63</v>
      </c>
      <c r="AM88" s="4" t="s">
        <v>62</v>
      </c>
      <c r="AN88" s="4" t="s">
        <v>64</v>
      </c>
      <c r="AO88" s="4" t="s">
        <v>62</v>
      </c>
      <c r="AP88" s="4" t="s">
        <v>62</v>
      </c>
      <c r="AQ88" s="4" t="s">
        <v>62</v>
      </c>
      <c r="AR88" s="4" t="s">
        <v>73</v>
      </c>
      <c r="AS88" s="4" t="s">
        <v>74</v>
      </c>
      <c r="AT88" s="4" t="n">
        <v>3</v>
      </c>
      <c r="AU88" s="4" t="s">
        <v>112</v>
      </c>
      <c r="AV88" s="4" t="s">
        <v>288</v>
      </c>
      <c r="AW88" s="4" t="s">
        <v>347</v>
      </c>
      <c r="AX88" s="4" t="s">
        <v>348</v>
      </c>
      <c r="AY88" s="4" t="n">
        <v>2</v>
      </c>
      <c r="AZ88" s="4" t="s">
        <v>62</v>
      </c>
      <c r="BA88" s="4" t="s">
        <v>340</v>
      </c>
      <c r="BB88" s="4" t="s">
        <v>59</v>
      </c>
      <c r="BC88" s="6" t="n">
        <v>0.75</v>
      </c>
      <c r="BD88" s="4" t="n">
        <v>64</v>
      </c>
    </row>
    <row r="89" customFormat="false" ht="285.05" hidden="false" customHeight="false" outlineLevel="0" collapsed="false">
      <c r="A89" s="4" t="n">
        <v>33</v>
      </c>
      <c r="B89" s="4" t="s">
        <v>56</v>
      </c>
      <c r="C89" s="4" t="s">
        <v>57</v>
      </c>
      <c r="D89" s="4" t="s">
        <v>58</v>
      </c>
      <c r="E89" s="4" t="s">
        <v>59</v>
      </c>
      <c r="F89" s="4" t="n">
        <v>4436</v>
      </c>
      <c r="G89" s="5" t="s">
        <v>349</v>
      </c>
      <c r="H89" s="5" t="s">
        <v>177</v>
      </c>
      <c r="I89" s="4"/>
      <c r="J89" s="4"/>
      <c r="K89" s="4"/>
      <c r="L89" s="4" t="n">
        <v>20</v>
      </c>
      <c r="M89" s="4" t="n">
        <v>20</v>
      </c>
      <c r="N89" s="4" t="n">
        <v>0</v>
      </c>
      <c r="O89" s="4" t="n">
        <v>10</v>
      </c>
      <c r="P89" s="4" t="n">
        <v>10</v>
      </c>
      <c r="Q89" s="4" t="n">
        <v>5</v>
      </c>
      <c r="R89" s="6" t="n">
        <f aca="false">IF(N(L89)=0,0,O89/L89)</f>
        <v>0.5</v>
      </c>
      <c r="S89" s="4" t="n">
        <f aca="false">IF(R89="","",IF(R89&gt;=0.8,50,IF(R89&gt;=0.5,30,IF(R89&gt;=0.01,10,0))))</f>
        <v>30</v>
      </c>
      <c r="T89" s="4" t="n">
        <f aca="false">IF(TRIM(AI89)="Yes",2.5,0)</f>
        <v>0</v>
      </c>
      <c r="U89" s="4" t="n">
        <f aca="false">IF(TRIM(AJ89)="Yes",10,0)</f>
        <v>0</v>
      </c>
      <c r="V89" s="4" t="n">
        <f aca="false">IF(TRIM(AK89)="Yes",5,0)</f>
        <v>5</v>
      </c>
      <c r="W89" s="4" t="n">
        <f aca="false">IF(TRIM(AM89)="Yes",5,0)</f>
        <v>5</v>
      </c>
      <c r="X89" s="4" t="n">
        <f aca="false">IF(OR(TRIM(AN89)="Fully Available",TRIM(AN89)="Not Applicable"),5,IF(TRIM(AN89)="Partially Available",2.5,0))</f>
        <v>5</v>
      </c>
      <c r="Y89" s="4" t="n">
        <f aca="false">IF(TRIM(AO89)="Yes",5,0)</f>
        <v>5</v>
      </c>
      <c r="Z89" s="4" t="n">
        <f aca="false">IF(TRIM(AP89)="Yes",2.5,0)</f>
        <v>2.5</v>
      </c>
      <c r="AA89" s="4" t="n">
        <f aca="false">IF(TRIM(AQ89)="Yes",5,0)</f>
        <v>5</v>
      </c>
      <c r="AB89" s="4" t="n">
        <f aca="false">IF(OR(TRIM(AR89)="Yes",TRIM(AR89)="Not Applicable"),5,0)</f>
        <v>5</v>
      </c>
      <c r="AC89" s="4" t="n">
        <f aca="false">IF(TRIM(AS89)="Excellent",5,IF(TRIM(AS89)="Very Good",4,IF(TRIM(AS89)="Good",3,IF(TRIM(AS89)="Average",2,0))))</f>
        <v>4</v>
      </c>
      <c r="AD89" s="7" t="n">
        <f aca="false">IF(COUNT(S89:AC89)=0,"",SUM(S89:AC89))</f>
        <v>66.5</v>
      </c>
      <c r="AE89" s="7" t="n">
        <f aca="false">IF(COUNTIF($F$2:F89,F89)=1,IFERROR(AVERAGEIF($F:$F,F89,$AD:$AD),""),"")</f>
        <v>66.5</v>
      </c>
      <c r="AF89" s="8" t="str">
        <f aca="false">IF(AH89&lt;&gt;"",AH89,IF(AE89="","",IF(AE89&gt;=80,"Excellent",IF(AE89&gt;=70,"Very Good",IF(AE89&gt;=60,"Good",IF(AE89&gt;=50,"Average","Poor"))))))</f>
        <v>Good</v>
      </c>
      <c r="AG89" s="5"/>
      <c r="AH89" s="4"/>
      <c r="AI89" s="4" t="s">
        <v>82</v>
      </c>
      <c r="AJ89" s="4" t="s">
        <v>82</v>
      </c>
      <c r="AK89" s="4" t="s">
        <v>62</v>
      </c>
      <c r="AL89" s="4" t="s">
        <v>63</v>
      </c>
      <c r="AM89" s="4" t="s">
        <v>62</v>
      </c>
      <c r="AN89" s="4" t="s">
        <v>64</v>
      </c>
      <c r="AO89" s="4" t="s">
        <v>62</v>
      </c>
      <c r="AP89" s="4" t="s">
        <v>62</v>
      </c>
      <c r="AQ89" s="4" t="s">
        <v>62</v>
      </c>
      <c r="AR89" s="4" t="s">
        <v>73</v>
      </c>
      <c r="AS89" s="4" t="s">
        <v>74</v>
      </c>
      <c r="AT89" s="4" t="n">
        <v>8</v>
      </c>
      <c r="AU89" s="4" t="s">
        <v>66</v>
      </c>
      <c r="AV89" s="4" t="s">
        <v>350</v>
      </c>
      <c r="AW89" s="4" t="s">
        <v>351</v>
      </c>
      <c r="AX89" s="4" t="s">
        <v>352</v>
      </c>
      <c r="AY89" s="4" t="n">
        <v>5</v>
      </c>
      <c r="AZ89" s="4" t="s">
        <v>62</v>
      </c>
      <c r="BA89" s="4" t="s">
        <v>353</v>
      </c>
      <c r="BB89" s="4" t="s">
        <v>59</v>
      </c>
      <c r="BC89" s="6" t="n">
        <v>0.5</v>
      </c>
      <c r="BD89" s="4" t="n">
        <v>70</v>
      </c>
    </row>
    <row r="90" customFormat="false" ht="285.05" hidden="false" customHeight="false" outlineLevel="0" collapsed="false">
      <c r="A90" s="4"/>
      <c r="B90" s="4" t="s">
        <v>56</v>
      </c>
      <c r="C90" s="4" t="s">
        <v>57</v>
      </c>
      <c r="D90" s="4" t="s">
        <v>58</v>
      </c>
      <c r="E90" s="4" t="s">
        <v>59</v>
      </c>
      <c r="F90" s="4" t="n">
        <v>4436</v>
      </c>
      <c r="G90" s="5" t="s">
        <v>349</v>
      </c>
      <c r="H90" s="5" t="s">
        <v>90</v>
      </c>
      <c r="I90" s="4"/>
      <c r="J90" s="4"/>
      <c r="K90" s="4"/>
      <c r="L90" s="4" t="n">
        <v>20</v>
      </c>
      <c r="M90" s="4" t="n">
        <v>20</v>
      </c>
      <c r="N90" s="4" t="n">
        <v>0</v>
      </c>
      <c r="O90" s="4" t="n">
        <v>13</v>
      </c>
      <c r="P90" s="4" t="n">
        <v>7</v>
      </c>
      <c r="Q90" s="4" t="n">
        <v>8</v>
      </c>
      <c r="R90" s="6" t="n">
        <f aca="false">IF(N(L90)=0,0,O90/L90)</f>
        <v>0.65</v>
      </c>
      <c r="S90" s="4" t="n">
        <f aca="false">IF(R90="","",IF(R90&gt;=0.8,50,IF(R90&gt;=0.5,30,IF(R90&gt;=0.01,10,0))))</f>
        <v>30</v>
      </c>
      <c r="T90" s="4" t="n">
        <f aca="false">IF(TRIM(AI90)="Yes",2.5,0)</f>
        <v>0</v>
      </c>
      <c r="U90" s="4" t="n">
        <f aca="false">IF(TRIM(AJ90)="Yes",10,0)</f>
        <v>0</v>
      </c>
      <c r="V90" s="4" t="n">
        <f aca="false">IF(TRIM(AK90)="Yes",5,0)</f>
        <v>5</v>
      </c>
      <c r="W90" s="4" t="n">
        <f aca="false">IF(TRIM(AM90)="Yes",5,0)</f>
        <v>5</v>
      </c>
      <c r="X90" s="4" t="n">
        <f aca="false">IF(OR(TRIM(AN90)="Fully Available",TRIM(AN90)="Not Applicable"),5,IF(TRIM(AN90)="Partially Available",2.5,0))</f>
        <v>5</v>
      </c>
      <c r="Y90" s="4" t="n">
        <f aca="false">IF(TRIM(AO90)="Yes",5,0)</f>
        <v>5</v>
      </c>
      <c r="Z90" s="4" t="n">
        <f aca="false">IF(TRIM(AP90)="Yes",2.5,0)</f>
        <v>2.5</v>
      </c>
      <c r="AA90" s="4" t="n">
        <f aca="false">IF(TRIM(AQ90)="Yes",5,0)</f>
        <v>5</v>
      </c>
      <c r="AB90" s="4" t="n">
        <f aca="false">IF(OR(TRIM(AR90)="Yes",TRIM(AR90)="Not Applicable"),5,0)</f>
        <v>5</v>
      </c>
      <c r="AC90" s="4" t="n">
        <f aca="false">IF(TRIM(AS90)="Excellent",5,IF(TRIM(AS90)="Very Good",4,IF(TRIM(AS90)="Good",3,IF(TRIM(AS90)="Average",2,0))))</f>
        <v>4</v>
      </c>
      <c r="AD90" s="7" t="n">
        <f aca="false">IF(COUNT(S90:AC90)=0,"",SUM(S90:AC90))</f>
        <v>66.5</v>
      </c>
      <c r="AE90" s="7"/>
      <c r="AF90" s="8"/>
      <c r="AG90" s="5"/>
      <c r="AH90" s="4"/>
      <c r="AI90" s="4" t="s">
        <v>82</v>
      </c>
      <c r="AJ90" s="4" t="s">
        <v>82</v>
      </c>
      <c r="AK90" s="4" t="s">
        <v>62</v>
      </c>
      <c r="AL90" s="4" t="s">
        <v>63</v>
      </c>
      <c r="AM90" s="4" t="s">
        <v>62</v>
      </c>
      <c r="AN90" s="4" t="s">
        <v>64</v>
      </c>
      <c r="AO90" s="4" t="s">
        <v>62</v>
      </c>
      <c r="AP90" s="4" t="s">
        <v>62</v>
      </c>
      <c r="AQ90" s="4" t="s">
        <v>62</v>
      </c>
      <c r="AR90" s="4" t="s">
        <v>73</v>
      </c>
      <c r="AS90" s="4" t="s">
        <v>74</v>
      </c>
      <c r="AT90" s="4" t="n">
        <v>5</v>
      </c>
      <c r="AU90" s="4" t="s">
        <v>66</v>
      </c>
      <c r="AV90" s="4" t="s">
        <v>350</v>
      </c>
      <c r="AW90" s="4" t="s">
        <v>354</v>
      </c>
      <c r="AX90" s="4" t="s">
        <v>355</v>
      </c>
      <c r="AY90" s="4" t="n">
        <v>5</v>
      </c>
      <c r="AZ90" s="4" t="s">
        <v>62</v>
      </c>
      <c r="BA90" s="4" t="s">
        <v>353</v>
      </c>
      <c r="BB90" s="4" t="s">
        <v>59</v>
      </c>
      <c r="BC90" s="6" t="n">
        <v>0.6154</v>
      </c>
      <c r="BD90" s="4" t="n">
        <v>70</v>
      </c>
    </row>
    <row r="91" customFormat="false" ht="157.45" hidden="false" customHeight="false" outlineLevel="0" collapsed="false">
      <c r="A91" s="4" t="n">
        <v>34</v>
      </c>
      <c r="B91" s="4" t="s">
        <v>56</v>
      </c>
      <c r="C91" s="4" t="s">
        <v>57</v>
      </c>
      <c r="D91" s="4" t="s">
        <v>58</v>
      </c>
      <c r="E91" s="4" t="s">
        <v>59</v>
      </c>
      <c r="F91" s="4" t="n">
        <v>2775</v>
      </c>
      <c r="G91" s="5" t="s">
        <v>356</v>
      </c>
      <c r="H91" s="5" t="s">
        <v>190</v>
      </c>
      <c r="I91" s="4"/>
      <c r="J91" s="4"/>
      <c r="K91" s="4"/>
      <c r="L91" s="4" t="n">
        <v>20</v>
      </c>
      <c r="M91" s="4" t="n">
        <v>20</v>
      </c>
      <c r="N91" s="4" t="n">
        <v>0</v>
      </c>
      <c r="O91" s="4" t="n">
        <v>8</v>
      </c>
      <c r="P91" s="4" t="n">
        <v>12</v>
      </c>
      <c r="Q91" s="4" t="n">
        <v>4</v>
      </c>
      <c r="R91" s="6" t="n">
        <f aca="false">IF(N(L91)=0,0,O91/L91)</f>
        <v>0.4</v>
      </c>
      <c r="S91" s="4" t="n">
        <f aca="false">IF(R91="","",IF(R91&gt;=0.8,50,IF(R91&gt;=0.5,30,IF(R91&gt;=0.01,10,0))))</f>
        <v>10</v>
      </c>
      <c r="T91" s="4" t="n">
        <f aca="false">IF(TRIM(AI91)="Yes",2.5,0)</f>
        <v>0</v>
      </c>
      <c r="U91" s="4" t="n">
        <f aca="false">IF(TRIM(AJ91)="Yes",10,0)</f>
        <v>10</v>
      </c>
      <c r="V91" s="4" t="n">
        <f aca="false">IF(TRIM(AK91)="Yes",5,0)</f>
        <v>5</v>
      </c>
      <c r="W91" s="4" t="n">
        <f aca="false">IF(TRIM(AM91)="Yes",5,0)</f>
        <v>5</v>
      </c>
      <c r="X91" s="4" t="n">
        <f aca="false">IF(OR(TRIM(AN91)="Fully Available",TRIM(AN91)="Not Applicable"),5,IF(TRIM(AN91)="Partially Available",2.5,0))</f>
        <v>5</v>
      </c>
      <c r="Y91" s="4" t="n">
        <f aca="false">IF(TRIM(AO91)="Yes",5,0)</f>
        <v>0</v>
      </c>
      <c r="Z91" s="4" t="n">
        <f aca="false">IF(TRIM(AP91)="Yes",2.5,0)</f>
        <v>0</v>
      </c>
      <c r="AA91" s="4" t="n">
        <f aca="false">IF(TRIM(AQ91)="Yes",5,0)</f>
        <v>5</v>
      </c>
      <c r="AB91" s="4" t="n">
        <f aca="false">IF(OR(TRIM(AR91)="Yes",TRIM(AR91)="Not Applicable"),5,0)</f>
        <v>5</v>
      </c>
      <c r="AC91" s="4" t="n">
        <f aca="false">IF(TRIM(AS91)="Excellent",5,IF(TRIM(AS91)="Very Good",4,IF(TRIM(AS91)="Good",3,IF(TRIM(AS91)="Average",2,0))))</f>
        <v>3</v>
      </c>
      <c r="AD91" s="7" t="n">
        <f aca="false">IF(COUNT(S91:AC91)=0,"",SUM(S91:AC91))</f>
        <v>48</v>
      </c>
      <c r="AE91" s="7" t="n">
        <f aca="false">IF(COUNTIF($F$2:F91,F91)=1,IFERROR(AVERAGEIF($F:$F,F91,$AD:$AD),""),"")</f>
        <v>48</v>
      </c>
      <c r="AF91" s="8" t="str">
        <f aca="false">IF(AH91&lt;&gt;"",AH91,IF(AE91="","",IF(AE91&gt;=80,"Excellent",IF(AE91&gt;=70,"Very Good",IF(AE91&gt;=60,"Good",IF(AE91&gt;=50,"Average","Poor"))))))</f>
        <v>Poor</v>
      </c>
      <c r="AG91" s="5"/>
      <c r="AH91" s="4"/>
      <c r="AI91" s="4" t="s">
        <v>82</v>
      </c>
      <c r="AJ91" s="4" t="s">
        <v>62</v>
      </c>
      <c r="AK91" s="4" t="s">
        <v>62</v>
      </c>
      <c r="AL91" s="4" t="s">
        <v>63</v>
      </c>
      <c r="AM91" s="4" t="s">
        <v>62</v>
      </c>
      <c r="AN91" s="4" t="s">
        <v>64</v>
      </c>
      <c r="AO91" s="4" t="s">
        <v>82</v>
      </c>
      <c r="AP91" s="4" t="s">
        <v>82</v>
      </c>
      <c r="AQ91" s="4" t="s">
        <v>62</v>
      </c>
      <c r="AR91" s="4" t="s">
        <v>62</v>
      </c>
      <c r="AS91" s="4" t="s">
        <v>185</v>
      </c>
      <c r="AT91" s="4" t="n">
        <v>6</v>
      </c>
      <c r="AU91" s="4" t="s">
        <v>66</v>
      </c>
      <c r="AV91" s="4" t="s">
        <v>350</v>
      </c>
      <c r="AW91" s="4" t="s">
        <v>357</v>
      </c>
      <c r="AX91" s="4" t="s">
        <v>358</v>
      </c>
      <c r="AY91" s="4" t="n">
        <v>3</v>
      </c>
      <c r="AZ91" s="4" t="s">
        <v>62</v>
      </c>
      <c r="BA91" s="4" t="s">
        <v>359</v>
      </c>
      <c r="BB91" s="4" t="s">
        <v>59</v>
      </c>
      <c r="BC91" s="6" t="n">
        <v>0.5</v>
      </c>
      <c r="BD91" s="4" t="n">
        <v>72</v>
      </c>
    </row>
    <row r="92" customFormat="false" ht="185.8" hidden="false" customHeight="false" outlineLevel="0" collapsed="false">
      <c r="A92" s="4" t="n">
        <v>35</v>
      </c>
      <c r="B92" s="4" t="s">
        <v>56</v>
      </c>
      <c r="C92" s="4" t="s">
        <v>57</v>
      </c>
      <c r="D92" s="4" t="s">
        <v>58</v>
      </c>
      <c r="E92" s="4" t="s">
        <v>59</v>
      </c>
      <c r="F92" s="4" t="n">
        <v>3682</v>
      </c>
      <c r="G92" s="5" t="s">
        <v>360</v>
      </c>
      <c r="H92" s="5" t="s">
        <v>78</v>
      </c>
      <c r="I92" s="4"/>
      <c r="J92" s="4"/>
      <c r="K92" s="4"/>
      <c r="L92" s="4" t="n">
        <v>60</v>
      </c>
      <c r="M92" s="4" t="n">
        <v>60</v>
      </c>
      <c r="N92" s="4" t="n">
        <v>0</v>
      </c>
      <c r="O92" s="4" t="n">
        <v>37</v>
      </c>
      <c r="P92" s="4" t="n">
        <v>23</v>
      </c>
      <c r="Q92" s="4" t="n">
        <v>18</v>
      </c>
      <c r="R92" s="6" t="n">
        <f aca="false">IF(N(L92)=0,0,O92/L92)</f>
        <v>0.616666666666667</v>
      </c>
      <c r="S92" s="4" t="n">
        <f aca="false">IF(R92="","",IF(R92&gt;=0.8,50,IF(R92&gt;=0.5,30,IF(R92&gt;=0.01,10,0))))</f>
        <v>30</v>
      </c>
      <c r="T92" s="4" t="n">
        <f aca="false">IF(TRIM(AI92)="Yes",2.5,0)</f>
        <v>2.5</v>
      </c>
      <c r="U92" s="4" t="n">
        <f aca="false">IF(TRIM(AJ92)="Yes",10,0)</f>
        <v>10</v>
      </c>
      <c r="V92" s="4" t="n">
        <f aca="false">IF(TRIM(AK92)="Yes",5,0)</f>
        <v>5</v>
      </c>
      <c r="W92" s="4" t="n">
        <f aca="false">IF(TRIM(AM92)="Yes",5,0)</f>
        <v>5</v>
      </c>
      <c r="X92" s="4" t="n">
        <f aca="false">IF(OR(TRIM(AN92)="Fully Available",TRIM(AN92)="Not Applicable"),5,IF(TRIM(AN92)="Partially Available",2.5,0))</f>
        <v>5</v>
      </c>
      <c r="Y92" s="4" t="n">
        <f aca="false">IF(TRIM(AO92)="Yes",5,0)</f>
        <v>5</v>
      </c>
      <c r="Z92" s="4" t="n">
        <f aca="false">IF(TRIM(AP92)="Yes",2.5,0)</f>
        <v>2.5</v>
      </c>
      <c r="AA92" s="4" t="n">
        <f aca="false">IF(TRIM(AQ92)="Yes",5,0)</f>
        <v>5</v>
      </c>
      <c r="AB92" s="4" t="n">
        <f aca="false">IF(OR(TRIM(AR92)="Yes",TRIM(AR92)="Not Applicable"),5,0)</f>
        <v>5</v>
      </c>
      <c r="AC92" s="4" t="n">
        <f aca="false">IF(TRIM(AS92)="Excellent",5,IF(TRIM(AS92)="Very Good",4,IF(TRIM(AS92)="Good",3,IF(TRIM(AS92)="Average",2,0))))</f>
        <v>5</v>
      </c>
      <c r="AD92" s="7" t="n">
        <f aca="false">IF(COUNT(S92:AC92)=0,"",SUM(S92:AC92))</f>
        <v>80</v>
      </c>
      <c r="AE92" s="7" t="n">
        <f aca="false">IF(COUNTIF($F$2:F92,F92)=1,IFERROR(AVERAGEIF($F:$F,F92,$AD:$AD),""),"")</f>
        <v>90</v>
      </c>
      <c r="AF92" s="8" t="str">
        <f aca="false">IF(AH92&lt;&gt;"",AH92,IF(AE92="","",IF(AE92&gt;=80,"Excellent",IF(AE92&gt;=70,"Very Good",IF(AE92&gt;=60,"Good",IF(AE92&gt;=50,"Average","Poor"))))))</f>
        <v>Excellent</v>
      </c>
      <c r="AG92" s="5"/>
      <c r="AH92" s="4"/>
      <c r="AI92" s="4" t="s">
        <v>62</v>
      </c>
      <c r="AJ92" s="4" t="s">
        <v>62</v>
      </c>
      <c r="AK92" s="4" t="s">
        <v>62</v>
      </c>
      <c r="AL92" s="4" t="s">
        <v>63</v>
      </c>
      <c r="AM92" s="4" t="s">
        <v>62</v>
      </c>
      <c r="AN92" s="4" t="s">
        <v>64</v>
      </c>
      <c r="AO92" s="4" t="s">
        <v>62</v>
      </c>
      <c r="AP92" s="4" t="s">
        <v>62</v>
      </c>
      <c r="AQ92" s="4" t="s">
        <v>62</v>
      </c>
      <c r="AR92" s="4" t="s">
        <v>62</v>
      </c>
      <c r="AS92" s="4" t="s">
        <v>65</v>
      </c>
      <c r="AT92" s="4" t="n">
        <v>51</v>
      </c>
      <c r="AU92" s="4" t="s">
        <v>66</v>
      </c>
      <c r="AV92" s="4" t="s">
        <v>350</v>
      </c>
      <c r="AW92" s="4" t="s">
        <v>361</v>
      </c>
      <c r="AX92" s="4" t="s">
        <v>362</v>
      </c>
      <c r="AY92" s="4" t="n">
        <v>5</v>
      </c>
      <c r="AZ92" s="4" t="s">
        <v>62</v>
      </c>
      <c r="BA92" s="4" t="s">
        <v>363</v>
      </c>
      <c r="BB92" s="4" t="s">
        <v>59</v>
      </c>
      <c r="BC92" s="6" t="n">
        <v>0.4865</v>
      </c>
      <c r="BD92" s="4" t="n">
        <v>92</v>
      </c>
    </row>
    <row r="93" customFormat="false" ht="185.8" hidden="false" customHeight="false" outlineLevel="0" collapsed="false">
      <c r="A93" s="4"/>
      <c r="B93" s="4" t="s">
        <v>56</v>
      </c>
      <c r="C93" s="4" t="s">
        <v>57</v>
      </c>
      <c r="D93" s="4" t="s">
        <v>58</v>
      </c>
      <c r="E93" s="4" t="s">
        <v>59</v>
      </c>
      <c r="F93" s="4" t="n">
        <v>3682</v>
      </c>
      <c r="G93" s="5" t="s">
        <v>360</v>
      </c>
      <c r="H93" s="5" t="s">
        <v>238</v>
      </c>
      <c r="I93" s="4"/>
      <c r="J93" s="4"/>
      <c r="K93" s="4"/>
      <c r="L93" s="4" t="n">
        <v>40</v>
      </c>
      <c r="M93" s="4" t="n">
        <v>40</v>
      </c>
      <c r="N93" s="4" t="n">
        <v>0</v>
      </c>
      <c r="O93" s="4" t="n">
        <v>35</v>
      </c>
      <c r="P93" s="4" t="n">
        <v>5</v>
      </c>
      <c r="Q93" s="4" t="n">
        <v>10</v>
      </c>
      <c r="R93" s="6" t="n">
        <f aca="false">IF(N(L93)=0,0,O93/L93)</f>
        <v>0.875</v>
      </c>
      <c r="S93" s="4" t="n">
        <f aca="false">IF(R93="","",IF(R93&gt;=0.8,50,IF(R93&gt;=0.5,30,IF(R93&gt;=0.01,10,0))))</f>
        <v>50</v>
      </c>
      <c r="T93" s="4" t="n">
        <f aca="false">IF(TRIM(AI93)="Yes",2.5,0)</f>
        <v>2.5</v>
      </c>
      <c r="U93" s="4" t="n">
        <f aca="false">IF(TRIM(AJ93)="Yes",10,0)</f>
        <v>10</v>
      </c>
      <c r="V93" s="4" t="n">
        <f aca="false">IF(TRIM(AK93)="Yes",5,0)</f>
        <v>5</v>
      </c>
      <c r="W93" s="4" t="n">
        <f aca="false">IF(TRIM(AM93)="Yes",5,0)</f>
        <v>5</v>
      </c>
      <c r="X93" s="4" t="n">
        <f aca="false">IF(OR(TRIM(AN93)="Fully Available",TRIM(AN93)="Not Applicable"),5,IF(TRIM(AN93)="Partially Available",2.5,0))</f>
        <v>5</v>
      </c>
      <c r="Y93" s="4" t="n">
        <f aca="false">IF(TRIM(AO93)="Yes",5,0)</f>
        <v>5</v>
      </c>
      <c r="Z93" s="4" t="n">
        <f aca="false">IF(TRIM(AP93)="Yes",2.5,0)</f>
        <v>2.5</v>
      </c>
      <c r="AA93" s="4" t="n">
        <f aca="false">IF(TRIM(AQ93)="Yes",5,0)</f>
        <v>5</v>
      </c>
      <c r="AB93" s="4" t="n">
        <f aca="false">IF(OR(TRIM(AR93)="Yes",TRIM(AR93)="Not Applicable"),5,0)</f>
        <v>5</v>
      </c>
      <c r="AC93" s="4" t="n">
        <f aca="false">IF(TRIM(AS93)="Excellent",5,IF(TRIM(AS93)="Very Good",4,IF(TRIM(AS93)="Good",3,IF(TRIM(AS93)="Average",2,0))))</f>
        <v>5</v>
      </c>
      <c r="AD93" s="7" t="n">
        <f aca="false">IF(COUNT(S93:AC93)=0,"",SUM(S93:AC93))</f>
        <v>100</v>
      </c>
      <c r="AE93" s="7"/>
      <c r="AF93" s="8"/>
      <c r="AG93" s="5"/>
      <c r="AH93" s="4"/>
      <c r="AI93" s="4" t="s">
        <v>62</v>
      </c>
      <c r="AJ93" s="4" t="s">
        <v>62</v>
      </c>
      <c r="AK93" s="4" t="s">
        <v>62</v>
      </c>
      <c r="AL93" s="4" t="s">
        <v>63</v>
      </c>
      <c r="AM93" s="4" t="s">
        <v>62</v>
      </c>
      <c r="AN93" s="4" t="s">
        <v>64</v>
      </c>
      <c r="AO93" s="4" t="s">
        <v>62</v>
      </c>
      <c r="AP93" s="4" t="s">
        <v>62</v>
      </c>
      <c r="AQ93" s="4" t="s">
        <v>62</v>
      </c>
      <c r="AR93" s="4" t="s">
        <v>62</v>
      </c>
      <c r="AS93" s="4" t="s">
        <v>65</v>
      </c>
      <c r="AT93" s="4" t="n">
        <v>2</v>
      </c>
      <c r="AU93" s="4" t="s">
        <v>66</v>
      </c>
      <c r="AV93" s="4" t="s">
        <v>350</v>
      </c>
      <c r="AW93" s="4" t="s">
        <v>364</v>
      </c>
      <c r="AX93" s="4" t="s">
        <v>365</v>
      </c>
      <c r="AY93" s="4" t="n">
        <v>7</v>
      </c>
      <c r="AZ93" s="4" t="s">
        <v>62</v>
      </c>
      <c r="BA93" s="4" t="s">
        <v>363</v>
      </c>
      <c r="BB93" s="4" t="s">
        <v>59</v>
      </c>
      <c r="BC93" s="6" t="n">
        <v>0.2857</v>
      </c>
      <c r="BD93" s="4" t="n">
        <v>92</v>
      </c>
    </row>
    <row r="94" customFormat="false" ht="313.4" hidden="false" customHeight="false" outlineLevel="0" collapsed="false">
      <c r="A94" s="4" t="n">
        <v>36</v>
      </c>
      <c r="B94" s="4" t="s">
        <v>56</v>
      </c>
      <c r="C94" s="4" t="s">
        <v>57</v>
      </c>
      <c r="D94" s="4" t="s">
        <v>58</v>
      </c>
      <c r="E94" s="4" t="s">
        <v>59</v>
      </c>
      <c r="F94" s="4" t="n">
        <v>950</v>
      </c>
      <c r="G94" s="5" t="s">
        <v>366</v>
      </c>
      <c r="H94" s="5" t="s">
        <v>108</v>
      </c>
      <c r="I94" s="4"/>
      <c r="J94" s="4"/>
      <c r="K94" s="4"/>
      <c r="L94" s="4" t="n">
        <v>20</v>
      </c>
      <c r="M94" s="4" t="n">
        <v>20</v>
      </c>
      <c r="N94" s="4" t="n">
        <v>0</v>
      </c>
      <c r="O94" s="4" t="n">
        <v>19</v>
      </c>
      <c r="P94" s="4" t="n">
        <v>1</v>
      </c>
      <c r="Q94" s="4" t="n">
        <v>8</v>
      </c>
      <c r="R94" s="6" t="n">
        <f aca="false">IF(N(L94)=0,0,O94/L94)</f>
        <v>0.95</v>
      </c>
      <c r="S94" s="4" t="n">
        <f aca="false">IF(R94="","",IF(R94&gt;=0.8,50,IF(R94&gt;=0.5,30,IF(R94&gt;=0.01,10,0))))</f>
        <v>50</v>
      </c>
      <c r="T94" s="4" t="n">
        <f aca="false">IF(TRIM(AI94)="Yes",2.5,0)</f>
        <v>0</v>
      </c>
      <c r="U94" s="4" t="n">
        <f aca="false">IF(TRIM(AJ94)="Yes",10,0)</f>
        <v>10</v>
      </c>
      <c r="V94" s="4" t="n">
        <f aca="false">IF(TRIM(AK94)="Yes",5,0)</f>
        <v>5</v>
      </c>
      <c r="W94" s="4" t="n">
        <f aca="false">IF(TRIM(AM94)="Yes",5,0)</f>
        <v>5</v>
      </c>
      <c r="X94" s="4" t="n">
        <f aca="false">IF(OR(TRIM(AN94)="Fully Available",TRIM(AN94)="Not Applicable"),5,IF(TRIM(AN94)="Partially Available",2.5,0))</f>
        <v>5</v>
      </c>
      <c r="Y94" s="4" t="n">
        <f aca="false">IF(TRIM(AO94)="Yes",5,0)</f>
        <v>5</v>
      </c>
      <c r="Z94" s="4" t="n">
        <f aca="false">IF(TRIM(AP94)="Yes",2.5,0)</f>
        <v>2.5</v>
      </c>
      <c r="AA94" s="4" t="n">
        <f aca="false">IF(TRIM(AQ94)="Yes",5,0)</f>
        <v>5</v>
      </c>
      <c r="AB94" s="4" t="n">
        <f aca="false">IF(OR(TRIM(AR94)="Yes",TRIM(AR94)="Not Applicable"),5,0)</f>
        <v>5</v>
      </c>
      <c r="AC94" s="4" t="n">
        <f aca="false">IF(TRIM(AS94)="Excellent",5,IF(TRIM(AS94)="Very Good",4,IF(TRIM(AS94)="Good",3,IF(TRIM(AS94)="Average",2,0))))</f>
        <v>4</v>
      </c>
      <c r="AD94" s="7" t="n">
        <f aca="false">IF(COUNT(S94:AC94)=0,"",SUM(S94:AC94))</f>
        <v>96.5</v>
      </c>
      <c r="AE94" s="7" t="n">
        <f aca="false">IF(COUNTIF($F$2:F94,F94)=1,IFERROR(AVERAGEIF($F:$F,F94,$AD:$AD),""),"")</f>
        <v>96.5</v>
      </c>
      <c r="AF94" s="8" t="str">
        <f aca="false">IF(AH94&lt;&gt;"",AH94,IF(AE94="","",IF(AE94&gt;=80,"Excellent",IF(AE94&gt;=70,"Very Good",IF(AE94&gt;=60,"Good",IF(AE94&gt;=50,"Average","Poor"))))))</f>
        <v>Excellent</v>
      </c>
      <c r="AG94" s="5"/>
      <c r="AH94" s="4"/>
      <c r="AI94" s="4" t="s">
        <v>82</v>
      </c>
      <c r="AJ94" s="4" t="s">
        <v>62</v>
      </c>
      <c r="AK94" s="4" t="s">
        <v>62</v>
      </c>
      <c r="AL94" s="4" t="s">
        <v>63</v>
      </c>
      <c r="AM94" s="4" t="s">
        <v>62</v>
      </c>
      <c r="AN94" s="4" t="s">
        <v>64</v>
      </c>
      <c r="AO94" s="4" t="s">
        <v>62</v>
      </c>
      <c r="AP94" s="4" t="s">
        <v>62</v>
      </c>
      <c r="AQ94" s="4" t="s">
        <v>62</v>
      </c>
      <c r="AR94" s="4" t="s">
        <v>73</v>
      </c>
      <c r="AS94" s="4" t="s">
        <v>74</v>
      </c>
      <c r="AT94" s="4" t="n">
        <v>3</v>
      </c>
      <c r="AU94" s="4" t="s">
        <v>66</v>
      </c>
      <c r="AV94" s="4" t="s">
        <v>350</v>
      </c>
      <c r="AW94" s="4" t="s">
        <v>367</v>
      </c>
      <c r="AX94" s="4" t="s">
        <v>368</v>
      </c>
      <c r="AY94" s="4" t="n">
        <v>1</v>
      </c>
      <c r="AZ94" s="4" t="s">
        <v>62</v>
      </c>
      <c r="BA94" s="4" t="s">
        <v>369</v>
      </c>
      <c r="BB94" s="4" t="s">
        <v>59</v>
      </c>
      <c r="BC94" s="6" t="n">
        <v>0.4211</v>
      </c>
      <c r="BD94" s="4" t="n">
        <v>93</v>
      </c>
    </row>
    <row r="95" customFormat="false" ht="313.4" hidden="false" customHeight="false" outlineLevel="0" collapsed="false">
      <c r="A95" s="4"/>
      <c r="B95" s="4" t="s">
        <v>56</v>
      </c>
      <c r="C95" s="4" t="s">
        <v>57</v>
      </c>
      <c r="D95" s="4" t="s">
        <v>58</v>
      </c>
      <c r="E95" s="4" t="s">
        <v>59</v>
      </c>
      <c r="F95" s="4" t="n">
        <v>950</v>
      </c>
      <c r="G95" s="5" t="s">
        <v>366</v>
      </c>
      <c r="H95" s="5" t="s">
        <v>370</v>
      </c>
      <c r="I95" s="4"/>
      <c r="J95" s="4"/>
      <c r="K95" s="4"/>
      <c r="L95" s="4" t="n">
        <v>100</v>
      </c>
      <c r="M95" s="4" t="n">
        <v>100</v>
      </c>
      <c r="N95" s="4" t="n">
        <v>0</v>
      </c>
      <c r="O95" s="4" t="n">
        <v>84</v>
      </c>
      <c r="P95" s="4" t="n">
        <v>16</v>
      </c>
      <c r="Q95" s="4" t="n">
        <v>25</v>
      </c>
      <c r="R95" s="6" t="n">
        <f aca="false">IF(N(L95)=0,0,O95/L95)</f>
        <v>0.84</v>
      </c>
      <c r="S95" s="4" t="n">
        <f aca="false">IF(R95="","",IF(R95&gt;=0.8,50,IF(R95&gt;=0.5,30,IF(R95&gt;=0.01,10,0))))</f>
        <v>50</v>
      </c>
      <c r="T95" s="4" t="n">
        <f aca="false">IF(TRIM(AI95)="Yes",2.5,0)</f>
        <v>0</v>
      </c>
      <c r="U95" s="4" t="n">
        <f aca="false">IF(TRIM(AJ95)="Yes",10,0)</f>
        <v>10</v>
      </c>
      <c r="V95" s="4" t="n">
        <f aca="false">IF(TRIM(AK95)="Yes",5,0)</f>
        <v>5</v>
      </c>
      <c r="W95" s="4" t="n">
        <f aca="false">IF(TRIM(AM95)="Yes",5,0)</f>
        <v>5</v>
      </c>
      <c r="X95" s="4" t="n">
        <f aca="false">IF(OR(TRIM(AN95)="Fully Available",TRIM(AN95)="Not Applicable"),5,IF(TRIM(AN95)="Partially Available",2.5,0))</f>
        <v>5</v>
      </c>
      <c r="Y95" s="4" t="n">
        <f aca="false">IF(TRIM(AO95)="Yes",5,0)</f>
        <v>5</v>
      </c>
      <c r="Z95" s="4" t="n">
        <f aca="false">IF(TRIM(AP95)="Yes",2.5,0)</f>
        <v>2.5</v>
      </c>
      <c r="AA95" s="4" t="n">
        <f aca="false">IF(TRIM(AQ95)="Yes",5,0)</f>
        <v>5</v>
      </c>
      <c r="AB95" s="4" t="n">
        <f aca="false">IF(OR(TRIM(AR95)="Yes",TRIM(AR95)="Not Applicable"),5,0)</f>
        <v>5</v>
      </c>
      <c r="AC95" s="4" t="n">
        <f aca="false">IF(TRIM(AS95)="Excellent",5,IF(TRIM(AS95)="Very Good",4,IF(TRIM(AS95)="Good",3,IF(TRIM(AS95)="Average",2,0))))</f>
        <v>4</v>
      </c>
      <c r="AD95" s="7" t="n">
        <f aca="false">IF(COUNT(S95:AC95)=0,"",SUM(S95:AC95))</f>
        <v>96.5</v>
      </c>
      <c r="AE95" s="7"/>
      <c r="AF95" s="8"/>
      <c r="AG95" s="5"/>
      <c r="AH95" s="4"/>
      <c r="AI95" s="4" t="s">
        <v>82</v>
      </c>
      <c r="AJ95" s="4" t="s">
        <v>62</v>
      </c>
      <c r="AK95" s="4" t="s">
        <v>62</v>
      </c>
      <c r="AL95" s="4" t="s">
        <v>63</v>
      </c>
      <c r="AM95" s="4" t="s">
        <v>62</v>
      </c>
      <c r="AN95" s="4" t="s">
        <v>64</v>
      </c>
      <c r="AO95" s="4" t="s">
        <v>62</v>
      </c>
      <c r="AP95" s="4" t="s">
        <v>62</v>
      </c>
      <c r="AQ95" s="4" t="s">
        <v>62</v>
      </c>
      <c r="AR95" s="4" t="s">
        <v>73</v>
      </c>
      <c r="AS95" s="4" t="s">
        <v>74</v>
      </c>
      <c r="AT95" s="4" t="n">
        <v>8</v>
      </c>
      <c r="AU95" s="4" t="s">
        <v>66</v>
      </c>
      <c r="AV95" s="4" t="s">
        <v>350</v>
      </c>
      <c r="AW95" s="4" t="s">
        <v>371</v>
      </c>
      <c r="AX95" s="4" t="s">
        <v>188</v>
      </c>
      <c r="AY95" s="4" t="n">
        <v>7</v>
      </c>
      <c r="AZ95" s="4" t="s">
        <v>62</v>
      </c>
      <c r="BA95" s="4" t="s">
        <v>369</v>
      </c>
      <c r="BB95" s="4" t="s">
        <v>59</v>
      </c>
      <c r="BC95" s="6" t="n">
        <v>0.2976</v>
      </c>
      <c r="BD95" s="4" t="n">
        <v>93</v>
      </c>
    </row>
    <row r="96" customFormat="false" ht="313.4" hidden="false" customHeight="false" outlineLevel="0" collapsed="false">
      <c r="A96" s="4"/>
      <c r="B96" s="4" t="s">
        <v>56</v>
      </c>
      <c r="C96" s="4" t="s">
        <v>57</v>
      </c>
      <c r="D96" s="4" t="s">
        <v>58</v>
      </c>
      <c r="E96" s="4" t="s">
        <v>59</v>
      </c>
      <c r="F96" s="4" t="n">
        <v>950</v>
      </c>
      <c r="G96" s="5" t="s">
        <v>366</v>
      </c>
      <c r="H96" s="5" t="s">
        <v>121</v>
      </c>
      <c r="I96" s="4"/>
      <c r="J96" s="4"/>
      <c r="K96" s="4"/>
      <c r="L96" s="4" t="n">
        <v>60</v>
      </c>
      <c r="M96" s="4" t="n">
        <v>60</v>
      </c>
      <c r="N96" s="4" t="n">
        <v>0</v>
      </c>
      <c r="O96" s="4" t="n">
        <v>57</v>
      </c>
      <c r="P96" s="4" t="n">
        <v>3</v>
      </c>
      <c r="Q96" s="4" t="n">
        <v>15</v>
      </c>
      <c r="R96" s="6" t="n">
        <f aca="false">IF(N(L96)=0,0,O96/L96)</f>
        <v>0.95</v>
      </c>
      <c r="S96" s="4" t="n">
        <f aca="false">IF(R96="","",IF(R96&gt;=0.8,50,IF(R96&gt;=0.5,30,IF(R96&gt;=0.01,10,0))))</f>
        <v>50</v>
      </c>
      <c r="T96" s="4" t="n">
        <f aca="false">IF(TRIM(AI96)="Yes",2.5,0)</f>
        <v>0</v>
      </c>
      <c r="U96" s="4" t="n">
        <f aca="false">IF(TRIM(AJ96)="Yes",10,0)</f>
        <v>10</v>
      </c>
      <c r="V96" s="4" t="n">
        <f aca="false">IF(TRIM(AK96)="Yes",5,0)</f>
        <v>5</v>
      </c>
      <c r="W96" s="4" t="n">
        <f aca="false">IF(TRIM(AM96)="Yes",5,0)</f>
        <v>5</v>
      </c>
      <c r="X96" s="4" t="n">
        <f aca="false">IF(OR(TRIM(AN96)="Fully Available",TRIM(AN96)="Not Applicable"),5,IF(TRIM(AN96)="Partially Available",2.5,0))</f>
        <v>5</v>
      </c>
      <c r="Y96" s="4" t="n">
        <f aca="false">IF(TRIM(AO96)="Yes",5,0)</f>
        <v>5</v>
      </c>
      <c r="Z96" s="4" t="n">
        <f aca="false">IF(TRIM(AP96)="Yes",2.5,0)</f>
        <v>2.5</v>
      </c>
      <c r="AA96" s="4" t="n">
        <f aca="false">IF(TRIM(AQ96)="Yes",5,0)</f>
        <v>5</v>
      </c>
      <c r="AB96" s="4" t="n">
        <f aca="false">IF(OR(TRIM(AR96)="Yes",TRIM(AR96)="Not Applicable"),5,0)</f>
        <v>5</v>
      </c>
      <c r="AC96" s="4" t="n">
        <f aca="false">IF(TRIM(AS96)="Excellent",5,IF(TRIM(AS96)="Very Good",4,IF(TRIM(AS96)="Good",3,IF(TRIM(AS96)="Average",2,0))))</f>
        <v>4</v>
      </c>
      <c r="AD96" s="7" t="n">
        <f aca="false">IF(COUNT(S96:AC96)=0,"",SUM(S96:AC96))</f>
        <v>96.5</v>
      </c>
      <c r="AE96" s="7"/>
      <c r="AF96" s="8"/>
      <c r="AG96" s="5"/>
      <c r="AH96" s="4"/>
      <c r="AI96" s="4" t="s">
        <v>82</v>
      </c>
      <c r="AJ96" s="4" t="s">
        <v>62</v>
      </c>
      <c r="AK96" s="4" t="s">
        <v>62</v>
      </c>
      <c r="AL96" s="4" t="s">
        <v>63</v>
      </c>
      <c r="AM96" s="4" t="s">
        <v>62</v>
      </c>
      <c r="AN96" s="4" t="s">
        <v>64</v>
      </c>
      <c r="AO96" s="4" t="s">
        <v>62</v>
      </c>
      <c r="AP96" s="4" t="s">
        <v>62</v>
      </c>
      <c r="AQ96" s="4" t="s">
        <v>62</v>
      </c>
      <c r="AR96" s="4" t="s">
        <v>62</v>
      </c>
      <c r="AS96" s="4" t="s">
        <v>74</v>
      </c>
      <c r="AT96" s="4" t="n">
        <v>3</v>
      </c>
      <c r="AU96" s="4" t="s">
        <v>112</v>
      </c>
      <c r="AV96" s="4" t="s">
        <v>350</v>
      </c>
      <c r="AW96" s="4" t="s">
        <v>372</v>
      </c>
      <c r="AX96" s="4" t="s">
        <v>368</v>
      </c>
      <c r="AY96" s="4" t="n">
        <v>12</v>
      </c>
      <c r="AZ96" s="4" t="s">
        <v>62</v>
      </c>
      <c r="BA96" s="4" t="s">
        <v>369</v>
      </c>
      <c r="BB96" s="4" t="s">
        <v>59</v>
      </c>
      <c r="BC96" s="6" t="n">
        <v>0.2632</v>
      </c>
      <c r="BD96" s="4" t="n">
        <v>93</v>
      </c>
    </row>
    <row r="97" customFormat="false" ht="299.25" hidden="false" customHeight="false" outlineLevel="0" collapsed="false">
      <c r="A97" s="4" t="n">
        <v>37</v>
      </c>
      <c r="B97" s="4" t="s">
        <v>56</v>
      </c>
      <c r="C97" s="4" t="s">
        <v>57</v>
      </c>
      <c r="D97" s="4" t="s">
        <v>58</v>
      </c>
      <c r="E97" s="4" t="s">
        <v>59</v>
      </c>
      <c r="F97" s="4" t="n">
        <v>661</v>
      </c>
      <c r="G97" s="5" t="s">
        <v>373</v>
      </c>
      <c r="H97" s="5" t="s">
        <v>261</v>
      </c>
      <c r="I97" s="4"/>
      <c r="J97" s="4"/>
      <c r="K97" s="4"/>
      <c r="L97" s="4" t="n">
        <v>20</v>
      </c>
      <c r="M97" s="4" t="n">
        <v>20</v>
      </c>
      <c r="N97" s="4" t="n">
        <v>0</v>
      </c>
      <c r="O97" s="4" t="n">
        <v>19</v>
      </c>
      <c r="P97" s="4" t="n">
        <v>1</v>
      </c>
      <c r="Q97" s="4" t="n">
        <v>8</v>
      </c>
      <c r="R97" s="6" t="n">
        <f aca="false">IF(N(L97)=0,0,O97/L97)</f>
        <v>0.95</v>
      </c>
      <c r="S97" s="4" t="n">
        <f aca="false">IF(R97="","",IF(R97&gt;=0.8,50,IF(R97&gt;=0.5,30,IF(R97&gt;=0.01,10,0))))</f>
        <v>50</v>
      </c>
      <c r="T97" s="4" t="n">
        <f aca="false">IF(TRIM(AI97)="Yes",2.5,0)</f>
        <v>0</v>
      </c>
      <c r="U97" s="4" t="n">
        <f aca="false">IF(TRIM(AJ97)="Yes",10,0)</f>
        <v>10</v>
      </c>
      <c r="V97" s="4" t="n">
        <f aca="false">IF(TRIM(AK97)="Yes",5,0)</f>
        <v>5</v>
      </c>
      <c r="W97" s="4" t="n">
        <f aca="false">IF(TRIM(AM97)="Yes",5,0)</f>
        <v>5</v>
      </c>
      <c r="X97" s="4" t="n">
        <f aca="false">IF(OR(TRIM(AN97)="Fully Available",TRIM(AN97)="Not Applicable"),5,IF(TRIM(AN97)="Partially Available",2.5,0))</f>
        <v>5</v>
      </c>
      <c r="Y97" s="4" t="n">
        <f aca="false">IF(TRIM(AO97)="Yes",5,0)</f>
        <v>0</v>
      </c>
      <c r="Z97" s="4" t="n">
        <f aca="false">IF(TRIM(AP97)="Yes",2.5,0)</f>
        <v>2.5</v>
      </c>
      <c r="AA97" s="4" t="n">
        <f aca="false">IF(TRIM(AQ97)="Yes",5,0)</f>
        <v>0</v>
      </c>
      <c r="AB97" s="4" t="n">
        <f aca="false">IF(OR(TRIM(AR97)="Yes",TRIM(AR97)="Not Applicable"),5,0)</f>
        <v>5</v>
      </c>
      <c r="AC97" s="4" t="n">
        <f aca="false">IF(TRIM(AS97)="Excellent",5,IF(TRIM(AS97)="Very Good",4,IF(TRIM(AS97)="Good",3,IF(TRIM(AS97)="Average",2,0))))</f>
        <v>3</v>
      </c>
      <c r="AD97" s="7" t="n">
        <f aca="false">IF(COUNT(S97:AC97)=0,"",SUM(S97:AC97))</f>
        <v>85.5</v>
      </c>
      <c r="AE97" s="7" t="n">
        <f aca="false">IF(COUNTIF($F$2:F97,F97)=1,IFERROR(AVERAGEIF($F:$F,F97,$AD:$AD),""),"")</f>
        <v>85.5</v>
      </c>
      <c r="AF97" s="8" t="str">
        <f aca="false">IF(AH97&lt;&gt;"",AH97,IF(AE97="","",IF(AE97&gt;=80,"Excellent",IF(AE97&gt;=70,"Very Good",IF(AE97&gt;=60,"Good",IF(AE97&gt;=50,"Average","Poor"))))))</f>
        <v>Excellent</v>
      </c>
      <c r="AG97" s="5"/>
      <c r="AH97" s="4"/>
      <c r="AI97" s="4" t="s">
        <v>82</v>
      </c>
      <c r="AJ97" s="4" t="s">
        <v>62</v>
      </c>
      <c r="AK97" s="4" t="s">
        <v>62</v>
      </c>
      <c r="AL97" s="4" t="s">
        <v>63</v>
      </c>
      <c r="AM97" s="4" t="s">
        <v>62</v>
      </c>
      <c r="AN97" s="4" t="s">
        <v>64</v>
      </c>
      <c r="AO97" s="4" t="s">
        <v>82</v>
      </c>
      <c r="AP97" s="4" t="s">
        <v>62</v>
      </c>
      <c r="AQ97" s="4" t="s">
        <v>82</v>
      </c>
      <c r="AR97" s="4" t="s">
        <v>73</v>
      </c>
      <c r="AS97" s="4" t="s">
        <v>185</v>
      </c>
      <c r="AT97" s="4" t="n">
        <v>0</v>
      </c>
      <c r="AU97" s="4" t="s">
        <v>66</v>
      </c>
      <c r="AV97" s="4" t="s">
        <v>244</v>
      </c>
      <c r="AW97" s="4" t="s">
        <v>374</v>
      </c>
      <c r="AX97" s="4" t="s">
        <v>375</v>
      </c>
      <c r="AY97" s="4" t="n">
        <v>4</v>
      </c>
      <c r="AZ97" s="4" t="s">
        <v>62</v>
      </c>
      <c r="BA97" s="4" t="s">
        <v>376</v>
      </c>
      <c r="BB97" s="4" t="s">
        <v>59</v>
      </c>
      <c r="BC97" s="6" t="n">
        <v>0.4211</v>
      </c>
      <c r="BD97" s="4" t="n">
        <v>79</v>
      </c>
    </row>
    <row r="98" customFormat="false" ht="185.8" hidden="false" customHeight="true" outlineLevel="0" collapsed="false">
      <c r="A98" s="4" t="n">
        <v>38</v>
      </c>
      <c r="B98" s="4" t="s">
        <v>56</v>
      </c>
      <c r="C98" s="4" t="s">
        <v>57</v>
      </c>
      <c r="D98" s="4" t="s">
        <v>58</v>
      </c>
      <c r="E98" s="4" t="s">
        <v>59</v>
      </c>
      <c r="F98" s="4" t="n">
        <v>6351</v>
      </c>
      <c r="G98" s="5" t="s">
        <v>377</v>
      </c>
      <c r="H98" s="5" t="s">
        <v>177</v>
      </c>
      <c r="I98" s="4"/>
      <c r="J98" s="4"/>
      <c r="K98" s="4"/>
      <c r="L98" s="4" t="n">
        <v>20</v>
      </c>
      <c r="M98" s="4" t="n">
        <v>0</v>
      </c>
      <c r="N98" s="4" t="n">
        <v>20</v>
      </c>
      <c r="O98" s="4" t="n">
        <v>0</v>
      </c>
      <c r="P98" s="4" t="n">
        <v>0</v>
      </c>
      <c r="Q98" s="4" t="n">
        <v>0</v>
      </c>
      <c r="R98" s="6" t="n">
        <f aca="false">IF(N(L98)=0,0,O98/L98)</f>
        <v>0</v>
      </c>
      <c r="S98" s="4" t="n">
        <f aca="false">IF(R98="","",IF(R98&gt;=0.8,50,IF(R98&gt;=0.5,30,IF(R98&gt;=0.01,10,0))))</f>
        <v>0</v>
      </c>
      <c r="T98" s="4" t="n">
        <f aca="false">IF(TRIM(AI98)="Yes",2.5,0)</f>
        <v>0</v>
      </c>
      <c r="U98" s="4" t="n">
        <f aca="false">IF(TRIM(AJ98)="Yes",10,0)</f>
        <v>0</v>
      </c>
      <c r="V98" s="4" t="n">
        <f aca="false">IF(TRIM(AK98)="Yes",5,0)</f>
        <v>0</v>
      </c>
      <c r="W98" s="4" t="n">
        <f aca="false">IF(TRIM(AM98)="Yes",5,0)</f>
        <v>0</v>
      </c>
      <c r="X98" s="4" t="n">
        <f aca="false">IF(OR(TRIM(AN98)="Fully Available",TRIM(AN98)="Not Applicable"),5,IF(TRIM(AN98)="Partially Available",2.5,0))</f>
        <v>0</v>
      </c>
      <c r="Y98" s="4" t="n">
        <f aca="false">IF(TRIM(AO98)="Yes",5,0)</f>
        <v>0</v>
      </c>
      <c r="Z98" s="4" t="n">
        <f aca="false">IF(TRIM(AP98)="Yes",2.5,0)</f>
        <v>0</v>
      </c>
      <c r="AA98" s="4" t="n">
        <f aca="false">IF(TRIM(AQ98)="Yes",5,0)</f>
        <v>0</v>
      </c>
      <c r="AB98" s="4" t="n">
        <f aca="false">IF(OR(TRIM(AR98)="Yes",TRIM(AR98)="Not Applicable"),5,0)</f>
        <v>0</v>
      </c>
      <c r="AC98" s="4" t="n">
        <f aca="false">IF(TRIM(AS98)="Excellent",5,IF(TRIM(AS98)="Very Good",4,IF(TRIM(AS98)="Good",3,IF(TRIM(AS98)="Average",2,0))))</f>
        <v>0</v>
      </c>
      <c r="AD98" s="7" t="n">
        <f aca="false">IF(COUNT(S98:AC98)=0,"",SUM(S98:AC98))</f>
        <v>0</v>
      </c>
      <c r="AE98" s="7" t="n">
        <f aca="false">IF(COUNTIF($F$2:F98,F98)=1,IFERROR(AVERAGEIF($F:$F,F98,$AD:$AD),""),"")</f>
        <v>0</v>
      </c>
      <c r="AF98" s="8" t="str">
        <f aca="false">IF(AH98&lt;&gt;"",AH98,IF(AE98="","",IF(AE98&gt;=80,"Excellent",IF(AE98&gt;=70,"Very Good",IF(AE98&gt;=60,"Good",IF(AE98&gt;=50,"Average","Poor"))))))</f>
        <v>Poor</v>
      </c>
      <c r="AG98" s="5" t="s">
        <v>378</v>
      </c>
      <c r="AH98" s="4" t="s">
        <v>203</v>
      </c>
      <c r="AI98" s="4" t="s">
        <v>82</v>
      </c>
      <c r="AJ98" s="4" t="s">
        <v>82</v>
      </c>
      <c r="AK98" s="4" t="s">
        <v>82</v>
      </c>
      <c r="AL98" s="4" t="s">
        <v>379</v>
      </c>
      <c r="AM98" s="4" t="s">
        <v>82</v>
      </c>
      <c r="AN98" s="4" t="s">
        <v>204</v>
      </c>
      <c r="AO98" s="4" t="s">
        <v>82</v>
      </c>
      <c r="AP98" s="4" t="s">
        <v>82</v>
      </c>
      <c r="AQ98" s="4" t="s">
        <v>82</v>
      </c>
      <c r="AR98" s="4" t="s">
        <v>82</v>
      </c>
      <c r="AS98" s="4" t="s">
        <v>203</v>
      </c>
      <c r="AT98" s="4" t="n">
        <v>0</v>
      </c>
      <c r="AU98" s="4" t="s">
        <v>66</v>
      </c>
      <c r="AV98" s="4" t="s">
        <v>380</v>
      </c>
      <c r="AW98" s="4" t="s">
        <v>381</v>
      </c>
      <c r="AX98" s="4" t="s">
        <v>381</v>
      </c>
      <c r="AY98" s="4" t="n">
        <v>0</v>
      </c>
      <c r="AZ98" s="4" t="s">
        <v>82</v>
      </c>
      <c r="BA98" s="4" t="s">
        <v>378</v>
      </c>
      <c r="BB98" s="4" t="s">
        <v>59</v>
      </c>
      <c r="BC98" s="6"/>
      <c r="BD98" s="4" t="n">
        <v>0</v>
      </c>
    </row>
    <row r="99" customFormat="false" ht="185.8" hidden="false" customHeight="false" outlineLevel="0" collapsed="false">
      <c r="A99" s="4"/>
      <c r="B99" s="4" t="s">
        <v>56</v>
      </c>
      <c r="C99" s="4" t="s">
        <v>57</v>
      </c>
      <c r="D99" s="4" t="s">
        <v>58</v>
      </c>
      <c r="E99" s="4" t="s">
        <v>59</v>
      </c>
      <c r="F99" s="4" t="n">
        <v>6351</v>
      </c>
      <c r="G99" s="5" t="s">
        <v>377</v>
      </c>
      <c r="H99" s="5" t="s">
        <v>90</v>
      </c>
      <c r="I99" s="4"/>
      <c r="J99" s="4"/>
      <c r="K99" s="4"/>
      <c r="L99" s="4" t="n">
        <v>20</v>
      </c>
      <c r="M99" s="4" t="n">
        <v>0</v>
      </c>
      <c r="N99" s="4" t="n">
        <v>20</v>
      </c>
      <c r="O99" s="4" t="n">
        <v>0</v>
      </c>
      <c r="P99" s="4" t="n">
        <v>0</v>
      </c>
      <c r="Q99" s="4" t="n">
        <v>0</v>
      </c>
      <c r="R99" s="6" t="n">
        <f aca="false">IF(N(L99)=0,0,O99/L99)</f>
        <v>0</v>
      </c>
      <c r="S99" s="4" t="n">
        <f aca="false">IF(R99="","",IF(R99&gt;=0.8,50,IF(R99&gt;=0.5,30,IF(R99&gt;=0.01,10,0))))</f>
        <v>0</v>
      </c>
      <c r="T99" s="4" t="n">
        <f aca="false">IF(TRIM(AI99)="Yes",2.5,0)</f>
        <v>0</v>
      </c>
      <c r="U99" s="4" t="n">
        <f aca="false">IF(TRIM(AJ99)="Yes",10,0)</f>
        <v>0</v>
      </c>
      <c r="V99" s="4" t="n">
        <f aca="false">IF(TRIM(AK99)="Yes",5,0)</f>
        <v>0</v>
      </c>
      <c r="W99" s="4" t="n">
        <f aca="false">IF(TRIM(AM99)="Yes",5,0)</f>
        <v>0</v>
      </c>
      <c r="X99" s="4" t="n">
        <f aca="false">IF(OR(TRIM(AN99)="Fully Available",TRIM(AN99)="Not Applicable"),5,IF(TRIM(AN99)="Partially Available",2.5,0))</f>
        <v>0</v>
      </c>
      <c r="Y99" s="4" t="n">
        <f aca="false">IF(TRIM(AO99)="Yes",5,0)</f>
        <v>0</v>
      </c>
      <c r="Z99" s="4" t="n">
        <f aca="false">IF(TRIM(AP99)="Yes",2.5,0)</f>
        <v>0</v>
      </c>
      <c r="AA99" s="4" t="n">
        <f aca="false">IF(TRIM(AQ99)="Yes",5,0)</f>
        <v>0</v>
      </c>
      <c r="AB99" s="4" t="n">
        <f aca="false">IF(OR(TRIM(AR99)="Yes",TRIM(AR99)="Not Applicable"),5,0)</f>
        <v>0</v>
      </c>
      <c r="AC99" s="4" t="n">
        <f aca="false">IF(TRIM(AS99)="Excellent",5,IF(TRIM(AS99)="Very Good",4,IF(TRIM(AS99)="Good",3,IF(TRIM(AS99)="Average",2,0))))</f>
        <v>0</v>
      </c>
      <c r="AD99" s="7" t="n">
        <f aca="false">IF(COUNT(S99:AC99)=0,"",SUM(S99:AC99))</f>
        <v>0</v>
      </c>
      <c r="AE99" s="7"/>
      <c r="AF99" s="8"/>
      <c r="AG99" s="5"/>
      <c r="AH99" s="4"/>
      <c r="AI99" s="4" t="s">
        <v>82</v>
      </c>
      <c r="AJ99" s="4" t="s">
        <v>82</v>
      </c>
      <c r="AK99" s="4" t="s">
        <v>82</v>
      </c>
      <c r="AL99" s="4" t="s">
        <v>379</v>
      </c>
      <c r="AM99" s="4" t="s">
        <v>82</v>
      </c>
      <c r="AN99" s="4" t="s">
        <v>204</v>
      </c>
      <c r="AO99" s="4" t="s">
        <v>82</v>
      </c>
      <c r="AP99" s="4" t="s">
        <v>82</v>
      </c>
      <c r="AQ99" s="4" t="s">
        <v>82</v>
      </c>
      <c r="AR99" s="4" t="s">
        <v>82</v>
      </c>
      <c r="AS99" s="4" t="s">
        <v>203</v>
      </c>
      <c r="AT99" s="4" t="n">
        <v>0</v>
      </c>
      <c r="AU99" s="4" t="s">
        <v>66</v>
      </c>
      <c r="AV99" s="4" t="s">
        <v>380</v>
      </c>
      <c r="AW99" s="4" t="s">
        <v>381</v>
      </c>
      <c r="AX99" s="4" t="s">
        <v>381</v>
      </c>
      <c r="AY99" s="4" t="n">
        <v>0</v>
      </c>
      <c r="AZ99" s="4" t="s">
        <v>82</v>
      </c>
      <c r="BA99" s="4" t="s">
        <v>378</v>
      </c>
      <c r="BB99" s="4" t="s">
        <v>59</v>
      </c>
      <c r="BC99" s="6"/>
      <c r="BD99" s="4" t="n">
        <v>0</v>
      </c>
    </row>
    <row r="100" customFormat="false" ht="228.35" hidden="false" customHeight="false" outlineLevel="0" collapsed="false">
      <c r="A100" s="4" t="n">
        <v>39</v>
      </c>
      <c r="B100" s="4" t="s">
        <v>56</v>
      </c>
      <c r="C100" s="4" t="s">
        <v>57</v>
      </c>
      <c r="D100" s="4" t="s">
        <v>58</v>
      </c>
      <c r="E100" s="4" t="s">
        <v>59</v>
      </c>
      <c r="F100" s="4" t="n">
        <v>2490</v>
      </c>
      <c r="G100" s="5" t="s">
        <v>382</v>
      </c>
      <c r="H100" s="5" t="s">
        <v>383</v>
      </c>
      <c r="I100" s="4"/>
      <c r="J100" s="4"/>
      <c r="K100" s="4"/>
      <c r="L100" s="4" t="n">
        <v>20</v>
      </c>
      <c r="M100" s="4" t="n">
        <v>20</v>
      </c>
      <c r="N100" s="4" t="n">
        <v>0</v>
      </c>
      <c r="O100" s="4" t="n">
        <v>14</v>
      </c>
      <c r="P100" s="4" t="n">
        <v>6</v>
      </c>
      <c r="Q100" s="4" t="n">
        <v>8</v>
      </c>
      <c r="R100" s="6" t="n">
        <f aca="false">IF(N(L100)=0,0,O100/L100)</f>
        <v>0.7</v>
      </c>
      <c r="S100" s="4" t="n">
        <f aca="false">IF(R100="","",IF(R100&gt;=0.8,50,IF(R100&gt;=0.5,30,IF(R100&gt;=0.01,10,0))))</f>
        <v>30</v>
      </c>
      <c r="T100" s="4" t="n">
        <f aca="false">IF(TRIM(AI100)="Yes",2.5,0)</f>
        <v>2.5</v>
      </c>
      <c r="U100" s="4" t="n">
        <f aca="false">IF(TRIM(AJ100)="Yes",10,0)</f>
        <v>10</v>
      </c>
      <c r="V100" s="4" t="n">
        <f aca="false">IF(TRIM(AK100)="Yes",5,0)</f>
        <v>5</v>
      </c>
      <c r="W100" s="4" t="n">
        <f aca="false">IF(TRIM(AM100)="Yes",5,0)</f>
        <v>5</v>
      </c>
      <c r="X100" s="4" t="n">
        <f aca="false">IF(OR(TRIM(AN100)="Fully Available",TRIM(AN100)="Not Applicable"),5,IF(TRIM(AN100)="Partially Available",2.5,0))</f>
        <v>5</v>
      </c>
      <c r="Y100" s="4" t="n">
        <f aca="false">IF(TRIM(AO100)="Yes",5,0)</f>
        <v>5</v>
      </c>
      <c r="Z100" s="4" t="n">
        <f aca="false">IF(TRIM(AP100)="Yes",2.5,0)</f>
        <v>2.5</v>
      </c>
      <c r="AA100" s="4" t="n">
        <f aca="false">IF(TRIM(AQ100)="Yes",5,0)</f>
        <v>5</v>
      </c>
      <c r="AB100" s="4" t="n">
        <f aca="false">IF(OR(TRIM(AR100)="Yes",TRIM(AR100)="Not Applicable"),5,0)</f>
        <v>5</v>
      </c>
      <c r="AC100" s="4" t="n">
        <f aca="false">IF(TRIM(AS100)="Excellent",5,IF(TRIM(AS100)="Very Good",4,IF(TRIM(AS100)="Good",3,IF(TRIM(AS100)="Average",2,0))))</f>
        <v>3</v>
      </c>
      <c r="AD100" s="7" t="n">
        <f aca="false">IF(COUNT(S100:AC100)=0,"",SUM(S100:AC100))</f>
        <v>78</v>
      </c>
      <c r="AE100" s="7" t="n">
        <f aca="false">IF(COUNTIF($F$2:F100,F100)=1,IFERROR(AVERAGEIF($F:$F,F100,$AD:$AD),""),"")</f>
        <v>86.4375</v>
      </c>
      <c r="AF100" s="8" t="str">
        <f aca="false">IF(AH100&lt;&gt;"",AH100,IF(AE100="","",IF(AE100&gt;=80,"Excellent",IF(AE100&gt;=70,"Very Good",IF(AE100&gt;=60,"Good",IF(AE100&gt;=50,"Average","Poor"))))))</f>
        <v>Excellent</v>
      </c>
      <c r="AG100" s="5"/>
      <c r="AH100" s="4"/>
      <c r="AI100" s="4" t="s">
        <v>62</v>
      </c>
      <c r="AJ100" s="4" t="s">
        <v>62</v>
      </c>
      <c r="AK100" s="4" t="s">
        <v>62</v>
      </c>
      <c r="AL100" s="4" t="s">
        <v>63</v>
      </c>
      <c r="AM100" s="4" t="s">
        <v>62</v>
      </c>
      <c r="AN100" s="4" t="s">
        <v>64</v>
      </c>
      <c r="AO100" s="4" t="s">
        <v>62</v>
      </c>
      <c r="AP100" s="4" t="s">
        <v>62</v>
      </c>
      <c r="AQ100" s="4" t="s">
        <v>62</v>
      </c>
      <c r="AR100" s="4" t="s">
        <v>62</v>
      </c>
      <c r="AS100" s="4" t="s">
        <v>185</v>
      </c>
      <c r="AT100" s="4" t="n">
        <v>6</v>
      </c>
      <c r="AU100" s="4" t="s">
        <v>112</v>
      </c>
      <c r="AV100" s="4" t="s">
        <v>380</v>
      </c>
      <c r="AW100" s="4" t="s">
        <v>384</v>
      </c>
      <c r="AX100" s="4" t="s">
        <v>385</v>
      </c>
      <c r="AY100" s="4" t="n">
        <v>9</v>
      </c>
      <c r="AZ100" s="4" t="s">
        <v>62</v>
      </c>
      <c r="BA100" s="4" t="s">
        <v>386</v>
      </c>
      <c r="BB100" s="4" t="s">
        <v>59</v>
      </c>
      <c r="BC100" s="6" t="n">
        <v>0.5714</v>
      </c>
      <c r="BD100" s="4" t="n">
        <v>89</v>
      </c>
    </row>
    <row r="101" customFormat="false" ht="228.35" hidden="false" customHeight="false" outlineLevel="0" collapsed="false">
      <c r="A101" s="4"/>
      <c r="B101" s="4" t="s">
        <v>56</v>
      </c>
      <c r="C101" s="4" t="s">
        <v>57</v>
      </c>
      <c r="D101" s="4" t="s">
        <v>58</v>
      </c>
      <c r="E101" s="4" t="s">
        <v>59</v>
      </c>
      <c r="F101" s="4" t="n">
        <v>2490</v>
      </c>
      <c r="G101" s="5" t="s">
        <v>382</v>
      </c>
      <c r="H101" s="5" t="s">
        <v>72</v>
      </c>
      <c r="I101" s="4"/>
      <c r="J101" s="4"/>
      <c r="K101" s="4"/>
      <c r="L101" s="4" t="n">
        <v>20</v>
      </c>
      <c r="M101" s="4" t="n">
        <v>20</v>
      </c>
      <c r="N101" s="4" t="n">
        <v>0</v>
      </c>
      <c r="O101" s="4" t="n">
        <v>20</v>
      </c>
      <c r="P101" s="4" t="n">
        <v>0</v>
      </c>
      <c r="Q101" s="4" t="n">
        <v>6</v>
      </c>
      <c r="R101" s="6" t="n">
        <f aca="false">IF(N(L101)=0,0,O101/L101)</f>
        <v>1</v>
      </c>
      <c r="S101" s="4" t="n">
        <f aca="false">IF(R101="","",IF(R101&gt;=0.8,50,IF(R101&gt;=0.5,30,IF(R101&gt;=0.01,10,0))))</f>
        <v>50</v>
      </c>
      <c r="T101" s="4" t="n">
        <f aca="false">IF(TRIM(AI101)="Yes",2.5,0)</f>
        <v>2.5</v>
      </c>
      <c r="U101" s="4" t="n">
        <f aca="false">IF(TRIM(AJ101)="Yes",10,0)</f>
        <v>10</v>
      </c>
      <c r="V101" s="4" t="n">
        <f aca="false">IF(TRIM(AK101)="Yes",5,0)</f>
        <v>5</v>
      </c>
      <c r="W101" s="4" t="n">
        <f aca="false">IF(TRIM(AM101)="Yes",5,0)</f>
        <v>5</v>
      </c>
      <c r="X101" s="4" t="n">
        <f aca="false">IF(OR(TRIM(AN101)="Fully Available",TRIM(AN101)="Not Applicable"),5,IF(TRIM(AN101)="Partially Available",2.5,0))</f>
        <v>5</v>
      </c>
      <c r="Y101" s="4" t="n">
        <f aca="false">IF(TRIM(AO101)="Yes",5,0)</f>
        <v>5</v>
      </c>
      <c r="Z101" s="4" t="n">
        <f aca="false">IF(TRIM(AP101)="Yes",2.5,0)</f>
        <v>2.5</v>
      </c>
      <c r="AA101" s="4" t="n">
        <f aca="false">IF(TRIM(AQ101)="Yes",5,0)</f>
        <v>5</v>
      </c>
      <c r="AB101" s="4" t="n">
        <f aca="false">IF(OR(TRIM(AR101)="Yes",TRIM(AR101)="Not Applicable"),5,0)</f>
        <v>5</v>
      </c>
      <c r="AC101" s="4" t="n">
        <f aca="false">IF(TRIM(AS101)="Excellent",5,IF(TRIM(AS101)="Very Good",4,IF(TRIM(AS101)="Good",3,IF(TRIM(AS101)="Average",2,0))))</f>
        <v>3</v>
      </c>
      <c r="AD101" s="7" t="n">
        <f aca="false">IF(COUNT(S101:AC101)=0,"",SUM(S101:AC101))</f>
        <v>98</v>
      </c>
      <c r="AE101" s="7"/>
      <c r="AF101" s="8"/>
      <c r="AG101" s="5"/>
      <c r="AH101" s="4"/>
      <c r="AI101" s="4" t="s">
        <v>62</v>
      </c>
      <c r="AJ101" s="4" t="s">
        <v>62</v>
      </c>
      <c r="AK101" s="4" t="s">
        <v>62</v>
      </c>
      <c r="AL101" s="4" t="s">
        <v>63</v>
      </c>
      <c r="AM101" s="4" t="s">
        <v>62</v>
      </c>
      <c r="AN101" s="4" t="s">
        <v>64</v>
      </c>
      <c r="AO101" s="4" t="s">
        <v>62</v>
      </c>
      <c r="AP101" s="4" t="s">
        <v>62</v>
      </c>
      <c r="AQ101" s="4" t="s">
        <v>62</v>
      </c>
      <c r="AR101" s="4" t="s">
        <v>73</v>
      </c>
      <c r="AS101" s="4" t="s">
        <v>185</v>
      </c>
      <c r="AT101" s="4" t="n">
        <v>8</v>
      </c>
      <c r="AU101" s="4" t="s">
        <v>66</v>
      </c>
      <c r="AV101" s="4" t="s">
        <v>380</v>
      </c>
      <c r="AW101" s="4" t="s">
        <v>387</v>
      </c>
      <c r="AX101" s="4" t="s">
        <v>388</v>
      </c>
      <c r="AY101" s="4" t="n">
        <v>2</v>
      </c>
      <c r="AZ101" s="4" t="s">
        <v>62</v>
      </c>
      <c r="BA101" s="4" t="s">
        <v>386</v>
      </c>
      <c r="BB101" s="4" t="s">
        <v>59</v>
      </c>
      <c r="BC101" s="6" t="n">
        <v>0.3</v>
      </c>
      <c r="BD101" s="4" t="n">
        <v>89</v>
      </c>
    </row>
    <row r="102" customFormat="false" ht="228.35" hidden="false" customHeight="false" outlineLevel="0" collapsed="false">
      <c r="A102" s="4"/>
      <c r="B102" s="4" t="s">
        <v>56</v>
      </c>
      <c r="C102" s="4" t="s">
        <v>57</v>
      </c>
      <c r="D102" s="4" t="s">
        <v>58</v>
      </c>
      <c r="E102" s="4" t="s">
        <v>59</v>
      </c>
      <c r="F102" s="4" t="n">
        <v>2490</v>
      </c>
      <c r="G102" s="5" t="s">
        <v>382</v>
      </c>
      <c r="H102" s="5" t="s">
        <v>111</v>
      </c>
      <c r="I102" s="4"/>
      <c r="J102" s="4"/>
      <c r="K102" s="4"/>
      <c r="L102" s="4" t="n">
        <v>20</v>
      </c>
      <c r="M102" s="4" t="n">
        <v>20</v>
      </c>
      <c r="N102" s="4" t="n">
        <v>0</v>
      </c>
      <c r="O102" s="4" t="n">
        <v>9</v>
      </c>
      <c r="P102" s="4" t="n">
        <v>11</v>
      </c>
      <c r="Q102" s="4" t="n">
        <v>5</v>
      </c>
      <c r="R102" s="6" t="n">
        <f aca="false">IF(N(L102)=0,0,O102/L102)</f>
        <v>0.45</v>
      </c>
      <c r="S102" s="4" t="n">
        <f aca="false">IF(R102="","",IF(R102&gt;=0.8,50,IF(R102&gt;=0.5,30,IF(R102&gt;=0.01,10,0))))</f>
        <v>10</v>
      </c>
      <c r="T102" s="4" t="n">
        <f aca="false">IF(TRIM(AI102)="Yes",2.5,0)</f>
        <v>2.5</v>
      </c>
      <c r="U102" s="4" t="n">
        <f aca="false">IF(TRIM(AJ102)="Yes",10,0)</f>
        <v>10</v>
      </c>
      <c r="V102" s="4" t="n">
        <f aca="false">IF(TRIM(AK102)="Yes",5,0)</f>
        <v>5</v>
      </c>
      <c r="W102" s="4" t="n">
        <f aca="false">IF(TRIM(AM102)="Yes",5,0)</f>
        <v>5</v>
      </c>
      <c r="X102" s="4" t="n">
        <f aca="false">IF(OR(TRIM(AN102)="Fully Available",TRIM(AN102)="Not Applicable"),5,IF(TRIM(AN102)="Partially Available",2.5,0))</f>
        <v>2.5</v>
      </c>
      <c r="Y102" s="4" t="n">
        <f aca="false">IF(TRIM(AO102)="Yes",5,0)</f>
        <v>5</v>
      </c>
      <c r="Z102" s="4" t="n">
        <f aca="false">IF(TRIM(AP102)="Yes",2.5,0)</f>
        <v>2.5</v>
      </c>
      <c r="AA102" s="4" t="n">
        <f aca="false">IF(TRIM(AQ102)="Yes",5,0)</f>
        <v>5</v>
      </c>
      <c r="AB102" s="4" t="n">
        <f aca="false">IF(OR(TRIM(AR102)="Yes",TRIM(AR102)="Not Applicable"),5,0)</f>
        <v>5</v>
      </c>
      <c r="AC102" s="4" t="n">
        <f aca="false">IF(TRIM(AS102)="Excellent",5,IF(TRIM(AS102)="Very Good",4,IF(TRIM(AS102)="Good",3,IF(TRIM(AS102)="Average",2,0))))</f>
        <v>3</v>
      </c>
      <c r="AD102" s="7" t="n">
        <f aca="false">IF(COUNT(S102:AC102)=0,"",SUM(S102:AC102))</f>
        <v>55.5</v>
      </c>
      <c r="AE102" s="7"/>
      <c r="AF102" s="8"/>
      <c r="AG102" s="5"/>
      <c r="AH102" s="4"/>
      <c r="AI102" s="4" t="s">
        <v>62</v>
      </c>
      <c r="AJ102" s="4" t="s">
        <v>62</v>
      </c>
      <c r="AK102" s="4" t="s">
        <v>62</v>
      </c>
      <c r="AL102" s="4" t="s">
        <v>63</v>
      </c>
      <c r="AM102" s="4" t="s">
        <v>62</v>
      </c>
      <c r="AN102" s="4" t="s">
        <v>147</v>
      </c>
      <c r="AO102" s="4" t="s">
        <v>62</v>
      </c>
      <c r="AP102" s="4" t="s">
        <v>62</v>
      </c>
      <c r="AQ102" s="4" t="s">
        <v>62</v>
      </c>
      <c r="AR102" s="4" t="s">
        <v>62</v>
      </c>
      <c r="AS102" s="4" t="s">
        <v>185</v>
      </c>
      <c r="AT102" s="4" t="n">
        <v>4</v>
      </c>
      <c r="AU102" s="4" t="s">
        <v>112</v>
      </c>
      <c r="AV102" s="4" t="s">
        <v>380</v>
      </c>
      <c r="AW102" s="4" t="s">
        <v>389</v>
      </c>
      <c r="AX102" s="4" t="s">
        <v>390</v>
      </c>
      <c r="AY102" s="4" t="n">
        <v>5</v>
      </c>
      <c r="AZ102" s="4" t="s">
        <v>62</v>
      </c>
      <c r="BA102" s="4" t="s">
        <v>386</v>
      </c>
      <c r="BB102" s="4" t="s">
        <v>59</v>
      </c>
      <c r="BC102" s="6" t="n">
        <v>0.5556</v>
      </c>
      <c r="BD102" s="4" t="n">
        <v>89</v>
      </c>
    </row>
    <row r="103" customFormat="false" ht="228.35" hidden="false" customHeight="false" outlineLevel="0" collapsed="false">
      <c r="A103" s="4"/>
      <c r="B103" s="4" t="s">
        <v>56</v>
      </c>
      <c r="C103" s="4" t="s">
        <v>57</v>
      </c>
      <c r="D103" s="4" t="s">
        <v>58</v>
      </c>
      <c r="E103" s="4" t="s">
        <v>59</v>
      </c>
      <c r="F103" s="4" t="n">
        <v>2490</v>
      </c>
      <c r="G103" s="5" t="s">
        <v>382</v>
      </c>
      <c r="H103" s="5" t="s">
        <v>61</v>
      </c>
      <c r="I103" s="4"/>
      <c r="J103" s="4"/>
      <c r="K103" s="4"/>
      <c r="L103" s="4" t="n">
        <v>15</v>
      </c>
      <c r="M103" s="4" t="n">
        <v>15</v>
      </c>
      <c r="N103" s="4" t="n">
        <v>0</v>
      </c>
      <c r="O103" s="4" t="n">
        <v>15</v>
      </c>
      <c r="P103" s="4" t="n">
        <v>0</v>
      </c>
      <c r="Q103" s="4" t="n">
        <v>8</v>
      </c>
      <c r="R103" s="6" t="n">
        <f aca="false">IF(N(L103)=0,0,O103/L103)</f>
        <v>1</v>
      </c>
      <c r="S103" s="4" t="n">
        <f aca="false">IF(R103="","",IF(R103&gt;=0.8,50,IF(R103&gt;=0.5,30,IF(R103&gt;=0.01,10,0))))</f>
        <v>50</v>
      </c>
      <c r="T103" s="4" t="n">
        <f aca="false">IF(TRIM(AI103)="Yes",2.5,0)</f>
        <v>2.5</v>
      </c>
      <c r="U103" s="4" t="n">
        <f aca="false">IF(TRIM(AJ103)="Yes",10,0)</f>
        <v>10</v>
      </c>
      <c r="V103" s="4" t="n">
        <f aca="false">IF(TRIM(AK103)="Yes",5,0)</f>
        <v>5</v>
      </c>
      <c r="W103" s="4" t="n">
        <f aca="false">IF(TRIM(AM103)="Yes",5,0)</f>
        <v>5</v>
      </c>
      <c r="X103" s="4" t="n">
        <f aca="false">IF(OR(TRIM(AN103)="Fully Available",TRIM(AN103)="Not Applicable"),5,IF(TRIM(AN103)="Partially Available",2.5,0))</f>
        <v>5</v>
      </c>
      <c r="Y103" s="4" t="n">
        <f aca="false">IF(TRIM(AO103)="Yes",5,0)</f>
        <v>5</v>
      </c>
      <c r="Z103" s="4" t="n">
        <f aca="false">IF(TRIM(AP103)="Yes",2.5,0)</f>
        <v>2.5</v>
      </c>
      <c r="AA103" s="4" t="n">
        <f aca="false">IF(TRIM(AQ103)="Yes",5,0)</f>
        <v>5</v>
      </c>
      <c r="AB103" s="4" t="n">
        <f aca="false">IF(OR(TRIM(AR103)="Yes",TRIM(AR103)="Not Applicable"),5,0)</f>
        <v>5</v>
      </c>
      <c r="AC103" s="4" t="n">
        <f aca="false">IF(TRIM(AS103)="Excellent",5,IF(TRIM(AS103)="Very Good",4,IF(TRIM(AS103)="Good",3,IF(TRIM(AS103)="Average",2,0))))</f>
        <v>3</v>
      </c>
      <c r="AD103" s="7" t="n">
        <f aca="false">IF(COUNT(S103:AC103)=0,"",SUM(S103:AC103))</f>
        <v>98</v>
      </c>
      <c r="AE103" s="7"/>
      <c r="AF103" s="8"/>
      <c r="AG103" s="5"/>
      <c r="AH103" s="4"/>
      <c r="AI103" s="4" t="s">
        <v>62</v>
      </c>
      <c r="AJ103" s="4" t="s">
        <v>62</v>
      </c>
      <c r="AK103" s="4" t="s">
        <v>62</v>
      </c>
      <c r="AL103" s="4" t="s">
        <v>63</v>
      </c>
      <c r="AM103" s="4" t="s">
        <v>62</v>
      </c>
      <c r="AN103" s="4" t="s">
        <v>64</v>
      </c>
      <c r="AO103" s="4" t="s">
        <v>62</v>
      </c>
      <c r="AP103" s="4" t="s">
        <v>62</v>
      </c>
      <c r="AQ103" s="4" t="s">
        <v>62</v>
      </c>
      <c r="AR103" s="4" t="s">
        <v>62</v>
      </c>
      <c r="AS103" s="4" t="s">
        <v>185</v>
      </c>
      <c r="AT103" s="4" t="n">
        <v>7</v>
      </c>
      <c r="AU103" s="4" t="s">
        <v>66</v>
      </c>
      <c r="AV103" s="4" t="s">
        <v>380</v>
      </c>
      <c r="AW103" s="4" t="s">
        <v>391</v>
      </c>
      <c r="AX103" s="4" t="s">
        <v>392</v>
      </c>
      <c r="AY103" s="4" t="n">
        <v>35</v>
      </c>
      <c r="AZ103" s="4" t="s">
        <v>62</v>
      </c>
      <c r="BA103" s="4" t="s">
        <v>386</v>
      </c>
      <c r="BB103" s="4" t="s">
        <v>59</v>
      </c>
      <c r="BC103" s="6" t="n">
        <v>0.5333</v>
      </c>
      <c r="BD103" s="4" t="n">
        <v>89</v>
      </c>
    </row>
    <row r="104" customFormat="false" ht="228.35" hidden="false" customHeight="false" outlineLevel="0" collapsed="false">
      <c r="A104" s="4"/>
      <c r="B104" s="4" t="s">
        <v>56</v>
      </c>
      <c r="C104" s="4" t="s">
        <v>57</v>
      </c>
      <c r="D104" s="4" t="s">
        <v>58</v>
      </c>
      <c r="E104" s="4" t="s">
        <v>59</v>
      </c>
      <c r="F104" s="4" t="n">
        <v>2490</v>
      </c>
      <c r="G104" s="5" t="s">
        <v>382</v>
      </c>
      <c r="H104" s="5" t="s">
        <v>177</v>
      </c>
      <c r="I104" s="4"/>
      <c r="J104" s="4"/>
      <c r="K104" s="4"/>
      <c r="L104" s="4" t="n">
        <v>20</v>
      </c>
      <c r="M104" s="4" t="n">
        <v>20</v>
      </c>
      <c r="N104" s="4" t="n">
        <v>0</v>
      </c>
      <c r="O104" s="4" t="n">
        <v>17</v>
      </c>
      <c r="P104" s="4" t="n">
        <v>3</v>
      </c>
      <c r="Q104" s="4" t="n">
        <v>8</v>
      </c>
      <c r="R104" s="6" t="n">
        <f aca="false">IF(N(L104)=0,0,O104/L104)</f>
        <v>0.85</v>
      </c>
      <c r="S104" s="4" t="n">
        <f aca="false">IF(R104="","",IF(R104&gt;=0.8,50,IF(R104&gt;=0.5,30,IF(R104&gt;=0.01,10,0))))</f>
        <v>50</v>
      </c>
      <c r="T104" s="4" t="n">
        <f aca="false">IF(TRIM(AI104)="Yes",2.5,0)</f>
        <v>2.5</v>
      </c>
      <c r="U104" s="4" t="n">
        <f aca="false">IF(TRIM(AJ104)="Yes",10,0)</f>
        <v>10</v>
      </c>
      <c r="V104" s="4" t="n">
        <f aca="false">IF(TRIM(AK104)="Yes",5,0)</f>
        <v>5</v>
      </c>
      <c r="W104" s="4" t="n">
        <f aca="false">IF(TRIM(AM104)="Yes",5,0)</f>
        <v>5</v>
      </c>
      <c r="X104" s="4" t="n">
        <f aca="false">IF(OR(TRIM(AN104)="Fully Available",TRIM(AN104)="Not Applicable"),5,IF(TRIM(AN104)="Partially Available",2.5,0))</f>
        <v>5</v>
      </c>
      <c r="Y104" s="4" t="n">
        <f aca="false">IF(TRIM(AO104)="Yes",5,0)</f>
        <v>5</v>
      </c>
      <c r="Z104" s="4" t="n">
        <f aca="false">IF(TRIM(AP104)="Yes",2.5,0)</f>
        <v>2.5</v>
      </c>
      <c r="AA104" s="4" t="n">
        <f aca="false">IF(TRIM(AQ104)="Yes",5,0)</f>
        <v>5</v>
      </c>
      <c r="AB104" s="4" t="n">
        <f aca="false">IF(OR(TRIM(AR104)="Yes",TRIM(AR104)="Not Applicable"),5,0)</f>
        <v>5</v>
      </c>
      <c r="AC104" s="4" t="n">
        <f aca="false">IF(TRIM(AS104)="Excellent",5,IF(TRIM(AS104)="Very Good",4,IF(TRIM(AS104)="Good",3,IF(TRIM(AS104)="Average",2,0))))</f>
        <v>3</v>
      </c>
      <c r="AD104" s="7" t="n">
        <f aca="false">IF(COUNT(S104:AC104)=0,"",SUM(S104:AC104))</f>
        <v>98</v>
      </c>
      <c r="AE104" s="7"/>
      <c r="AF104" s="8"/>
      <c r="AG104" s="5"/>
      <c r="AH104" s="4"/>
      <c r="AI104" s="4" t="s">
        <v>62</v>
      </c>
      <c r="AJ104" s="4" t="s">
        <v>62</v>
      </c>
      <c r="AK104" s="4" t="s">
        <v>62</v>
      </c>
      <c r="AL104" s="4" t="s">
        <v>63</v>
      </c>
      <c r="AM104" s="4" t="s">
        <v>62</v>
      </c>
      <c r="AN104" s="4" t="s">
        <v>64</v>
      </c>
      <c r="AO104" s="4" t="s">
        <v>62</v>
      </c>
      <c r="AP104" s="4" t="s">
        <v>62</v>
      </c>
      <c r="AQ104" s="4" t="s">
        <v>62</v>
      </c>
      <c r="AR104" s="4" t="s">
        <v>73</v>
      </c>
      <c r="AS104" s="4" t="s">
        <v>185</v>
      </c>
      <c r="AT104" s="4" t="n">
        <v>8</v>
      </c>
      <c r="AU104" s="4" t="s">
        <v>66</v>
      </c>
      <c r="AV104" s="4" t="s">
        <v>380</v>
      </c>
      <c r="AW104" s="4" t="s">
        <v>393</v>
      </c>
      <c r="AX104" s="4" t="s">
        <v>394</v>
      </c>
      <c r="AY104" s="4" t="n">
        <v>9</v>
      </c>
      <c r="AZ104" s="4" t="s">
        <v>62</v>
      </c>
      <c r="BA104" s="4" t="s">
        <v>386</v>
      </c>
      <c r="BB104" s="4" t="s">
        <v>59</v>
      </c>
      <c r="BC104" s="6" t="n">
        <v>0.4706</v>
      </c>
      <c r="BD104" s="4" t="n">
        <v>89</v>
      </c>
    </row>
    <row r="105" customFormat="false" ht="228.35" hidden="false" customHeight="false" outlineLevel="0" collapsed="false">
      <c r="A105" s="4"/>
      <c r="B105" s="4" t="s">
        <v>56</v>
      </c>
      <c r="C105" s="4" t="s">
        <v>57</v>
      </c>
      <c r="D105" s="4" t="s">
        <v>58</v>
      </c>
      <c r="E105" s="4" t="s">
        <v>59</v>
      </c>
      <c r="F105" s="4" t="n">
        <v>2490</v>
      </c>
      <c r="G105" s="5" t="s">
        <v>382</v>
      </c>
      <c r="H105" s="5" t="s">
        <v>90</v>
      </c>
      <c r="I105" s="4"/>
      <c r="J105" s="4"/>
      <c r="K105" s="4"/>
      <c r="L105" s="4" t="n">
        <v>20</v>
      </c>
      <c r="M105" s="4" t="n">
        <v>20</v>
      </c>
      <c r="N105" s="4" t="n">
        <v>0</v>
      </c>
      <c r="O105" s="4" t="n">
        <v>16</v>
      </c>
      <c r="P105" s="4" t="n">
        <v>4</v>
      </c>
      <c r="Q105" s="4" t="n">
        <v>8</v>
      </c>
      <c r="R105" s="6" t="n">
        <f aca="false">IF(N(L105)=0,0,O105/L105)</f>
        <v>0.8</v>
      </c>
      <c r="S105" s="4" t="n">
        <f aca="false">IF(R105="","",IF(R105&gt;=0.8,50,IF(R105&gt;=0.5,30,IF(R105&gt;=0.01,10,0))))</f>
        <v>50</v>
      </c>
      <c r="T105" s="4" t="n">
        <f aca="false">IF(TRIM(AI105)="Yes",2.5,0)</f>
        <v>2.5</v>
      </c>
      <c r="U105" s="4" t="n">
        <f aca="false">IF(TRIM(AJ105)="Yes",10,0)</f>
        <v>10</v>
      </c>
      <c r="V105" s="4" t="n">
        <f aca="false">IF(TRIM(AK105)="Yes",5,0)</f>
        <v>5</v>
      </c>
      <c r="W105" s="4" t="n">
        <f aca="false">IF(TRIM(AM105)="Yes",5,0)</f>
        <v>5</v>
      </c>
      <c r="X105" s="4" t="n">
        <f aca="false">IF(OR(TRIM(AN105)="Fully Available",TRIM(AN105)="Not Applicable"),5,IF(TRIM(AN105)="Partially Available",2.5,0))</f>
        <v>5</v>
      </c>
      <c r="Y105" s="4" t="n">
        <f aca="false">IF(TRIM(AO105)="Yes",5,0)</f>
        <v>5</v>
      </c>
      <c r="Z105" s="4" t="n">
        <f aca="false">IF(TRIM(AP105)="Yes",2.5,0)</f>
        <v>2.5</v>
      </c>
      <c r="AA105" s="4" t="n">
        <f aca="false">IF(TRIM(AQ105)="Yes",5,0)</f>
        <v>5</v>
      </c>
      <c r="AB105" s="4" t="n">
        <f aca="false">IF(OR(TRIM(AR105)="Yes",TRIM(AR105)="Not Applicable"),5,0)</f>
        <v>5</v>
      </c>
      <c r="AC105" s="4" t="n">
        <f aca="false">IF(TRIM(AS105)="Excellent",5,IF(TRIM(AS105)="Very Good",4,IF(TRIM(AS105)="Good",3,IF(TRIM(AS105)="Average",2,0))))</f>
        <v>3</v>
      </c>
      <c r="AD105" s="7" t="n">
        <f aca="false">IF(COUNT(S105:AC105)=0,"",SUM(S105:AC105))</f>
        <v>98</v>
      </c>
      <c r="AE105" s="7"/>
      <c r="AF105" s="8"/>
      <c r="AG105" s="5"/>
      <c r="AH105" s="4"/>
      <c r="AI105" s="4" t="s">
        <v>62</v>
      </c>
      <c r="AJ105" s="4" t="s">
        <v>62</v>
      </c>
      <c r="AK105" s="4" t="s">
        <v>62</v>
      </c>
      <c r="AL105" s="4" t="s">
        <v>63</v>
      </c>
      <c r="AM105" s="4" t="s">
        <v>62</v>
      </c>
      <c r="AN105" s="4" t="s">
        <v>64</v>
      </c>
      <c r="AO105" s="4" t="s">
        <v>62</v>
      </c>
      <c r="AP105" s="4" t="s">
        <v>62</v>
      </c>
      <c r="AQ105" s="4" t="s">
        <v>62</v>
      </c>
      <c r="AR105" s="4" t="s">
        <v>73</v>
      </c>
      <c r="AS105" s="4" t="s">
        <v>185</v>
      </c>
      <c r="AT105" s="4" t="n">
        <v>8</v>
      </c>
      <c r="AU105" s="4" t="s">
        <v>66</v>
      </c>
      <c r="AV105" s="4" t="s">
        <v>380</v>
      </c>
      <c r="AW105" s="4" t="s">
        <v>395</v>
      </c>
      <c r="AX105" s="4" t="s">
        <v>396</v>
      </c>
      <c r="AY105" s="4" t="n">
        <v>7</v>
      </c>
      <c r="AZ105" s="4" t="s">
        <v>62</v>
      </c>
      <c r="BA105" s="4" t="s">
        <v>386</v>
      </c>
      <c r="BB105" s="4" t="s">
        <v>59</v>
      </c>
      <c r="BC105" s="6" t="n">
        <v>0.5</v>
      </c>
      <c r="BD105" s="4" t="n">
        <v>89</v>
      </c>
    </row>
    <row r="106" customFormat="false" ht="228.35" hidden="false" customHeight="false" outlineLevel="0" collapsed="false">
      <c r="A106" s="4"/>
      <c r="B106" s="4" t="s">
        <v>56</v>
      </c>
      <c r="C106" s="4" t="s">
        <v>57</v>
      </c>
      <c r="D106" s="4" t="s">
        <v>58</v>
      </c>
      <c r="E106" s="4" t="s">
        <v>59</v>
      </c>
      <c r="F106" s="4" t="n">
        <v>2490</v>
      </c>
      <c r="G106" s="5" t="s">
        <v>382</v>
      </c>
      <c r="H106" s="5" t="s">
        <v>397</v>
      </c>
      <c r="I106" s="4"/>
      <c r="J106" s="4"/>
      <c r="K106" s="4"/>
      <c r="L106" s="4" t="n">
        <v>20</v>
      </c>
      <c r="M106" s="4" t="n">
        <v>20</v>
      </c>
      <c r="N106" s="4" t="n">
        <v>0</v>
      </c>
      <c r="O106" s="4" t="n">
        <v>14</v>
      </c>
      <c r="P106" s="4" t="n">
        <v>6</v>
      </c>
      <c r="Q106" s="4" t="n">
        <v>8</v>
      </c>
      <c r="R106" s="6" t="n">
        <f aca="false">IF(N(L106)=0,0,O106/L106)</f>
        <v>0.7</v>
      </c>
      <c r="S106" s="4" t="n">
        <f aca="false">IF(R106="","",IF(R106&gt;=0.8,50,IF(R106&gt;=0.5,30,IF(R106&gt;=0.01,10,0))))</f>
        <v>30</v>
      </c>
      <c r="T106" s="4" t="n">
        <f aca="false">IF(TRIM(AI106)="Yes",2.5,0)</f>
        <v>2.5</v>
      </c>
      <c r="U106" s="4" t="n">
        <f aca="false">IF(TRIM(AJ106)="Yes",10,0)</f>
        <v>10</v>
      </c>
      <c r="V106" s="4" t="n">
        <f aca="false">IF(TRIM(AK106)="Yes",5,0)</f>
        <v>5</v>
      </c>
      <c r="W106" s="4" t="n">
        <f aca="false">IF(TRIM(AM106)="Yes",5,0)</f>
        <v>5</v>
      </c>
      <c r="X106" s="4" t="n">
        <f aca="false">IF(OR(TRIM(AN106)="Fully Available",TRIM(AN106)="Not Applicable"),5,IF(TRIM(AN106)="Partially Available",2.5,0))</f>
        <v>5</v>
      </c>
      <c r="Y106" s="4" t="n">
        <f aca="false">IF(TRIM(AO106)="Yes",5,0)</f>
        <v>0</v>
      </c>
      <c r="Z106" s="4" t="n">
        <f aca="false">IF(TRIM(AP106)="Yes",2.5,0)</f>
        <v>2.5</v>
      </c>
      <c r="AA106" s="4" t="n">
        <f aca="false">IF(TRIM(AQ106)="Yes",5,0)</f>
        <v>0</v>
      </c>
      <c r="AB106" s="4" t="n">
        <f aca="false">IF(OR(TRIM(AR106)="Yes",TRIM(AR106)="Not Applicable"),5,0)</f>
        <v>5</v>
      </c>
      <c r="AC106" s="4" t="n">
        <f aca="false">IF(TRIM(AS106)="Excellent",5,IF(TRIM(AS106)="Very Good",4,IF(TRIM(AS106)="Good",3,IF(TRIM(AS106)="Average",2,0))))</f>
        <v>3</v>
      </c>
      <c r="AD106" s="7" t="n">
        <f aca="false">IF(COUNT(S106:AC106)=0,"",SUM(S106:AC106))</f>
        <v>68</v>
      </c>
      <c r="AE106" s="7"/>
      <c r="AF106" s="8"/>
      <c r="AG106" s="5"/>
      <c r="AH106" s="4"/>
      <c r="AI106" s="4" t="s">
        <v>62</v>
      </c>
      <c r="AJ106" s="4" t="s">
        <v>62</v>
      </c>
      <c r="AK106" s="4" t="s">
        <v>62</v>
      </c>
      <c r="AL106" s="4" t="s">
        <v>63</v>
      </c>
      <c r="AM106" s="4" t="s">
        <v>62</v>
      </c>
      <c r="AN106" s="4" t="s">
        <v>64</v>
      </c>
      <c r="AO106" s="4" t="s">
        <v>82</v>
      </c>
      <c r="AP106" s="4" t="s">
        <v>62</v>
      </c>
      <c r="AQ106" s="4" t="s">
        <v>82</v>
      </c>
      <c r="AR106" s="4" t="s">
        <v>62</v>
      </c>
      <c r="AS106" s="4" t="s">
        <v>185</v>
      </c>
      <c r="AT106" s="4" t="n">
        <v>0</v>
      </c>
      <c r="AU106" s="4" t="s">
        <v>66</v>
      </c>
      <c r="AV106" s="4" t="s">
        <v>380</v>
      </c>
      <c r="AW106" s="4" t="s">
        <v>398</v>
      </c>
      <c r="AX106" s="4" t="s">
        <v>388</v>
      </c>
      <c r="AY106" s="4" t="n">
        <v>10</v>
      </c>
      <c r="AZ106" s="4" t="s">
        <v>62</v>
      </c>
      <c r="BA106" s="4" t="s">
        <v>386</v>
      </c>
      <c r="BB106" s="4" t="s">
        <v>59</v>
      </c>
      <c r="BC106" s="6" t="n">
        <v>0.5714</v>
      </c>
      <c r="BD106" s="4" t="n">
        <v>89</v>
      </c>
    </row>
    <row r="107" customFormat="false" ht="228.35" hidden="false" customHeight="false" outlineLevel="0" collapsed="false">
      <c r="A107" s="4"/>
      <c r="B107" s="4" t="s">
        <v>56</v>
      </c>
      <c r="C107" s="4" t="s">
        <v>57</v>
      </c>
      <c r="D107" s="4" t="s">
        <v>58</v>
      </c>
      <c r="E107" s="4" t="s">
        <v>59</v>
      </c>
      <c r="F107" s="4" t="n">
        <v>2490</v>
      </c>
      <c r="G107" s="5" t="s">
        <v>382</v>
      </c>
      <c r="H107" s="5" t="s">
        <v>124</v>
      </c>
      <c r="I107" s="4"/>
      <c r="J107" s="4"/>
      <c r="K107" s="4"/>
      <c r="L107" s="4" t="n">
        <v>20</v>
      </c>
      <c r="M107" s="4" t="n">
        <v>20</v>
      </c>
      <c r="N107" s="4" t="n">
        <v>0</v>
      </c>
      <c r="O107" s="4" t="n">
        <v>18</v>
      </c>
      <c r="P107" s="4" t="n">
        <v>2</v>
      </c>
      <c r="Q107" s="4" t="n">
        <v>6</v>
      </c>
      <c r="R107" s="6" t="n">
        <f aca="false">IF(N(L107)=0,0,O107/L107)</f>
        <v>0.9</v>
      </c>
      <c r="S107" s="4" t="n">
        <f aca="false">IF(R107="","",IF(R107&gt;=0.8,50,IF(R107&gt;=0.5,30,IF(R107&gt;=0.01,10,0))))</f>
        <v>50</v>
      </c>
      <c r="T107" s="4" t="n">
        <f aca="false">IF(TRIM(AI107)="Yes",2.5,0)</f>
        <v>2.5</v>
      </c>
      <c r="U107" s="4" t="n">
        <f aca="false">IF(TRIM(AJ107)="Yes",10,0)</f>
        <v>10</v>
      </c>
      <c r="V107" s="4" t="n">
        <f aca="false">IF(TRIM(AK107)="Yes",5,0)</f>
        <v>5</v>
      </c>
      <c r="W107" s="4" t="n">
        <f aca="false">IF(TRIM(AM107)="Yes",5,0)</f>
        <v>5</v>
      </c>
      <c r="X107" s="4" t="n">
        <f aca="false">IF(OR(TRIM(AN107)="Fully Available",TRIM(AN107)="Not Applicable"),5,IF(TRIM(AN107)="Partially Available",2.5,0))</f>
        <v>5</v>
      </c>
      <c r="Y107" s="4" t="n">
        <f aca="false">IF(TRIM(AO107)="Yes",5,0)</f>
        <v>5</v>
      </c>
      <c r="Z107" s="4" t="n">
        <f aca="false">IF(TRIM(AP107)="Yes",2.5,0)</f>
        <v>2.5</v>
      </c>
      <c r="AA107" s="4" t="n">
        <f aca="false">IF(TRIM(AQ107)="Yes",5,0)</f>
        <v>5</v>
      </c>
      <c r="AB107" s="4" t="n">
        <f aca="false">IF(OR(TRIM(AR107)="Yes",TRIM(AR107)="Not Applicable"),5,0)</f>
        <v>5</v>
      </c>
      <c r="AC107" s="4" t="n">
        <f aca="false">IF(TRIM(AS107)="Excellent",5,IF(TRIM(AS107)="Very Good",4,IF(TRIM(AS107)="Good",3,IF(TRIM(AS107)="Average",2,0))))</f>
        <v>3</v>
      </c>
      <c r="AD107" s="7" t="n">
        <f aca="false">IF(COUNT(S107:AC107)=0,"",SUM(S107:AC107))</f>
        <v>98</v>
      </c>
      <c r="AE107" s="7"/>
      <c r="AF107" s="8"/>
      <c r="AG107" s="5"/>
      <c r="AH107" s="4"/>
      <c r="AI107" s="4" t="s">
        <v>62</v>
      </c>
      <c r="AJ107" s="4" t="s">
        <v>62</v>
      </c>
      <c r="AK107" s="4" t="s">
        <v>62</v>
      </c>
      <c r="AL107" s="4" t="s">
        <v>63</v>
      </c>
      <c r="AM107" s="4" t="s">
        <v>62</v>
      </c>
      <c r="AN107" s="4" t="s">
        <v>64</v>
      </c>
      <c r="AO107" s="4" t="s">
        <v>62</v>
      </c>
      <c r="AP107" s="4" t="s">
        <v>62</v>
      </c>
      <c r="AQ107" s="4" t="s">
        <v>62</v>
      </c>
      <c r="AR107" s="4" t="s">
        <v>62</v>
      </c>
      <c r="AS107" s="4" t="s">
        <v>185</v>
      </c>
      <c r="AT107" s="4" t="n">
        <v>7</v>
      </c>
      <c r="AU107" s="4" t="s">
        <v>112</v>
      </c>
      <c r="AV107" s="4" t="s">
        <v>380</v>
      </c>
      <c r="AW107" s="4" t="s">
        <v>399</v>
      </c>
      <c r="AX107" s="4" t="s">
        <v>400</v>
      </c>
      <c r="AY107" s="4" t="n">
        <v>25</v>
      </c>
      <c r="AZ107" s="4" t="s">
        <v>62</v>
      </c>
      <c r="BA107" s="4" t="s">
        <v>386</v>
      </c>
      <c r="BB107" s="4" t="s">
        <v>59</v>
      </c>
      <c r="BC107" s="6" t="n">
        <v>0.3333</v>
      </c>
      <c r="BD107" s="4" t="n">
        <v>89</v>
      </c>
    </row>
    <row r="108" customFormat="false" ht="285.05" hidden="false" customHeight="false" outlineLevel="0" collapsed="false">
      <c r="A108" s="4" t="n">
        <v>40</v>
      </c>
      <c r="B108" s="4" t="s">
        <v>56</v>
      </c>
      <c r="C108" s="4" t="s">
        <v>57</v>
      </c>
      <c r="D108" s="4" t="s">
        <v>58</v>
      </c>
      <c r="E108" s="4" t="s">
        <v>59</v>
      </c>
      <c r="F108" s="4" t="n">
        <v>3015</v>
      </c>
      <c r="G108" s="5" t="s">
        <v>401</v>
      </c>
      <c r="H108" s="5" t="s">
        <v>72</v>
      </c>
      <c r="I108" s="4"/>
      <c r="J108" s="4"/>
      <c r="K108" s="4"/>
      <c r="L108" s="4" t="n">
        <v>40</v>
      </c>
      <c r="M108" s="4" t="n">
        <v>11</v>
      </c>
      <c r="N108" s="4" t="n">
        <v>29</v>
      </c>
      <c r="O108" s="4" t="n">
        <v>10</v>
      </c>
      <c r="P108" s="4" t="n">
        <v>1</v>
      </c>
      <c r="Q108" s="4" t="n">
        <v>10</v>
      </c>
      <c r="R108" s="6" t="n">
        <f aca="false">IF(N(L108)=0,0,O108/L108)</f>
        <v>0.25</v>
      </c>
      <c r="S108" s="4" t="n">
        <f aca="false">IF(R108="","",IF(R108&gt;=0.8,50,IF(R108&gt;=0.5,30,IF(R108&gt;=0.01,10,0))))</f>
        <v>10</v>
      </c>
      <c r="T108" s="4" t="n">
        <f aca="false">IF(TRIM(AI108)="Yes",2.5,0)</f>
        <v>0</v>
      </c>
      <c r="U108" s="4" t="n">
        <f aca="false">IF(TRIM(AJ108)="Yes",10,0)</f>
        <v>0</v>
      </c>
      <c r="V108" s="4" t="n">
        <f aca="false">IF(TRIM(AK108)="Yes",5,0)</f>
        <v>5</v>
      </c>
      <c r="W108" s="4" t="n">
        <f aca="false">IF(TRIM(AM108)="Yes",5,0)</f>
        <v>5</v>
      </c>
      <c r="X108" s="4" t="n">
        <f aca="false">IF(OR(TRIM(AN108)="Fully Available",TRIM(AN108)="Not Applicable"),5,IF(TRIM(AN108)="Partially Available",2.5,0))</f>
        <v>5</v>
      </c>
      <c r="Y108" s="4" t="n">
        <f aca="false">IF(TRIM(AO108)="Yes",5,0)</f>
        <v>5</v>
      </c>
      <c r="Z108" s="4" t="n">
        <f aca="false">IF(TRIM(AP108)="Yes",2.5,0)</f>
        <v>2.5</v>
      </c>
      <c r="AA108" s="4" t="n">
        <f aca="false">IF(TRIM(AQ108)="Yes",5,0)</f>
        <v>5</v>
      </c>
      <c r="AB108" s="4" t="n">
        <f aca="false">IF(OR(TRIM(AR108)="Yes",TRIM(AR108)="Not Applicable"),5,0)</f>
        <v>5</v>
      </c>
      <c r="AC108" s="4" t="n">
        <f aca="false">IF(TRIM(AS108)="Excellent",5,IF(TRIM(AS108)="Very Good",4,IF(TRIM(AS108)="Good",3,IF(TRIM(AS108)="Average",2,0))))</f>
        <v>4</v>
      </c>
      <c r="AD108" s="7" t="n">
        <f aca="false">IF(COUNT(S108:AC108)=0,"",SUM(S108:AC108))</f>
        <v>46.5</v>
      </c>
      <c r="AE108" s="7" t="n">
        <f aca="false">IF(COUNTIF($F$2:F108,F108)=1,IFERROR(AVERAGEIF($F:$F,F108,$AD:$AD),""),"")</f>
        <v>55.1363636363636</v>
      </c>
      <c r="AF108" s="8" t="str">
        <f aca="false">IF(AH108&lt;&gt;"",AH108,IF(AE108="","",IF(AE108&gt;=80,"Excellent",IF(AE108&gt;=70,"Very Good",IF(AE108&gt;=60,"Good",IF(AE108&gt;=50,"Average","Poor"))))))</f>
        <v>Average</v>
      </c>
      <c r="AG108" s="5"/>
      <c r="AH108" s="4"/>
      <c r="AI108" s="4" t="s">
        <v>82</v>
      </c>
      <c r="AJ108" s="4" t="s">
        <v>82</v>
      </c>
      <c r="AK108" s="4" t="s">
        <v>62</v>
      </c>
      <c r="AL108" s="4" t="s">
        <v>63</v>
      </c>
      <c r="AM108" s="4" t="s">
        <v>62</v>
      </c>
      <c r="AN108" s="4" t="s">
        <v>64</v>
      </c>
      <c r="AO108" s="4" t="s">
        <v>62</v>
      </c>
      <c r="AP108" s="4" t="s">
        <v>62</v>
      </c>
      <c r="AQ108" s="4" t="s">
        <v>62</v>
      </c>
      <c r="AR108" s="4" t="s">
        <v>73</v>
      </c>
      <c r="AS108" s="4" t="s">
        <v>74</v>
      </c>
      <c r="AT108" s="4" t="n">
        <v>4</v>
      </c>
      <c r="AU108" s="4" t="s">
        <v>66</v>
      </c>
      <c r="AV108" s="4" t="s">
        <v>380</v>
      </c>
      <c r="AW108" s="4" t="s">
        <v>402</v>
      </c>
      <c r="AX108" s="4" t="s">
        <v>163</v>
      </c>
      <c r="AY108" s="4" t="n">
        <v>3</v>
      </c>
      <c r="AZ108" s="4" t="s">
        <v>62</v>
      </c>
      <c r="BA108" s="4" t="s">
        <v>403</v>
      </c>
      <c r="BB108" s="4" t="s">
        <v>59</v>
      </c>
      <c r="BC108" s="6" t="n">
        <v>1</v>
      </c>
      <c r="BD108" s="4" t="n">
        <v>76</v>
      </c>
    </row>
    <row r="109" customFormat="false" ht="285.05" hidden="false" customHeight="false" outlineLevel="0" collapsed="false">
      <c r="A109" s="4"/>
      <c r="B109" s="4" t="s">
        <v>56</v>
      </c>
      <c r="C109" s="4" t="s">
        <v>57</v>
      </c>
      <c r="D109" s="4" t="s">
        <v>58</v>
      </c>
      <c r="E109" s="4" t="s">
        <v>59</v>
      </c>
      <c r="F109" s="4" t="n">
        <v>3015</v>
      </c>
      <c r="G109" s="5" t="s">
        <v>401</v>
      </c>
      <c r="H109" s="5" t="s">
        <v>404</v>
      </c>
      <c r="I109" s="4"/>
      <c r="J109" s="4"/>
      <c r="K109" s="4"/>
      <c r="L109" s="4" t="n">
        <v>40</v>
      </c>
      <c r="M109" s="4" t="n">
        <v>29</v>
      </c>
      <c r="N109" s="4" t="n">
        <v>11</v>
      </c>
      <c r="O109" s="4" t="n">
        <v>17</v>
      </c>
      <c r="P109" s="4" t="n">
        <v>12</v>
      </c>
      <c r="Q109" s="4" t="n">
        <v>9</v>
      </c>
      <c r="R109" s="6" t="n">
        <f aca="false">IF(N(L109)=0,0,O109/L109)</f>
        <v>0.425</v>
      </c>
      <c r="S109" s="4" t="n">
        <f aca="false">IF(R109="","",IF(R109&gt;=0.8,50,IF(R109&gt;=0.5,30,IF(R109&gt;=0.01,10,0))))</f>
        <v>10</v>
      </c>
      <c r="T109" s="4" t="n">
        <f aca="false">IF(TRIM(AI109)="Yes",2.5,0)</f>
        <v>0</v>
      </c>
      <c r="U109" s="4" t="n">
        <f aca="false">IF(TRIM(AJ109)="Yes",10,0)</f>
        <v>0</v>
      </c>
      <c r="V109" s="4" t="n">
        <f aca="false">IF(TRIM(AK109)="Yes",5,0)</f>
        <v>5</v>
      </c>
      <c r="W109" s="4" t="n">
        <f aca="false">IF(TRIM(AM109)="Yes",5,0)</f>
        <v>5</v>
      </c>
      <c r="X109" s="4" t="n">
        <f aca="false">IF(OR(TRIM(AN109)="Fully Available",TRIM(AN109)="Not Applicable"),5,IF(TRIM(AN109)="Partially Available",2.5,0))</f>
        <v>5</v>
      </c>
      <c r="Y109" s="4" t="n">
        <f aca="false">IF(TRIM(AO109)="Yes",5,0)</f>
        <v>5</v>
      </c>
      <c r="Z109" s="4" t="n">
        <f aca="false">IF(TRIM(AP109)="Yes",2.5,0)</f>
        <v>2.5</v>
      </c>
      <c r="AA109" s="4" t="n">
        <f aca="false">IF(TRIM(AQ109)="Yes",5,0)</f>
        <v>5</v>
      </c>
      <c r="AB109" s="4" t="n">
        <f aca="false">IF(OR(TRIM(AR109)="Yes",TRIM(AR109)="Not Applicable"),5,0)</f>
        <v>5</v>
      </c>
      <c r="AC109" s="4" t="n">
        <f aca="false">IF(TRIM(AS109)="Excellent",5,IF(TRIM(AS109)="Very Good",4,IF(TRIM(AS109)="Good",3,IF(TRIM(AS109)="Average",2,0))))</f>
        <v>4</v>
      </c>
      <c r="AD109" s="7" t="n">
        <f aca="false">IF(COUNT(S109:AC109)=0,"",SUM(S109:AC109))</f>
        <v>46.5</v>
      </c>
      <c r="AE109" s="7"/>
      <c r="AF109" s="8"/>
      <c r="AG109" s="5"/>
      <c r="AH109" s="4"/>
      <c r="AI109" s="4" t="s">
        <v>82</v>
      </c>
      <c r="AJ109" s="4" t="s">
        <v>82</v>
      </c>
      <c r="AK109" s="4" t="s">
        <v>62</v>
      </c>
      <c r="AL109" s="4" t="s">
        <v>63</v>
      </c>
      <c r="AM109" s="4" t="s">
        <v>62</v>
      </c>
      <c r="AN109" s="4" t="s">
        <v>64</v>
      </c>
      <c r="AO109" s="4" t="s">
        <v>62</v>
      </c>
      <c r="AP109" s="4" t="s">
        <v>62</v>
      </c>
      <c r="AQ109" s="4" t="s">
        <v>62</v>
      </c>
      <c r="AR109" s="4" t="s">
        <v>73</v>
      </c>
      <c r="AS109" s="4" t="s">
        <v>74</v>
      </c>
      <c r="AT109" s="4" t="n">
        <v>3</v>
      </c>
      <c r="AU109" s="4" t="s">
        <v>66</v>
      </c>
      <c r="AV109" s="4" t="s">
        <v>380</v>
      </c>
      <c r="AW109" s="4" t="s">
        <v>405</v>
      </c>
      <c r="AX109" s="4" t="s">
        <v>406</v>
      </c>
      <c r="AY109" s="4" t="n">
        <v>9</v>
      </c>
      <c r="AZ109" s="4" t="s">
        <v>62</v>
      </c>
      <c r="BA109" s="4" t="s">
        <v>403</v>
      </c>
      <c r="BB109" s="4" t="s">
        <v>59</v>
      </c>
      <c r="BC109" s="6" t="n">
        <v>0.5294</v>
      </c>
      <c r="BD109" s="4" t="n">
        <v>76</v>
      </c>
    </row>
    <row r="110" customFormat="false" ht="285.05" hidden="false" customHeight="false" outlineLevel="0" collapsed="false">
      <c r="A110" s="4"/>
      <c r="B110" s="4" t="s">
        <v>56</v>
      </c>
      <c r="C110" s="4" t="s">
        <v>57</v>
      </c>
      <c r="D110" s="4" t="s">
        <v>58</v>
      </c>
      <c r="E110" s="4" t="s">
        <v>59</v>
      </c>
      <c r="F110" s="4" t="n">
        <v>3015</v>
      </c>
      <c r="G110" s="5" t="s">
        <v>401</v>
      </c>
      <c r="H110" s="5" t="s">
        <v>115</v>
      </c>
      <c r="I110" s="4"/>
      <c r="J110" s="4"/>
      <c r="K110" s="4"/>
      <c r="L110" s="4" t="n">
        <v>40</v>
      </c>
      <c r="M110" s="4" t="n">
        <v>40</v>
      </c>
      <c r="N110" s="4" t="n">
        <v>0</v>
      </c>
      <c r="O110" s="4" t="n">
        <v>9</v>
      </c>
      <c r="P110" s="4" t="n">
        <v>31</v>
      </c>
      <c r="Q110" s="4" t="n">
        <v>8</v>
      </c>
      <c r="R110" s="6" t="n">
        <f aca="false">IF(N(L110)=0,0,O110/L110)</f>
        <v>0.225</v>
      </c>
      <c r="S110" s="4" t="n">
        <f aca="false">IF(R110="","",IF(R110&gt;=0.8,50,IF(R110&gt;=0.5,30,IF(R110&gt;=0.01,10,0))))</f>
        <v>10</v>
      </c>
      <c r="T110" s="4" t="n">
        <f aca="false">IF(TRIM(AI110)="Yes",2.5,0)</f>
        <v>0</v>
      </c>
      <c r="U110" s="4" t="n">
        <f aca="false">IF(TRIM(AJ110)="Yes",10,0)</f>
        <v>0</v>
      </c>
      <c r="V110" s="4" t="n">
        <f aca="false">IF(TRIM(AK110)="Yes",5,0)</f>
        <v>5</v>
      </c>
      <c r="W110" s="4" t="n">
        <f aca="false">IF(TRIM(AM110)="Yes",5,0)</f>
        <v>5</v>
      </c>
      <c r="X110" s="4" t="n">
        <f aca="false">IF(OR(TRIM(AN110)="Fully Available",TRIM(AN110)="Not Applicable"),5,IF(TRIM(AN110)="Partially Available",2.5,0))</f>
        <v>5</v>
      </c>
      <c r="Y110" s="4" t="n">
        <f aca="false">IF(TRIM(AO110)="Yes",5,0)</f>
        <v>5</v>
      </c>
      <c r="Z110" s="4" t="n">
        <f aca="false">IF(TRIM(AP110)="Yes",2.5,0)</f>
        <v>2.5</v>
      </c>
      <c r="AA110" s="4" t="n">
        <f aca="false">IF(TRIM(AQ110)="Yes",5,0)</f>
        <v>5</v>
      </c>
      <c r="AB110" s="4" t="n">
        <f aca="false">IF(OR(TRIM(AR110)="Yes",TRIM(AR110)="Not Applicable"),5,0)</f>
        <v>5</v>
      </c>
      <c r="AC110" s="4" t="n">
        <f aca="false">IF(TRIM(AS110)="Excellent",5,IF(TRIM(AS110)="Very Good",4,IF(TRIM(AS110)="Good",3,IF(TRIM(AS110)="Average",2,0))))</f>
        <v>4</v>
      </c>
      <c r="AD110" s="7" t="n">
        <f aca="false">IF(COUNT(S110:AC110)=0,"",SUM(S110:AC110))</f>
        <v>46.5</v>
      </c>
      <c r="AE110" s="7"/>
      <c r="AF110" s="8"/>
      <c r="AG110" s="5"/>
      <c r="AH110" s="4"/>
      <c r="AI110" s="4" t="s">
        <v>82</v>
      </c>
      <c r="AJ110" s="4" t="s">
        <v>82</v>
      </c>
      <c r="AK110" s="4" t="s">
        <v>62</v>
      </c>
      <c r="AL110" s="4" t="s">
        <v>63</v>
      </c>
      <c r="AM110" s="4" t="s">
        <v>62</v>
      </c>
      <c r="AN110" s="4" t="s">
        <v>64</v>
      </c>
      <c r="AO110" s="4" t="s">
        <v>62</v>
      </c>
      <c r="AP110" s="4" t="s">
        <v>62</v>
      </c>
      <c r="AQ110" s="4" t="s">
        <v>62</v>
      </c>
      <c r="AR110" s="4" t="s">
        <v>73</v>
      </c>
      <c r="AS110" s="4" t="s">
        <v>74</v>
      </c>
      <c r="AT110" s="4" t="n">
        <v>5</v>
      </c>
      <c r="AU110" s="4" t="s">
        <v>66</v>
      </c>
      <c r="AV110" s="4" t="s">
        <v>380</v>
      </c>
      <c r="AW110" s="4" t="s">
        <v>407</v>
      </c>
      <c r="AX110" s="4" t="s">
        <v>408</v>
      </c>
      <c r="AY110" s="4" t="n">
        <v>4</v>
      </c>
      <c r="AZ110" s="4" t="s">
        <v>62</v>
      </c>
      <c r="BA110" s="4" t="s">
        <v>403</v>
      </c>
      <c r="BB110" s="4" t="s">
        <v>59</v>
      </c>
      <c r="BC110" s="6" t="n">
        <v>0.8889</v>
      </c>
      <c r="BD110" s="4" t="n">
        <v>76</v>
      </c>
    </row>
    <row r="111" customFormat="false" ht="285.05" hidden="false" customHeight="false" outlineLevel="0" collapsed="false">
      <c r="A111" s="4"/>
      <c r="B111" s="4" t="s">
        <v>56</v>
      </c>
      <c r="C111" s="4" t="s">
        <v>57</v>
      </c>
      <c r="D111" s="4" t="s">
        <v>58</v>
      </c>
      <c r="E111" s="4" t="s">
        <v>59</v>
      </c>
      <c r="F111" s="4" t="n">
        <v>3015</v>
      </c>
      <c r="G111" s="5" t="s">
        <v>401</v>
      </c>
      <c r="H111" s="5" t="s">
        <v>207</v>
      </c>
      <c r="I111" s="4"/>
      <c r="J111" s="4"/>
      <c r="K111" s="4"/>
      <c r="L111" s="4" t="n">
        <v>60</v>
      </c>
      <c r="M111" s="4" t="n">
        <v>60</v>
      </c>
      <c r="N111" s="4" t="n">
        <v>0</v>
      </c>
      <c r="O111" s="4" t="n">
        <v>60</v>
      </c>
      <c r="P111" s="4" t="n">
        <v>0</v>
      </c>
      <c r="Q111" s="4" t="n">
        <v>30</v>
      </c>
      <c r="R111" s="6" t="n">
        <f aca="false">IF(N(L111)=0,0,O111/L111)</f>
        <v>1</v>
      </c>
      <c r="S111" s="4" t="n">
        <f aca="false">IF(R111="","",IF(R111&gt;=0.8,50,IF(R111&gt;=0.5,30,IF(R111&gt;=0.01,10,0))))</f>
        <v>50</v>
      </c>
      <c r="T111" s="4" t="n">
        <f aca="false">IF(TRIM(AI111)="Yes",2.5,0)</f>
        <v>0</v>
      </c>
      <c r="U111" s="4" t="n">
        <f aca="false">IF(TRIM(AJ111)="Yes",10,0)</f>
        <v>0</v>
      </c>
      <c r="V111" s="4" t="n">
        <f aca="false">IF(TRIM(AK111)="Yes",5,0)</f>
        <v>5</v>
      </c>
      <c r="W111" s="4" t="n">
        <f aca="false">IF(TRIM(AM111)="Yes",5,0)</f>
        <v>5</v>
      </c>
      <c r="X111" s="4" t="n">
        <f aca="false">IF(OR(TRIM(AN111)="Fully Available",TRIM(AN111)="Not Applicable"),5,IF(TRIM(AN111)="Partially Available",2.5,0))</f>
        <v>5</v>
      </c>
      <c r="Y111" s="4" t="n">
        <f aca="false">IF(TRIM(AO111)="Yes",5,0)</f>
        <v>5</v>
      </c>
      <c r="Z111" s="4" t="n">
        <f aca="false">IF(TRIM(AP111)="Yes",2.5,0)</f>
        <v>2.5</v>
      </c>
      <c r="AA111" s="4" t="n">
        <f aca="false">IF(TRIM(AQ111)="Yes",5,0)</f>
        <v>5</v>
      </c>
      <c r="AB111" s="4" t="n">
        <f aca="false">IF(OR(TRIM(AR111)="Yes",TRIM(AR111)="Not Applicable"),5,0)</f>
        <v>5</v>
      </c>
      <c r="AC111" s="4" t="n">
        <f aca="false">IF(TRIM(AS111)="Excellent",5,IF(TRIM(AS111)="Very Good",4,IF(TRIM(AS111)="Good",3,IF(TRIM(AS111)="Average",2,0))))</f>
        <v>4</v>
      </c>
      <c r="AD111" s="7" t="n">
        <f aca="false">IF(COUNT(S111:AC111)=0,"",SUM(S111:AC111))</f>
        <v>86.5</v>
      </c>
      <c r="AE111" s="7"/>
      <c r="AF111" s="8"/>
      <c r="AG111" s="5"/>
      <c r="AH111" s="4"/>
      <c r="AI111" s="4" t="s">
        <v>82</v>
      </c>
      <c r="AJ111" s="4" t="s">
        <v>82</v>
      </c>
      <c r="AK111" s="4" t="s">
        <v>62</v>
      </c>
      <c r="AL111" s="4" t="s">
        <v>63</v>
      </c>
      <c r="AM111" s="4" t="s">
        <v>62</v>
      </c>
      <c r="AN111" s="4" t="s">
        <v>64</v>
      </c>
      <c r="AO111" s="4" t="s">
        <v>62</v>
      </c>
      <c r="AP111" s="4" t="s">
        <v>62</v>
      </c>
      <c r="AQ111" s="4" t="s">
        <v>62</v>
      </c>
      <c r="AR111" s="4" t="s">
        <v>62</v>
      </c>
      <c r="AS111" s="4" t="s">
        <v>74</v>
      </c>
      <c r="AT111" s="4" t="n">
        <v>4</v>
      </c>
      <c r="AU111" s="4" t="s">
        <v>112</v>
      </c>
      <c r="AV111" s="4" t="s">
        <v>380</v>
      </c>
      <c r="AW111" s="4" t="s">
        <v>409</v>
      </c>
      <c r="AX111" s="4" t="s">
        <v>410</v>
      </c>
      <c r="AY111" s="4" t="n">
        <v>1</v>
      </c>
      <c r="AZ111" s="4" t="s">
        <v>62</v>
      </c>
      <c r="BA111" s="4" t="s">
        <v>403</v>
      </c>
      <c r="BB111" s="4" t="s">
        <v>59</v>
      </c>
      <c r="BC111" s="6" t="n">
        <v>0.5</v>
      </c>
      <c r="BD111" s="4" t="n">
        <v>76</v>
      </c>
    </row>
    <row r="112" customFormat="false" ht="285.05" hidden="false" customHeight="false" outlineLevel="0" collapsed="false">
      <c r="A112" s="4"/>
      <c r="B112" s="4" t="s">
        <v>56</v>
      </c>
      <c r="C112" s="4" t="s">
        <v>57</v>
      </c>
      <c r="D112" s="4" t="s">
        <v>58</v>
      </c>
      <c r="E112" s="4" t="s">
        <v>59</v>
      </c>
      <c r="F112" s="4" t="n">
        <v>3015</v>
      </c>
      <c r="G112" s="5" t="s">
        <v>401</v>
      </c>
      <c r="H112" s="5" t="s">
        <v>78</v>
      </c>
      <c r="I112" s="4"/>
      <c r="J112" s="4"/>
      <c r="K112" s="4"/>
      <c r="L112" s="4" t="n">
        <v>40</v>
      </c>
      <c r="M112" s="4" t="n">
        <v>33</v>
      </c>
      <c r="N112" s="4" t="n">
        <v>7</v>
      </c>
      <c r="O112" s="4" t="n">
        <v>12</v>
      </c>
      <c r="P112" s="4" t="n">
        <v>21</v>
      </c>
      <c r="Q112" s="4" t="n">
        <v>8</v>
      </c>
      <c r="R112" s="6" t="n">
        <f aca="false">IF(N(L112)=0,0,O112/L112)</f>
        <v>0.3</v>
      </c>
      <c r="S112" s="4" t="n">
        <f aca="false">IF(R112="","",IF(R112&gt;=0.8,50,IF(R112&gt;=0.5,30,IF(R112&gt;=0.01,10,0))))</f>
        <v>10</v>
      </c>
      <c r="T112" s="4" t="n">
        <f aca="false">IF(TRIM(AI112)="Yes",2.5,0)</f>
        <v>0</v>
      </c>
      <c r="U112" s="4" t="n">
        <f aca="false">IF(TRIM(AJ112)="Yes",10,0)</f>
        <v>0</v>
      </c>
      <c r="V112" s="4" t="n">
        <f aca="false">IF(TRIM(AK112)="Yes",5,0)</f>
        <v>5</v>
      </c>
      <c r="W112" s="4" t="n">
        <f aca="false">IF(TRIM(AM112)="Yes",5,0)</f>
        <v>5</v>
      </c>
      <c r="X112" s="4" t="n">
        <f aca="false">IF(OR(TRIM(AN112)="Fully Available",TRIM(AN112)="Not Applicable"),5,IF(TRIM(AN112)="Partially Available",2.5,0))</f>
        <v>5</v>
      </c>
      <c r="Y112" s="4" t="n">
        <f aca="false">IF(TRIM(AO112)="Yes",5,0)</f>
        <v>5</v>
      </c>
      <c r="Z112" s="4" t="n">
        <f aca="false">IF(TRIM(AP112)="Yes",2.5,0)</f>
        <v>2.5</v>
      </c>
      <c r="AA112" s="4" t="n">
        <f aca="false">IF(TRIM(AQ112)="Yes",5,0)</f>
        <v>5</v>
      </c>
      <c r="AB112" s="4" t="n">
        <f aca="false">IF(OR(TRIM(AR112)="Yes",TRIM(AR112)="Not Applicable"),5,0)</f>
        <v>5</v>
      </c>
      <c r="AC112" s="4" t="n">
        <f aca="false">IF(TRIM(AS112)="Excellent",5,IF(TRIM(AS112)="Very Good",4,IF(TRIM(AS112)="Good",3,IF(TRIM(AS112)="Average",2,0))))</f>
        <v>4</v>
      </c>
      <c r="AD112" s="7" t="n">
        <f aca="false">IF(COUNT(S112:AC112)=0,"",SUM(S112:AC112))</f>
        <v>46.5</v>
      </c>
      <c r="AE112" s="7"/>
      <c r="AF112" s="8"/>
      <c r="AG112" s="5"/>
      <c r="AH112" s="4"/>
      <c r="AI112" s="4" t="s">
        <v>82</v>
      </c>
      <c r="AJ112" s="4" t="s">
        <v>82</v>
      </c>
      <c r="AK112" s="4" t="s">
        <v>62</v>
      </c>
      <c r="AL112" s="4" t="s">
        <v>63</v>
      </c>
      <c r="AM112" s="4" t="s">
        <v>62</v>
      </c>
      <c r="AN112" s="4" t="s">
        <v>64</v>
      </c>
      <c r="AO112" s="4" t="s">
        <v>62</v>
      </c>
      <c r="AP112" s="4" t="s">
        <v>62</v>
      </c>
      <c r="AQ112" s="4" t="s">
        <v>62</v>
      </c>
      <c r="AR112" s="4" t="s">
        <v>73</v>
      </c>
      <c r="AS112" s="4" t="s">
        <v>74</v>
      </c>
      <c r="AT112" s="4" t="n">
        <v>7</v>
      </c>
      <c r="AU112" s="4" t="s">
        <v>66</v>
      </c>
      <c r="AV112" s="4" t="s">
        <v>380</v>
      </c>
      <c r="AW112" s="4" t="s">
        <v>411</v>
      </c>
      <c r="AX112" s="4" t="s">
        <v>412</v>
      </c>
      <c r="AY112" s="4" t="n">
        <v>15</v>
      </c>
      <c r="AZ112" s="4" t="s">
        <v>62</v>
      </c>
      <c r="BA112" s="4" t="s">
        <v>403</v>
      </c>
      <c r="BB112" s="4" t="s">
        <v>59</v>
      </c>
      <c r="BC112" s="6" t="n">
        <v>0.6667</v>
      </c>
      <c r="BD112" s="4" t="n">
        <v>76</v>
      </c>
    </row>
    <row r="113" customFormat="false" ht="285.05" hidden="false" customHeight="false" outlineLevel="0" collapsed="false">
      <c r="A113" s="4"/>
      <c r="B113" s="4" t="s">
        <v>56</v>
      </c>
      <c r="C113" s="4" t="s">
        <v>57</v>
      </c>
      <c r="D113" s="4" t="s">
        <v>58</v>
      </c>
      <c r="E113" s="4" t="s">
        <v>59</v>
      </c>
      <c r="F113" s="4" t="n">
        <v>3015</v>
      </c>
      <c r="G113" s="5" t="s">
        <v>401</v>
      </c>
      <c r="H113" s="5" t="s">
        <v>169</v>
      </c>
      <c r="I113" s="4"/>
      <c r="J113" s="4"/>
      <c r="K113" s="4"/>
      <c r="L113" s="4" t="n">
        <v>40</v>
      </c>
      <c r="M113" s="4" t="n">
        <v>30</v>
      </c>
      <c r="N113" s="4" t="n">
        <v>10</v>
      </c>
      <c r="O113" s="4" t="n">
        <v>7</v>
      </c>
      <c r="P113" s="4" t="n">
        <v>23</v>
      </c>
      <c r="Q113" s="4" t="n">
        <v>7</v>
      </c>
      <c r="R113" s="6" t="n">
        <f aca="false">IF(N(L113)=0,0,O113/L113)</f>
        <v>0.175</v>
      </c>
      <c r="S113" s="4" t="n">
        <f aca="false">IF(R113="","",IF(R113&gt;=0.8,50,IF(R113&gt;=0.5,30,IF(R113&gt;=0.01,10,0))))</f>
        <v>10</v>
      </c>
      <c r="T113" s="4" t="n">
        <f aca="false">IF(TRIM(AI113)="Yes",2.5,0)</f>
        <v>0</v>
      </c>
      <c r="U113" s="4" t="n">
        <f aca="false">IF(TRIM(AJ113)="Yes",10,0)</f>
        <v>0</v>
      </c>
      <c r="V113" s="4" t="n">
        <f aca="false">IF(TRIM(AK113)="Yes",5,0)</f>
        <v>5</v>
      </c>
      <c r="W113" s="4" t="n">
        <f aca="false">IF(TRIM(AM113)="Yes",5,0)</f>
        <v>5</v>
      </c>
      <c r="X113" s="4" t="n">
        <f aca="false">IF(OR(TRIM(AN113)="Fully Available",TRIM(AN113)="Not Applicable"),5,IF(TRIM(AN113)="Partially Available",2.5,0))</f>
        <v>5</v>
      </c>
      <c r="Y113" s="4" t="n">
        <f aca="false">IF(TRIM(AO113)="Yes",5,0)</f>
        <v>5</v>
      </c>
      <c r="Z113" s="4" t="n">
        <f aca="false">IF(TRIM(AP113)="Yes",2.5,0)</f>
        <v>2.5</v>
      </c>
      <c r="AA113" s="4" t="n">
        <f aca="false">IF(TRIM(AQ113)="Yes",5,0)</f>
        <v>0</v>
      </c>
      <c r="AB113" s="4" t="n">
        <f aca="false">IF(OR(TRIM(AR113)="Yes",TRIM(AR113)="Not Applicable"),5,0)</f>
        <v>5</v>
      </c>
      <c r="AC113" s="4" t="n">
        <f aca="false">IF(TRIM(AS113)="Excellent",5,IF(TRIM(AS113)="Very Good",4,IF(TRIM(AS113)="Good",3,IF(TRIM(AS113)="Average",2,0))))</f>
        <v>4</v>
      </c>
      <c r="AD113" s="7" t="n">
        <f aca="false">IF(COUNT(S113:AC113)=0,"",SUM(S113:AC113))</f>
        <v>41.5</v>
      </c>
      <c r="AE113" s="7"/>
      <c r="AF113" s="8"/>
      <c r="AG113" s="5"/>
      <c r="AH113" s="4"/>
      <c r="AI113" s="4" t="s">
        <v>82</v>
      </c>
      <c r="AJ113" s="4" t="s">
        <v>82</v>
      </c>
      <c r="AK113" s="4" t="s">
        <v>62</v>
      </c>
      <c r="AL113" s="4" t="s">
        <v>63</v>
      </c>
      <c r="AM113" s="4" t="s">
        <v>62</v>
      </c>
      <c r="AN113" s="4" t="s">
        <v>64</v>
      </c>
      <c r="AO113" s="4" t="s">
        <v>62</v>
      </c>
      <c r="AP113" s="4" t="s">
        <v>62</v>
      </c>
      <c r="AQ113" s="4" t="s">
        <v>82</v>
      </c>
      <c r="AR113" s="4" t="s">
        <v>73</v>
      </c>
      <c r="AS113" s="4" t="s">
        <v>74</v>
      </c>
      <c r="AT113" s="4" t="n">
        <v>0</v>
      </c>
      <c r="AU113" s="4" t="s">
        <v>66</v>
      </c>
      <c r="AV113" s="4" t="s">
        <v>380</v>
      </c>
      <c r="AW113" s="4" t="s">
        <v>413</v>
      </c>
      <c r="AX113" s="4" t="s">
        <v>414</v>
      </c>
      <c r="AY113" s="4" t="n">
        <v>6</v>
      </c>
      <c r="AZ113" s="4" t="s">
        <v>62</v>
      </c>
      <c r="BA113" s="4" t="s">
        <v>403</v>
      </c>
      <c r="BB113" s="4" t="s">
        <v>59</v>
      </c>
      <c r="BC113" s="6" t="n">
        <v>1</v>
      </c>
      <c r="BD113" s="4" t="n">
        <v>76</v>
      </c>
    </row>
    <row r="114" customFormat="false" ht="285.05" hidden="false" customHeight="false" outlineLevel="0" collapsed="false">
      <c r="A114" s="4"/>
      <c r="B114" s="4" t="s">
        <v>56</v>
      </c>
      <c r="C114" s="4" t="s">
        <v>57</v>
      </c>
      <c r="D114" s="4" t="s">
        <v>58</v>
      </c>
      <c r="E114" s="4" t="s">
        <v>59</v>
      </c>
      <c r="F114" s="4" t="n">
        <v>3015</v>
      </c>
      <c r="G114" s="5" t="s">
        <v>401</v>
      </c>
      <c r="H114" s="5" t="s">
        <v>238</v>
      </c>
      <c r="I114" s="4"/>
      <c r="J114" s="4"/>
      <c r="K114" s="4"/>
      <c r="L114" s="4" t="n">
        <v>20</v>
      </c>
      <c r="M114" s="4" t="n">
        <v>20</v>
      </c>
      <c r="N114" s="4" t="n">
        <v>0</v>
      </c>
      <c r="O114" s="4" t="n">
        <v>13</v>
      </c>
      <c r="P114" s="4" t="n">
        <v>7</v>
      </c>
      <c r="Q114" s="4" t="n">
        <v>8</v>
      </c>
      <c r="R114" s="6" t="n">
        <f aca="false">IF(N(L114)=0,0,O114/L114)</f>
        <v>0.65</v>
      </c>
      <c r="S114" s="4" t="n">
        <f aca="false">IF(R114="","",IF(R114&gt;=0.8,50,IF(R114&gt;=0.5,30,IF(R114&gt;=0.01,10,0))))</f>
        <v>30</v>
      </c>
      <c r="T114" s="4" t="n">
        <f aca="false">IF(TRIM(AI114)="Yes",2.5,0)</f>
        <v>0</v>
      </c>
      <c r="U114" s="4" t="n">
        <f aca="false">IF(TRIM(AJ114)="Yes",10,0)</f>
        <v>0</v>
      </c>
      <c r="V114" s="4" t="n">
        <f aca="false">IF(TRIM(AK114)="Yes",5,0)</f>
        <v>5</v>
      </c>
      <c r="W114" s="4" t="n">
        <f aca="false">IF(TRIM(AM114)="Yes",5,0)</f>
        <v>5</v>
      </c>
      <c r="X114" s="4" t="n">
        <f aca="false">IF(OR(TRIM(AN114)="Fully Available",TRIM(AN114)="Not Applicable"),5,IF(TRIM(AN114)="Partially Available",2.5,0))</f>
        <v>5</v>
      </c>
      <c r="Y114" s="4" t="n">
        <f aca="false">IF(TRIM(AO114)="Yes",5,0)</f>
        <v>5</v>
      </c>
      <c r="Z114" s="4" t="n">
        <f aca="false">IF(TRIM(AP114)="Yes",2.5,0)</f>
        <v>2.5</v>
      </c>
      <c r="AA114" s="4" t="n">
        <f aca="false">IF(TRIM(AQ114)="Yes",5,0)</f>
        <v>0</v>
      </c>
      <c r="AB114" s="4" t="n">
        <f aca="false">IF(OR(TRIM(AR114)="Yes",TRIM(AR114)="Not Applicable"),5,0)</f>
        <v>5</v>
      </c>
      <c r="AC114" s="4" t="n">
        <f aca="false">IF(TRIM(AS114)="Excellent",5,IF(TRIM(AS114)="Very Good",4,IF(TRIM(AS114)="Good",3,IF(TRIM(AS114)="Average",2,0))))</f>
        <v>4</v>
      </c>
      <c r="AD114" s="7" t="n">
        <f aca="false">IF(COUNT(S114:AC114)=0,"",SUM(S114:AC114))</f>
        <v>61.5</v>
      </c>
      <c r="AE114" s="7"/>
      <c r="AF114" s="8"/>
      <c r="AG114" s="5"/>
      <c r="AH114" s="4"/>
      <c r="AI114" s="4" t="s">
        <v>82</v>
      </c>
      <c r="AJ114" s="4" t="s">
        <v>82</v>
      </c>
      <c r="AK114" s="4" t="s">
        <v>62</v>
      </c>
      <c r="AL114" s="4" t="s">
        <v>63</v>
      </c>
      <c r="AM114" s="4" t="s">
        <v>62</v>
      </c>
      <c r="AN114" s="4" t="s">
        <v>64</v>
      </c>
      <c r="AO114" s="4" t="s">
        <v>62</v>
      </c>
      <c r="AP114" s="4" t="s">
        <v>62</v>
      </c>
      <c r="AQ114" s="4" t="s">
        <v>82</v>
      </c>
      <c r="AR114" s="4" t="s">
        <v>73</v>
      </c>
      <c r="AS114" s="4" t="s">
        <v>74</v>
      </c>
      <c r="AT114" s="4" t="n">
        <v>0</v>
      </c>
      <c r="AU114" s="4" t="s">
        <v>66</v>
      </c>
      <c r="AV114" s="4" t="s">
        <v>380</v>
      </c>
      <c r="AW114" s="4" t="s">
        <v>415</v>
      </c>
      <c r="AX114" s="4" t="s">
        <v>416</v>
      </c>
      <c r="AY114" s="4" t="n">
        <v>7</v>
      </c>
      <c r="AZ114" s="4" t="s">
        <v>62</v>
      </c>
      <c r="BA114" s="4" t="s">
        <v>403</v>
      </c>
      <c r="BB114" s="4" t="s">
        <v>59</v>
      </c>
      <c r="BC114" s="6" t="n">
        <v>0.6154</v>
      </c>
      <c r="BD114" s="4" t="n">
        <v>76</v>
      </c>
    </row>
    <row r="115" customFormat="false" ht="285.05" hidden="false" customHeight="false" outlineLevel="0" collapsed="false">
      <c r="A115" s="4"/>
      <c r="B115" s="4" t="s">
        <v>56</v>
      </c>
      <c r="C115" s="4" t="s">
        <v>57</v>
      </c>
      <c r="D115" s="4" t="s">
        <v>58</v>
      </c>
      <c r="E115" s="4" t="s">
        <v>59</v>
      </c>
      <c r="F115" s="4" t="n">
        <v>3015</v>
      </c>
      <c r="G115" s="5" t="s">
        <v>401</v>
      </c>
      <c r="H115" s="5" t="s">
        <v>177</v>
      </c>
      <c r="I115" s="4"/>
      <c r="J115" s="4"/>
      <c r="K115" s="4"/>
      <c r="L115" s="4" t="n">
        <v>20</v>
      </c>
      <c r="M115" s="4" t="n">
        <v>18</v>
      </c>
      <c r="N115" s="4" t="n">
        <v>2</v>
      </c>
      <c r="O115" s="4" t="n">
        <v>0</v>
      </c>
      <c r="P115" s="4" t="n">
        <v>18</v>
      </c>
      <c r="Q115" s="4" t="n">
        <v>0</v>
      </c>
      <c r="R115" s="6" t="n">
        <f aca="false">IF(N(L115)=0,0,O115/L115)</f>
        <v>0</v>
      </c>
      <c r="S115" s="4" t="n">
        <f aca="false">IF(R115="","",IF(R115&gt;=0.8,50,IF(R115&gt;=0.5,30,IF(R115&gt;=0.01,10,0))))</f>
        <v>0</v>
      </c>
      <c r="T115" s="4" t="n">
        <f aca="false">IF(TRIM(AI115)="Yes",2.5,0)</f>
        <v>0</v>
      </c>
      <c r="U115" s="4" t="n">
        <f aca="false">IF(TRIM(AJ115)="Yes",10,0)</f>
        <v>0</v>
      </c>
      <c r="V115" s="4" t="n">
        <f aca="false">IF(TRIM(AK115)="Yes",5,0)</f>
        <v>5</v>
      </c>
      <c r="W115" s="4" t="n">
        <f aca="false">IF(TRIM(AM115)="Yes",5,0)</f>
        <v>5</v>
      </c>
      <c r="X115" s="4" t="n">
        <f aca="false">IF(OR(TRIM(AN115)="Fully Available",TRIM(AN115)="Not Applicable"),5,IF(TRIM(AN115)="Partially Available",2.5,0))</f>
        <v>5</v>
      </c>
      <c r="Y115" s="4" t="n">
        <f aca="false">IF(TRIM(AO115)="Yes",5,0)</f>
        <v>5</v>
      </c>
      <c r="Z115" s="4" t="n">
        <f aca="false">IF(TRIM(AP115)="Yes",2.5,0)</f>
        <v>2.5</v>
      </c>
      <c r="AA115" s="4" t="n">
        <f aca="false">IF(TRIM(AQ115)="Yes",5,0)</f>
        <v>0</v>
      </c>
      <c r="AB115" s="4" t="n">
        <f aca="false">IF(OR(TRIM(AR115)="Yes",TRIM(AR115)="Not Applicable"),5,0)</f>
        <v>5</v>
      </c>
      <c r="AC115" s="4" t="n">
        <f aca="false">IF(TRIM(AS115)="Excellent",5,IF(TRIM(AS115)="Very Good",4,IF(TRIM(AS115)="Good",3,IF(TRIM(AS115)="Average",2,0))))</f>
        <v>4</v>
      </c>
      <c r="AD115" s="7" t="n">
        <f aca="false">IF(COUNT(S115:AC115)=0,"",SUM(S115:AC115))</f>
        <v>31.5</v>
      </c>
      <c r="AE115" s="7"/>
      <c r="AF115" s="8"/>
      <c r="AG115" s="5"/>
      <c r="AH115" s="4"/>
      <c r="AI115" s="4" t="s">
        <v>82</v>
      </c>
      <c r="AJ115" s="4" t="s">
        <v>82</v>
      </c>
      <c r="AK115" s="4" t="s">
        <v>62</v>
      </c>
      <c r="AL115" s="4" t="s">
        <v>63</v>
      </c>
      <c r="AM115" s="4" t="s">
        <v>62</v>
      </c>
      <c r="AN115" s="4" t="s">
        <v>64</v>
      </c>
      <c r="AO115" s="4" t="s">
        <v>62</v>
      </c>
      <c r="AP115" s="4" t="s">
        <v>62</v>
      </c>
      <c r="AQ115" s="4" t="s">
        <v>82</v>
      </c>
      <c r="AR115" s="4" t="s">
        <v>73</v>
      </c>
      <c r="AS115" s="4" t="s">
        <v>74</v>
      </c>
      <c r="AT115" s="4" t="n">
        <v>0</v>
      </c>
      <c r="AU115" s="4" t="s">
        <v>66</v>
      </c>
      <c r="AV115" s="4" t="s">
        <v>380</v>
      </c>
      <c r="AW115" s="4" t="s">
        <v>417</v>
      </c>
      <c r="AX115" s="4" t="s">
        <v>418</v>
      </c>
      <c r="AY115" s="4" t="n">
        <v>3</v>
      </c>
      <c r="AZ115" s="4" t="s">
        <v>62</v>
      </c>
      <c r="BA115" s="4" t="s">
        <v>403</v>
      </c>
      <c r="BB115" s="4" t="s">
        <v>59</v>
      </c>
      <c r="BC115" s="6"/>
      <c r="BD115" s="4" t="n">
        <v>76</v>
      </c>
    </row>
    <row r="116" customFormat="false" ht="285.05" hidden="false" customHeight="false" outlineLevel="0" collapsed="false">
      <c r="A116" s="4"/>
      <c r="B116" s="4" t="s">
        <v>56</v>
      </c>
      <c r="C116" s="4" t="s">
        <v>57</v>
      </c>
      <c r="D116" s="4" t="s">
        <v>58</v>
      </c>
      <c r="E116" s="4" t="s">
        <v>59</v>
      </c>
      <c r="F116" s="4" t="n">
        <v>3015</v>
      </c>
      <c r="G116" s="5" t="s">
        <v>401</v>
      </c>
      <c r="H116" s="5" t="s">
        <v>220</v>
      </c>
      <c r="I116" s="4"/>
      <c r="J116" s="4"/>
      <c r="K116" s="4"/>
      <c r="L116" s="4" t="n">
        <v>20</v>
      </c>
      <c r="M116" s="4" t="n">
        <v>20</v>
      </c>
      <c r="N116" s="4" t="n">
        <v>0</v>
      </c>
      <c r="O116" s="4" t="n">
        <v>10</v>
      </c>
      <c r="P116" s="4" t="n">
        <v>10</v>
      </c>
      <c r="Q116" s="4" t="n">
        <v>5</v>
      </c>
      <c r="R116" s="6" t="n">
        <f aca="false">IF(N(L116)=0,0,O116/L116)</f>
        <v>0.5</v>
      </c>
      <c r="S116" s="4" t="n">
        <f aca="false">IF(R116="","",IF(R116&gt;=0.8,50,IF(R116&gt;=0.5,30,IF(R116&gt;=0.01,10,0))))</f>
        <v>30</v>
      </c>
      <c r="T116" s="4" t="n">
        <f aca="false">IF(TRIM(AI116)="Yes",2.5,0)</f>
        <v>0</v>
      </c>
      <c r="U116" s="4" t="n">
        <f aca="false">IF(TRIM(AJ116)="Yes",10,0)</f>
        <v>0</v>
      </c>
      <c r="V116" s="4" t="n">
        <f aca="false">IF(TRIM(AK116)="Yes",5,0)</f>
        <v>5</v>
      </c>
      <c r="W116" s="4" t="n">
        <f aca="false">IF(TRIM(AM116)="Yes",5,0)</f>
        <v>5</v>
      </c>
      <c r="X116" s="4" t="n">
        <f aca="false">IF(OR(TRIM(AN116)="Fully Available",TRIM(AN116)="Not Applicable"),5,IF(TRIM(AN116)="Partially Available",2.5,0))</f>
        <v>5</v>
      </c>
      <c r="Y116" s="4" t="n">
        <f aca="false">IF(TRIM(AO116)="Yes",5,0)</f>
        <v>5</v>
      </c>
      <c r="Z116" s="4" t="n">
        <f aca="false">IF(TRIM(AP116)="Yes",2.5,0)</f>
        <v>2.5</v>
      </c>
      <c r="AA116" s="4" t="n">
        <f aca="false">IF(TRIM(AQ116)="Yes",5,0)</f>
        <v>5</v>
      </c>
      <c r="AB116" s="4" t="n">
        <f aca="false">IF(OR(TRIM(AR116)="Yes",TRIM(AR116)="Not Applicable"),5,0)</f>
        <v>5</v>
      </c>
      <c r="AC116" s="4" t="n">
        <f aca="false">IF(TRIM(AS116)="Excellent",5,IF(TRIM(AS116)="Very Good",4,IF(TRIM(AS116)="Good",3,IF(TRIM(AS116)="Average",2,0))))</f>
        <v>4</v>
      </c>
      <c r="AD116" s="7" t="n">
        <f aca="false">IF(COUNT(S116:AC116)=0,"",SUM(S116:AC116))</f>
        <v>66.5</v>
      </c>
      <c r="AE116" s="7"/>
      <c r="AF116" s="8"/>
      <c r="AG116" s="5"/>
      <c r="AH116" s="4"/>
      <c r="AI116" s="4" t="s">
        <v>82</v>
      </c>
      <c r="AJ116" s="4" t="s">
        <v>82</v>
      </c>
      <c r="AK116" s="4" t="s">
        <v>62</v>
      </c>
      <c r="AL116" s="4" t="s">
        <v>63</v>
      </c>
      <c r="AM116" s="4" t="s">
        <v>62</v>
      </c>
      <c r="AN116" s="4" t="s">
        <v>64</v>
      </c>
      <c r="AO116" s="4" t="s">
        <v>62</v>
      </c>
      <c r="AP116" s="4" t="s">
        <v>62</v>
      </c>
      <c r="AQ116" s="4" t="s">
        <v>62</v>
      </c>
      <c r="AR116" s="4" t="s">
        <v>73</v>
      </c>
      <c r="AS116" s="4" t="s">
        <v>74</v>
      </c>
      <c r="AT116" s="4" t="n">
        <v>8</v>
      </c>
      <c r="AU116" s="4" t="s">
        <v>112</v>
      </c>
      <c r="AV116" s="4" t="s">
        <v>380</v>
      </c>
      <c r="AW116" s="4" t="s">
        <v>419</v>
      </c>
      <c r="AX116" s="4" t="s">
        <v>420</v>
      </c>
      <c r="AY116" s="4" t="n">
        <v>8</v>
      </c>
      <c r="AZ116" s="4" t="s">
        <v>62</v>
      </c>
      <c r="BA116" s="4" t="s">
        <v>403</v>
      </c>
      <c r="BB116" s="4" t="s">
        <v>59</v>
      </c>
      <c r="BC116" s="6" t="n">
        <v>0.5</v>
      </c>
      <c r="BD116" s="4" t="n">
        <v>76</v>
      </c>
    </row>
    <row r="117" customFormat="false" ht="285.05" hidden="false" customHeight="false" outlineLevel="0" collapsed="false">
      <c r="A117" s="4"/>
      <c r="B117" s="4" t="s">
        <v>56</v>
      </c>
      <c r="C117" s="4" t="s">
        <v>57</v>
      </c>
      <c r="D117" s="4" t="s">
        <v>58</v>
      </c>
      <c r="E117" s="4" t="s">
        <v>59</v>
      </c>
      <c r="F117" s="4" t="n">
        <v>3015</v>
      </c>
      <c r="G117" s="5" t="s">
        <v>401</v>
      </c>
      <c r="H117" s="5" t="s">
        <v>223</v>
      </c>
      <c r="I117" s="4"/>
      <c r="J117" s="4"/>
      <c r="K117" s="4"/>
      <c r="L117" s="4" t="n">
        <v>40</v>
      </c>
      <c r="M117" s="4" t="n">
        <v>20</v>
      </c>
      <c r="N117" s="4" t="n">
        <v>20</v>
      </c>
      <c r="O117" s="4" t="n">
        <v>20</v>
      </c>
      <c r="P117" s="4" t="n">
        <v>0</v>
      </c>
      <c r="Q117" s="4" t="n">
        <v>10</v>
      </c>
      <c r="R117" s="6" t="n">
        <f aca="false">IF(N(L117)=0,0,O117/L117)</f>
        <v>0.5</v>
      </c>
      <c r="S117" s="4" t="n">
        <f aca="false">IF(R117="","",IF(R117&gt;=0.8,50,IF(R117&gt;=0.5,30,IF(R117&gt;=0.01,10,0))))</f>
        <v>30</v>
      </c>
      <c r="T117" s="4" t="n">
        <f aca="false">IF(TRIM(AI117)="Yes",2.5,0)</f>
        <v>0</v>
      </c>
      <c r="U117" s="4" t="n">
        <f aca="false">IF(TRIM(AJ117)="Yes",10,0)</f>
        <v>0</v>
      </c>
      <c r="V117" s="4" t="n">
        <f aca="false">IF(TRIM(AK117)="Yes",5,0)</f>
        <v>5</v>
      </c>
      <c r="W117" s="4" t="n">
        <f aca="false">IF(TRIM(AM117)="Yes",5,0)</f>
        <v>5</v>
      </c>
      <c r="X117" s="4" t="n">
        <f aca="false">IF(OR(TRIM(AN117)="Fully Available",TRIM(AN117)="Not Applicable"),5,IF(TRIM(AN117)="Partially Available",2.5,0))</f>
        <v>5</v>
      </c>
      <c r="Y117" s="4" t="n">
        <f aca="false">IF(TRIM(AO117)="Yes",5,0)</f>
        <v>5</v>
      </c>
      <c r="Z117" s="4" t="n">
        <f aca="false">IF(TRIM(AP117)="Yes",2.5,0)</f>
        <v>2.5</v>
      </c>
      <c r="AA117" s="4" t="n">
        <f aca="false">IF(TRIM(AQ117)="Yes",5,0)</f>
        <v>5</v>
      </c>
      <c r="AB117" s="4" t="n">
        <f aca="false">IF(OR(TRIM(AR117)="Yes",TRIM(AR117)="Not Applicable"),5,0)</f>
        <v>5</v>
      </c>
      <c r="AC117" s="4" t="n">
        <f aca="false">IF(TRIM(AS117)="Excellent",5,IF(TRIM(AS117)="Very Good",4,IF(TRIM(AS117)="Good",3,IF(TRIM(AS117)="Average",2,0))))</f>
        <v>4</v>
      </c>
      <c r="AD117" s="7" t="n">
        <f aca="false">IF(COUNT(S117:AC117)=0,"",SUM(S117:AC117))</f>
        <v>66.5</v>
      </c>
      <c r="AE117" s="7"/>
      <c r="AF117" s="8"/>
      <c r="AG117" s="5"/>
      <c r="AH117" s="4"/>
      <c r="AI117" s="4" t="s">
        <v>82</v>
      </c>
      <c r="AJ117" s="4" t="s">
        <v>82</v>
      </c>
      <c r="AK117" s="4" t="s">
        <v>62</v>
      </c>
      <c r="AL117" s="4" t="s">
        <v>63</v>
      </c>
      <c r="AM117" s="4" t="s">
        <v>62</v>
      </c>
      <c r="AN117" s="4" t="s">
        <v>64</v>
      </c>
      <c r="AO117" s="4" t="s">
        <v>62</v>
      </c>
      <c r="AP117" s="4" t="s">
        <v>62</v>
      </c>
      <c r="AQ117" s="4" t="s">
        <v>62</v>
      </c>
      <c r="AR117" s="4" t="s">
        <v>73</v>
      </c>
      <c r="AS117" s="4" t="s">
        <v>74</v>
      </c>
      <c r="AT117" s="4" t="n">
        <v>3</v>
      </c>
      <c r="AU117" s="4" t="s">
        <v>112</v>
      </c>
      <c r="AV117" s="4" t="s">
        <v>380</v>
      </c>
      <c r="AW117" s="4" t="s">
        <v>421</v>
      </c>
      <c r="AX117" s="4" t="s">
        <v>422</v>
      </c>
      <c r="AY117" s="4" t="n">
        <v>12</v>
      </c>
      <c r="AZ117" s="4" t="s">
        <v>62</v>
      </c>
      <c r="BA117" s="4" t="s">
        <v>403</v>
      </c>
      <c r="BB117" s="4" t="s">
        <v>59</v>
      </c>
      <c r="BC117" s="6" t="n">
        <v>0.5</v>
      </c>
      <c r="BD117" s="4" t="n">
        <v>76</v>
      </c>
    </row>
    <row r="118" customFormat="false" ht="285.05" hidden="false" customHeight="false" outlineLevel="0" collapsed="false">
      <c r="A118" s="4"/>
      <c r="B118" s="4" t="s">
        <v>56</v>
      </c>
      <c r="C118" s="4" t="s">
        <v>57</v>
      </c>
      <c r="D118" s="4" t="s">
        <v>58</v>
      </c>
      <c r="E118" s="4" t="s">
        <v>59</v>
      </c>
      <c r="F118" s="4" t="n">
        <v>3015</v>
      </c>
      <c r="G118" s="5" t="s">
        <v>401</v>
      </c>
      <c r="H118" s="5" t="s">
        <v>197</v>
      </c>
      <c r="I118" s="4"/>
      <c r="J118" s="4"/>
      <c r="K118" s="4"/>
      <c r="L118" s="4" t="n">
        <v>40</v>
      </c>
      <c r="M118" s="4" t="n">
        <v>33</v>
      </c>
      <c r="N118" s="4" t="n">
        <v>7</v>
      </c>
      <c r="O118" s="4" t="n">
        <v>23</v>
      </c>
      <c r="P118" s="4" t="n">
        <v>10</v>
      </c>
      <c r="Q118" s="4" t="n">
        <v>10</v>
      </c>
      <c r="R118" s="6" t="n">
        <f aca="false">IF(N(L118)=0,0,O118/L118)</f>
        <v>0.575</v>
      </c>
      <c r="S118" s="4" t="n">
        <f aca="false">IF(R118="","",IF(R118&gt;=0.8,50,IF(R118&gt;=0.5,30,IF(R118&gt;=0.01,10,0))))</f>
        <v>30</v>
      </c>
      <c r="T118" s="4" t="n">
        <f aca="false">IF(TRIM(AI118)="Yes",2.5,0)</f>
        <v>0</v>
      </c>
      <c r="U118" s="4" t="n">
        <f aca="false">IF(TRIM(AJ118)="Yes",10,0)</f>
        <v>0</v>
      </c>
      <c r="V118" s="4" t="n">
        <f aca="false">IF(TRIM(AK118)="Yes",5,0)</f>
        <v>5</v>
      </c>
      <c r="W118" s="4" t="n">
        <f aca="false">IF(TRIM(AM118)="Yes",5,0)</f>
        <v>5</v>
      </c>
      <c r="X118" s="4" t="n">
        <f aca="false">IF(OR(TRIM(AN118)="Fully Available",TRIM(AN118)="Not Applicable"),5,IF(TRIM(AN118)="Partially Available",2.5,0))</f>
        <v>5</v>
      </c>
      <c r="Y118" s="4" t="n">
        <f aca="false">IF(TRIM(AO118)="Yes",5,0)</f>
        <v>5</v>
      </c>
      <c r="Z118" s="4" t="n">
        <f aca="false">IF(TRIM(AP118)="Yes",2.5,0)</f>
        <v>2.5</v>
      </c>
      <c r="AA118" s="4" t="n">
        <f aca="false">IF(TRIM(AQ118)="Yes",5,0)</f>
        <v>5</v>
      </c>
      <c r="AB118" s="4" t="n">
        <f aca="false">IF(OR(TRIM(AR118)="Yes",TRIM(AR118)="Not Applicable"),5,0)</f>
        <v>5</v>
      </c>
      <c r="AC118" s="4" t="n">
        <f aca="false">IF(TRIM(AS118)="Excellent",5,IF(TRIM(AS118)="Very Good",4,IF(TRIM(AS118)="Good",3,IF(TRIM(AS118)="Average",2,0))))</f>
        <v>4</v>
      </c>
      <c r="AD118" s="7" t="n">
        <f aca="false">IF(COUNT(S118:AC118)=0,"",SUM(S118:AC118))</f>
        <v>66.5</v>
      </c>
      <c r="AE118" s="7"/>
      <c r="AF118" s="8"/>
      <c r="AG118" s="5"/>
      <c r="AH118" s="4"/>
      <c r="AI118" s="4" t="s">
        <v>82</v>
      </c>
      <c r="AJ118" s="4" t="s">
        <v>82</v>
      </c>
      <c r="AK118" s="4" t="s">
        <v>62</v>
      </c>
      <c r="AL118" s="4" t="s">
        <v>63</v>
      </c>
      <c r="AM118" s="4" t="s">
        <v>62</v>
      </c>
      <c r="AN118" s="4" t="s">
        <v>64</v>
      </c>
      <c r="AO118" s="4" t="s">
        <v>62</v>
      </c>
      <c r="AP118" s="4" t="s">
        <v>62</v>
      </c>
      <c r="AQ118" s="4" t="s">
        <v>62</v>
      </c>
      <c r="AR118" s="4" t="s">
        <v>73</v>
      </c>
      <c r="AS118" s="4" t="s">
        <v>74</v>
      </c>
      <c r="AT118" s="4" t="n">
        <v>10</v>
      </c>
      <c r="AU118" s="4" t="s">
        <v>112</v>
      </c>
      <c r="AV118" s="4" t="s">
        <v>380</v>
      </c>
      <c r="AW118" s="4" t="s">
        <v>423</v>
      </c>
      <c r="AX118" s="4" t="s">
        <v>163</v>
      </c>
      <c r="AY118" s="4" t="n">
        <v>3</v>
      </c>
      <c r="AZ118" s="4" t="s">
        <v>62</v>
      </c>
      <c r="BA118" s="4" t="s">
        <v>403</v>
      </c>
      <c r="BB118" s="4" t="s">
        <v>59</v>
      </c>
      <c r="BC118" s="6" t="n">
        <v>0.4348</v>
      </c>
      <c r="BD118" s="4" t="n">
        <v>76</v>
      </c>
    </row>
    <row r="119" customFormat="false" ht="256.7" hidden="false" customHeight="false" outlineLevel="0" collapsed="false">
      <c r="A119" s="4" t="n">
        <v>41</v>
      </c>
      <c r="B119" s="4" t="s">
        <v>56</v>
      </c>
      <c r="C119" s="4" t="s">
        <v>57</v>
      </c>
      <c r="D119" s="4" t="s">
        <v>58</v>
      </c>
      <c r="E119" s="4" t="s">
        <v>59</v>
      </c>
      <c r="F119" s="4" t="n">
        <v>3676</v>
      </c>
      <c r="G119" s="5" t="s">
        <v>424</v>
      </c>
      <c r="H119" s="5" t="s">
        <v>425</v>
      </c>
      <c r="I119" s="4"/>
      <c r="J119" s="4"/>
      <c r="K119" s="4"/>
      <c r="L119" s="4" t="n">
        <v>80</v>
      </c>
      <c r="M119" s="4" t="n">
        <v>80</v>
      </c>
      <c r="N119" s="4" t="n">
        <v>0</v>
      </c>
      <c r="O119" s="4" t="n">
        <v>75</v>
      </c>
      <c r="P119" s="4" t="n">
        <v>5</v>
      </c>
      <c r="Q119" s="4" t="n">
        <v>20</v>
      </c>
      <c r="R119" s="6" t="n">
        <f aca="false">IF(N(L119)=0,0,O119/L119)</f>
        <v>0.9375</v>
      </c>
      <c r="S119" s="4" t="n">
        <f aca="false">IF(R119="","",IF(R119&gt;=0.8,50,IF(R119&gt;=0.5,30,IF(R119&gt;=0.01,10,0))))</f>
        <v>50</v>
      </c>
      <c r="T119" s="4" t="n">
        <f aca="false">IF(TRIM(AI119)="Yes",2.5,0)</f>
        <v>2.5</v>
      </c>
      <c r="U119" s="4" t="n">
        <f aca="false">IF(TRIM(AJ119)="Yes",10,0)</f>
        <v>10</v>
      </c>
      <c r="V119" s="4" t="n">
        <f aca="false">IF(TRIM(AK119)="Yes",5,0)</f>
        <v>5</v>
      </c>
      <c r="W119" s="4" t="n">
        <f aca="false">IF(TRIM(AM119)="Yes",5,0)</f>
        <v>5</v>
      </c>
      <c r="X119" s="4" t="n">
        <f aca="false">IF(OR(TRIM(AN119)="Fully Available",TRIM(AN119)="Not Applicable"),5,IF(TRIM(AN119)="Partially Available",2.5,0))</f>
        <v>5</v>
      </c>
      <c r="Y119" s="4" t="n">
        <f aca="false">IF(TRIM(AO119)="Yes",5,0)</f>
        <v>5</v>
      </c>
      <c r="Z119" s="4" t="n">
        <f aca="false">IF(TRIM(AP119)="Yes",2.5,0)</f>
        <v>2.5</v>
      </c>
      <c r="AA119" s="4" t="n">
        <f aca="false">IF(TRIM(AQ119)="Yes",5,0)</f>
        <v>5</v>
      </c>
      <c r="AB119" s="4" t="n">
        <f aca="false">IF(OR(TRIM(AR119)="Yes",TRIM(AR119)="Not Applicable"),5,0)</f>
        <v>5</v>
      </c>
      <c r="AC119" s="4" t="n">
        <f aca="false">IF(TRIM(AS119)="Excellent",5,IF(TRIM(AS119)="Very Good",4,IF(TRIM(AS119)="Good",3,IF(TRIM(AS119)="Average",2,0))))</f>
        <v>4</v>
      </c>
      <c r="AD119" s="7" t="n">
        <f aca="false">IF(COUNT(S119:AC119)=0,"",SUM(S119:AC119))</f>
        <v>99</v>
      </c>
      <c r="AE119" s="7" t="n">
        <f aca="false">IF(COUNTIF($F$2:F119,F119)=1,IFERROR(AVERAGEIF($F:$F,F119,$AD:$AD),""),"")</f>
        <v>99</v>
      </c>
      <c r="AF119" s="8" t="str">
        <f aca="false">IF(AH119&lt;&gt;"",AH119,IF(AE119="","",IF(AE119&gt;=80,"Excellent",IF(AE119&gt;=70,"Very Good",IF(AE119&gt;=60,"Good",IF(AE119&gt;=50,"Average","Poor"))))))</f>
        <v>Excellent</v>
      </c>
      <c r="AG119" s="5"/>
      <c r="AH119" s="4"/>
      <c r="AI119" s="4" t="s">
        <v>62</v>
      </c>
      <c r="AJ119" s="4" t="s">
        <v>62</v>
      </c>
      <c r="AK119" s="4" t="s">
        <v>62</v>
      </c>
      <c r="AL119" s="4" t="s">
        <v>63</v>
      </c>
      <c r="AM119" s="4" t="s">
        <v>62</v>
      </c>
      <c r="AN119" s="4" t="s">
        <v>64</v>
      </c>
      <c r="AO119" s="4" t="s">
        <v>62</v>
      </c>
      <c r="AP119" s="4" t="s">
        <v>62</v>
      </c>
      <c r="AQ119" s="4" t="s">
        <v>62</v>
      </c>
      <c r="AR119" s="4" t="s">
        <v>62</v>
      </c>
      <c r="AS119" s="4" t="s">
        <v>74</v>
      </c>
      <c r="AT119" s="4" t="n">
        <v>5</v>
      </c>
      <c r="AU119" s="4" t="s">
        <v>66</v>
      </c>
      <c r="AV119" s="4" t="s">
        <v>426</v>
      </c>
      <c r="AW119" s="4" t="s">
        <v>427</v>
      </c>
      <c r="AX119" s="4" t="s">
        <v>428</v>
      </c>
      <c r="AY119" s="4" t="n">
        <v>10</v>
      </c>
      <c r="AZ119" s="4" t="s">
        <v>62</v>
      </c>
      <c r="BA119" s="4" t="s">
        <v>429</v>
      </c>
      <c r="BB119" s="4" t="s">
        <v>59</v>
      </c>
      <c r="BC119" s="6" t="n">
        <v>0.2667</v>
      </c>
      <c r="BD119" s="4" t="n">
        <v>98</v>
      </c>
    </row>
    <row r="120" customFormat="false" ht="256.7" hidden="false" customHeight="false" outlineLevel="0" collapsed="false">
      <c r="A120" s="4"/>
      <c r="B120" s="4" t="s">
        <v>56</v>
      </c>
      <c r="C120" s="4" t="s">
        <v>57</v>
      </c>
      <c r="D120" s="4" t="s">
        <v>58</v>
      </c>
      <c r="E120" s="4" t="s">
        <v>59</v>
      </c>
      <c r="F120" s="4" t="n">
        <v>3676</v>
      </c>
      <c r="G120" s="5" t="s">
        <v>424</v>
      </c>
      <c r="H120" s="5" t="s">
        <v>430</v>
      </c>
      <c r="I120" s="4"/>
      <c r="J120" s="4"/>
      <c r="K120" s="4"/>
      <c r="L120" s="4" t="n">
        <v>60</v>
      </c>
      <c r="M120" s="4" t="n">
        <v>60</v>
      </c>
      <c r="N120" s="4" t="n">
        <v>0</v>
      </c>
      <c r="O120" s="4" t="n">
        <v>55</v>
      </c>
      <c r="P120" s="4" t="n">
        <v>5</v>
      </c>
      <c r="Q120" s="4" t="n">
        <v>15</v>
      </c>
      <c r="R120" s="6" t="n">
        <f aca="false">IF(N(L120)=0,0,O120/L120)</f>
        <v>0.916666666666667</v>
      </c>
      <c r="S120" s="4" t="n">
        <f aca="false">IF(R120="","",IF(R120&gt;=0.8,50,IF(R120&gt;=0.5,30,IF(R120&gt;=0.01,10,0))))</f>
        <v>50</v>
      </c>
      <c r="T120" s="4" t="n">
        <f aca="false">IF(TRIM(AI120)="Yes",2.5,0)</f>
        <v>2.5</v>
      </c>
      <c r="U120" s="4" t="n">
        <f aca="false">IF(TRIM(AJ120)="Yes",10,0)</f>
        <v>10</v>
      </c>
      <c r="V120" s="4" t="n">
        <f aca="false">IF(TRIM(AK120)="Yes",5,0)</f>
        <v>5</v>
      </c>
      <c r="W120" s="4" t="n">
        <f aca="false">IF(TRIM(AM120)="Yes",5,0)</f>
        <v>5</v>
      </c>
      <c r="X120" s="4" t="n">
        <f aca="false">IF(OR(TRIM(AN120)="Fully Available",TRIM(AN120)="Not Applicable"),5,IF(TRIM(AN120)="Partially Available",2.5,0))</f>
        <v>5</v>
      </c>
      <c r="Y120" s="4" t="n">
        <f aca="false">IF(TRIM(AO120)="Yes",5,0)</f>
        <v>5</v>
      </c>
      <c r="Z120" s="4" t="n">
        <f aca="false">IF(TRIM(AP120)="Yes",2.5,0)</f>
        <v>2.5</v>
      </c>
      <c r="AA120" s="4" t="n">
        <f aca="false">IF(TRIM(AQ120)="Yes",5,0)</f>
        <v>5</v>
      </c>
      <c r="AB120" s="4" t="n">
        <f aca="false">IF(OR(TRIM(AR120)="Yes",TRIM(AR120)="Not Applicable"),5,0)</f>
        <v>5</v>
      </c>
      <c r="AC120" s="4" t="n">
        <f aca="false">IF(TRIM(AS120)="Excellent",5,IF(TRIM(AS120)="Very Good",4,IF(TRIM(AS120)="Good",3,IF(TRIM(AS120)="Average",2,0))))</f>
        <v>4</v>
      </c>
      <c r="AD120" s="7" t="n">
        <f aca="false">IF(COUNT(S120:AC120)=0,"",SUM(S120:AC120))</f>
        <v>99</v>
      </c>
      <c r="AE120" s="7"/>
      <c r="AF120" s="8"/>
      <c r="AG120" s="5"/>
      <c r="AH120" s="4"/>
      <c r="AI120" s="4" t="s">
        <v>62</v>
      </c>
      <c r="AJ120" s="4" t="s">
        <v>62</v>
      </c>
      <c r="AK120" s="4" t="s">
        <v>62</v>
      </c>
      <c r="AL120" s="4" t="s">
        <v>63</v>
      </c>
      <c r="AM120" s="4" t="s">
        <v>62</v>
      </c>
      <c r="AN120" s="4" t="s">
        <v>64</v>
      </c>
      <c r="AO120" s="4" t="s">
        <v>62</v>
      </c>
      <c r="AP120" s="4" t="s">
        <v>62</v>
      </c>
      <c r="AQ120" s="4" t="s">
        <v>62</v>
      </c>
      <c r="AR120" s="4" t="s">
        <v>73</v>
      </c>
      <c r="AS120" s="4" t="s">
        <v>74</v>
      </c>
      <c r="AT120" s="4" t="n">
        <v>15</v>
      </c>
      <c r="AU120" s="4" t="s">
        <v>66</v>
      </c>
      <c r="AV120" s="4" t="s">
        <v>426</v>
      </c>
      <c r="AW120" s="4" t="s">
        <v>431</v>
      </c>
      <c r="AX120" s="4" t="s">
        <v>432</v>
      </c>
      <c r="AY120" s="4" t="n">
        <v>4</v>
      </c>
      <c r="AZ120" s="4" t="s">
        <v>62</v>
      </c>
      <c r="BA120" s="4" t="s">
        <v>429</v>
      </c>
      <c r="BB120" s="4" t="s">
        <v>59</v>
      </c>
      <c r="BC120" s="6" t="n">
        <v>0.2727</v>
      </c>
      <c r="BD120" s="4" t="n">
        <v>98</v>
      </c>
    </row>
    <row r="121" customFormat="false" ht="185.8" hidden="false" customHeight="false" outlineLevel="0" collapsed="false">
      <c r="A121" s="4" t="n">
        <v>42</v>
      </c>
      <c r="B121" s="4" t="s">
        <v>56</v>
      </c>
      <c r="C121" s="4" t="s">
        <v>57</v>
      </c>
      <c r="D121" s="4" t="s">
        <v>58</v>
      </c>
      <c r="E121" s="4" t="s">
        <v>59</v>
      </c>
      <c r="F121" s="4" t="n">
        <v>5279</v>
      </c>
      <c r="G121" s="5" t="s">
        <v>433</v>
      </c>
      <c r="H121" s="5" t="s">
        <v>425</v>
      </c>
      <c r="I121" s="4"/>
      <c r="J121" s="4"/>
      <c r="K121" s="4"/>
      <c r="L121" s="4" t="n">
        <v>100</v>
      </c>
      <c r="M121" s="4" t="n">
        <v>99</v>
      </c>
      <c r="N121" s="4" t="n">
        <v>1</v>
      </c>
      <c r="O121" s="4" t="n">
        <v>99</v>
      </c>
      <c r="P121" s="4" t="n">
        <v>0</v>
      </c>
      <c r="Q121" s="4" t="n">
        <v>45</v>
      </c>
      <c r="R121" s="6" t="n">
        <f aca="false">IF(N(L121)=0,0,O121/L121)</f>
        <v>0.99</v>
      </c>
      <c r="S121" s="4" t="n">
        <f aca="false">IF(R121="","",IF(R121&gt;=0.8,50,IF(R121&gt;=0.5,30,IF(R121&gt;=0.01,10,0))))</f>
        <v>50</v>
      </c>
      <c r="T121" s="4" t="n">
        <f aca="false">IF(TRIM(AI121)="Yes",2.5,0)</f>
        <v>2.5</v>
      </c>
      <c r="U121" s="4" t="n">
        <f aca="false">IF(TRIM(AJ121)="Yes",10,0)</f>
        <v>10</v>
      </c>
      <c r="V121" s="4" t="n">
        <f aca="false">IF(TRIM(AK121)="Yes",5,0)</f>
        <v>5</v>
      </c>
      <c r="W121" s="4" t="n">
        <f aca="false">IF(TRIM(AM121)="Yes",5,0)</f>
        <v>5</v>
      </c>
      <c r="X121" s="4" t="n">
        <f aca="false">IF(OR(TRIM(AN121)="Fully Available",TRIM(AN121)="Not Applicable"),5,IF(TRIM(AN121)="Partially Available",2.5,0))</f>
        <v>5</v>
      </c>
      <c r="Y121" s="4" t="n">
        <f aca="false">IF(TRIM(AO121)="Yes",5,0)</f>
        <v>5</v>
      </c>
      <c r="Z121" s="4" t="n">
        <f aca="false">IF(TRIM(AP121)="Yes",2.5,0)</f>
        <v>2.5</v>
      </c>
      <c r="AA121" s="4" t="n">
        <f aca="false">IF(TRIM(AQ121)="Yes",5,0)</f>
        <v>5</v>
      </c>
      <c r="AB121" s="4" t="n">
        <f aca="false">IF(OR(TRIM(AR121)="Yes",TRIM(AR121)="Not Applicable"),5,0)</f>
        <v>5</v>
      </c>
      <c r="AC121" s="4" t="n">
        <f aca="false">IF(TRIM(AS121)="Excellent",5,IF(TRIM(AS121)="Very Good",4,IF(TRIM(AS121)="Good",3,IF(TRIM(AS121)="Average",2,0))))</f>
        <v>3</v>
      </c>
      <c r="AD121" s="7" t="n">
        <f aca="false">IF(COUNT(S121:AC121)=0,"",SUM(S121:AC121))</f>
        <v>98</v>
      </c>
      <c r="AE121" s="7" t="n">
        <f aca="false">IF(COUNTIF($F$2:F121,F121)=1,IFERROR(AVERAGEIF($F:$F,F121,$AD:$AD),""),"")</f>
        <v>98</v>
      </c>
      <c r="AF121" s="8" t="str">
        <f aca="false">IF(AH121&lt;&gt;"",AH121,IF(AE121="","",IF(AE121&gt;=80,"Excellent",IF(AE121&gt;=70,"Very Good",IF(AE121&gt;=60,"Good",IF(AE121&gt;=50,"Average","Poor"))))))</f>
        <v>Excellent</v>
      </c>
      <c r="AG121" s="5"/>
      <c r="AH121" s="4"/>
      <c r="AI121" s="4" t="s">
        <v>62</v>
      </c>
      <c r="AJ121" s="4" t="s">
        <v>62</v>
      </c>
      <c r="AK121" s="4" t="s">
        <v>62</v>
      </c>
      <c r="AL121" s="4" t="s">
        <v>63</v>
      </c>
      <c r="AM121" s="4" t="s">
        <v>62</v>
      </c>
      <c r="AN121" s="4" t="s">
        <v>64</v>
      </c>
      <c r="AO121" s="4" t="s">
        <v>62</v>
      </c>
      <c r="AP121" s="4" t="s">
        <v>62</v>
      </c>
      <c r="AQ121" s="4" t="s">
        <v>62</v>
      </c>
      <c r="AR121" s="4" t="s">
        <v>62</v>
      </c>
      <c r="AS121" s="4" t="s">
        <v>185</v>
      </c>
      <c r="AT121" s="4" t="n">
        <v>7</v>
      </c>
      <c r="AU121" s="4" t="s">
        <v>66</v>
      </c>
      <c r="AV121" s="4" t="s">
        <v>426</v>
      </c>
      <c r="AW121" s="4" t="s">
        <v>434</v>
      </c>
      <c r="AX121" s="4" t="s">
        <v>199</v>
      </c>
      <c r="AY121" s="4" t="n">
        <v>10</v>
      </c>
      <c r="AZ121" s="4" t="s">
        <v>62</v>
      </c>
      <c r="BA121" s="4" t="s">
        <v>435</v>
      </c>
      <c r="BB121" s="4" t="s">
        <v>59</v>
      </c>
      <c r="BC121" s="6" t="n">
        <v>0.4545</v>
      </c>
      <c r="BD121" s="4" t="n">
        <v>100</v>
      </c>
    </row>
    <row r="122" customFormat="false" ht="143.25" hidden="false" customHeight="false" outlineLevel="0" collapsed="false">
      <c r="A122" s="4" t="n">
        <v>43</v>
      </c>
      <c r="B122" s="4" t="s">
        <v>56</v>
      </c>
      <c r="C122" s="4" t="s">
        <v>57</v>
      </c>
      <c r="D122" s="4" t="s">
        <v>58</v>
      </c>
      <c r="E122" s="4" t="s">
        <v>59</v>
      </c>
      <c r="F122" s="4" t="n">
        <v>101010</v>
      </c>
      <c r="G122" s="5" t="s">
        <v>436</v>
      </c>
      <c r="H122" s="5" t="s">
        <v>177</v>
      </c>
      <c r="I122" s="4"/>
      <c r="J122" s="4"/>
      <c r="K122" s="4"/>
      <c r="L122" s="4" t="n">
        <v>20</v>
      </c>
      <c r="M122" s="4" t="n">
        <v>20</v>
      </c>
      <c r="N122" s="4" t="n">
        <v>0</v>
      </c>
      <c r="O122" s="4" t="n">
        <v>16</v>
      </c>
      <c r="P122" s="4" t="n">
        <v>4</v>
      </c>
      <c r="Q122" s="4" t="n">
        <v>8</v>
      </c>
      <c r="R122" s="6" t="n">
        <f aca="false">IF(N(L122)=0,0,O122/L122)</f>
        <v>0.8</v>
      </c>
      <c r="S122" s="4" t="n">
        <f aca="false">IF(R122="","",IF(R122&gt;=0.8,50,IF(R122&gt;=0.5,30,IF(R122&gt;=0.01,10,0))))</f>
        <v>50</v>
      </c>
      <c r="T122" s="4" t="n">
        <f aca="false">IF(TRIM(AI122)="Yes",2.5,0)</f>
        <v>2.5</v>
      </c>
      <c r="U122" s="4" t="n">
        <f aca="false">IF(TRIM(AJ122)="Yes",10,0)</f>
        <v>10</v>
      </c>
      <c r="V122" s="4" t="n">
        <f aca="false">IF(TRIM(AK122)="Yes",5,0)</f>
        <v>5</v>
      </c>
      <c r="W122" s="4" t="n">
        <f aca="false">IF(TRIM(AM122)="Yes",5,0)</f>
        <v>5</v>
      </c>
      <c r="X122" s="4" t="n">
        <f aca="false">IF(OR(TRIM(AN122)="Fully Available",TRIM(AN122)="Not Applicable"),5,IF(TRIM(AN122)="Partially Available",2.5,0))</f>
        <v>5</v>
      </c>
      <c r="Y122" s="4" t="n">
        <f aca="false">IF(TRIM(AO122)="Yes",5,0)</f>
        <v>5</v>
      </c>
      <c r="Z122" s="4" t="n">
        <f aca="false">IF(TRIM(AP122)="Yes",2.5,0)</f>
        <v>2.5</v>
      </c>
      <c r="AA122" s="4" t="n">
        <f aca="false">IF(TRIM(AQ122)="Yes",5,0)</f>
        <v>5</v>
      </c>
      <c r="AB122" s="4" t="n">
        <f aca="false">IF(OR(TRIM(AR122)="Yes",TRIM(AR122)="Not Applicable"),5,0)</f>
        <v>5</v>
      </c>
      <c r="AC122" s="4" t="n">
        <f aca="false">IF(TRIM(AS122)="Excellent",5,IF(TRIM(AS122)="Very Good",4,IF(TRIM(AS122)="Good",3,IF(TRIM(AS122)="Average",2,0))))</f>
        <v>3</v>
      </c>
      <c r="AD122" s="7" t="n">
        <f aca="false">IF(COUNT(S122:AC122)=0,"",SUM(S122:AC122))</f>
        <v>98</v>
      </c>
      <c r="AE122" s="7" t="n">
        <f aca="false">IF(COUNTIF($F$2:F122,F122)=1,IFERROR(AVERAGEIF($F:$F,F122,$AD:$AD),""),"")</f>
        <v>98</v>
      </c>
      <c r="AF122" s="8" t="str">
        <f aca="false">IF(AH122&lt;&gt;"",AH122,IF(AE122="","",IF(AE122&gt;=80,"Excellent",IF(AE122&gt;=70,"Very Good",IF(AE122&gt;=60,"Good",IF(AE122&gt;=50,"Average","Poor"))))))</f>
        <v>Excellent</v>
      </c>
      <c r="AG122" s="5"/>
      <c r="AH122" s="4"/>
      <c r="AI122" s="4" t="s">
        <v>62</v>
      </c>
      <c r="AJ122" s="4" t="s">
        <v>62</v>
      </c>
      <c r="AK122" s="4" t="s">
        <v>62</v>
      </c>
      <c r="AL122" s="4" t="s">
        <v>63</v>
      </c>
      <c r="AM122" s="4" t="s">
        <v>62</v>
      </c>
      <c r="AN122" s="4" t="s">
        <v>64</v>
      </c>
      <c r="AO122" s="4" t="s">
        <v>62</v>
      </c>
      <c r="AP122" s="4" t="s">
        <v>62</v>
      </c>
      <c r="AQ122" s="4" t="s">
        <v>62</v>
      </c>
      <c r="AR122" s="4" t="s">
        <v>62</v>
      </c>
      <c r="AS122" s="4" t="s">
        <v>185</v>
      </c>
      <c r="AT122" s="4" t="n">
        <v>10</v>
      </c>
      <c r="AU122" s="4" t="s">
        <v>66</v>
      </c>
      <c r="AV122" s="9" t="n">
        <v>45420</v>
      </c>
      <c r="AW122" s="4" t="s">
        <v>437</v>
      </c>
      <c r="AX122" s="4" t="s">
        <v>438</v>
      </c>
      <c r="AY122" s="4" t="n">
        <v>4</v>
      </c>
      <c r="AZ122" s="4" t="s">
        <v>62</v>
      </c>
      <c r="BA122" s="4" t="s">
        <v>439</v>
      </c>
      <c r="BB122" s="4" t="s">
        <v>59</v>
      </c>
      <c r="BC122" s="6" t="n">
        <v>0.5</v>
      </c>
      <c r="BD122" s="4" t="n">
        <v>94</v>
      </c>
    </row>
    <row r="123" customFormat="false" ht="199.95" hidden="false" customHeight="false" outlineLevel="0" collapsed="false">
      <c r="A123" s="4" t="n">
        <v>44</v>
      </c>
      <c r="B123" s="4" t="s">
        <v>56</v>
      </c>
      <c r="C123" s="4" t="s">
        <v>57</v>
      </c>
      <c r="D123" s="4" t="s">
        <v>58</v>
      </c>
      <c r="E123" s="4" t="s">
        <v>59</v>
      </c>
      <c r="F123" s="4" t="n">
        <v>5650</v>
      </c>
      <c r="G123" s="5" t="s">
        <v>440</v>
      </c>
      <c r="H123" s="5" t="s">
        <v>90</v>
      </c>
      <c r="I123" s="4"/>
      <c r="J123" s="4"/>
      <c r="K123" s="4"/>
      <c r="L123" s="4" t="n">
        <v>20</v>
      </c>
      <c r="M123" s="4" t="n">
        <v>20</v>
      </c>
      <c r="N123" s="4" t="n">
        <v>0</v>
      </c>
      <c r="O123" s="4" t="n">
        <v>9</v>
      </c>
      <c r="P123" s="4" t="n">
        <v>11</v>
      </c>
      <c r="Q123" s="4" t="n">
        <v>5</v>
      </c>
      <c r="R123" s="6" t="n">
        <f aca="false">IF(N(L123)=0,0,O123/L123)</f>
        <v>0.45</v>
      </c>
      <c r="S123" s="4" t="n">
        <f aca="false">IF(R123="","",IF(R123&gt;=0.8,50,IF(R123&gt;=0.5,30,IF(R123&gt;=0.01,10,0))))</f>
        <v>10</v>
      </c>
      <c r="T123" s="4" t="n">
        <f aca="false">IF(TRIM(AI123)="Yes",2.5,0)</f>
        <v>2.5</v>
      </c>
      <c r="U123" s="4" t="n">
        <f aca="false">IF(TRIM(AJ123)="Yes",10,0)</f>
        <v>10</v>
      </c>
      <c r="V123" s="4" t="n">
        <f aca="false">IF(TRIM(AK123)="Yes",5,0)</f>
        <v>5</v>
      </c>
      <c r="W123" s="4" t="n">
        <f aca="false">IF(TRIM(AM123)="Yes",5,0)</f>
        <v>5</v>
      </c>
      <c r="X123" s="4" t="n">
        <f aca="false">IF(OR(TRIM(AN123)="Fully Available",TRIM(AN123)="Not Applicable"),5,IF(TRIM(AN123)="Partially Available",2.5,0))</f>
        <v>5</v>
      </c>
      <c r="Y123" s="4" t="n">
        <f aca="false">IF(TRIM(AO123)="Yes",5,0)</f>
        <v>5</v>
      </c>
      <c r="Z123" s="4" t="n">
        <f aca="false">IF(TRIM(AP123)="Yes",2.5,0)</f>
        <v>2.5</v>
      </c>
      <c r="AA123" s="4" t="n">
        <f aca="false">IF(TRIM(AQ123)="Yes",5,0)</f>
        <v>5</v>
      </c>
      <c r="AB123" s="4" t="n">
        <f aca="false">IF(OR(TRIM(AR123)="Yes",TRIM(AR123)="Not Applicable"),5,0)</f>
        <v>5</v>
      </c>
      <c r="AC123" s="4" t="n">
        <f aca="false">IF(TRIM(AS123)="Excellent",5,IF(TRIM(AS123)="Very Good",4,IF(TRIM(AS123)="Good",3,IF(TRIM(AS123)="Average",2,0))))</f>
        <v>3</v>
      </c>
      <c r="AD123" s="7" t="n">
        <f aca="false">IF(COUNT(S123:AC123)=0,"",SUM(S123:AC123))</f>
        <v>58</v>
      </c>
      <c r="AE123" s="7" t="n">
        <f aca="false">IF(COUNTIF($F$2:F123,F123)=1,IFERROR(AVERAGEIF($F:$F,F123,$AD:$AD),""),"")</f>
        <v>73</v>
      </c>
      <c r="AF123" s="8" t="str">
        <f aca="false">IF(AH123&lt;&gt;"",AH123,IF(AE123="","",IF(AE123&gt;=80,"Excellent",IF(AE123&gt;=70,"Very Good",IF(AE123&gt;=60,"Good",IF(AE123&gt;=50,"Average","Poor"))))))</f>
        <v>Very Good</v>
      </c>
      <c r="AG123" s="5"/>
      <c r="AH123" s="4"/>
      <c r="AI123" s="4" t="s">
        <v>62</v>
      </c>
      <c r="AJ123" s="4" t="s">
        <v>62</v>
      </c>
      <c r="AK123" s="4" t="s">
        <v>62</v>
      </c>
      <c r="AL123" s="4" t="s">
        <v>63</v>
      </c>
      <c r="AM123" s="4" t="s">
        <v>62</v>
      </c>
      <c r="AN123" s="4" t="s">
        <v>64</v>
      </c>
      <c r="AO123" s="4" t="s">
        <v>62</v>
      </c>
      <c r="AP123" s="4" t="s">
        <v>62</v>
      </c>
      <c r="AQ123" s="4" t="s">
        <v>62</v>
      </c>
      <c r="AR123" s="4" t="s">
        <v>62</v>
      </c>
      <c r="AS123" s="4" t="s">
        <v>185</v>
      </c>
      <c r="AT123" s="4" t="n">
        <v>10</v>
      </c>
      <c r="AU123" s="4" t="s">
        <v>66</v>
      </c>
      <c r="AV123" s="9" t="n">
        <v>45377</v>
      </c>
      <c r="AW123" s="4" t="s">
        <v>441</v>
      </c>
      <c r="AX123" s="4" t="s">
        <v>442</v>
      </c>
      <c r="AY123" s="4" t="n">
        <v>6</v>
      </c>
      <c r="AZ123" s="4" t="s">
        <v>62</v>
      </c>
      <c r="BA123" s="4" t="s">
        <v>443</v>
      </c>
      <c r="BB123" s="4" t="s">
        <v>59</v>
      </c>
      <c r="BC123" s="6" t="n">
        <v>0.5556</v>
      </c>
      <c r="BD123" s="4" t="n">
        <v>78</v>
      </c>
    </row>
    <row r="124" customFormat="false" ht="199.95" hidden="false" customHeight="false" outlineLevel="0" collapsed="false">
      <c r="A124" s="4"/>
      <c r="B124" s="4" t="s">
        <v>56</v>
      </c>
      <c r="C124" s="4" t="s">
        <v>57</v>
      </c>
      <c r="D124" s="4" t="s">
        <v>58</v>
      </c>
      <c r="E124" s="4" t="s">
        <v>59</v>
      </c>
      <c r="F124" s="4" t="n">
        <v>5650</v>
      </c>
      <c r="G124" s="5" t="s">
        <v>440</v>
      </c>
      <c r="H124" s="5" t="s">
        <v>444</v>
      </c>
      <c r="I124" s="4"/>
      <c r="J124" s="4"/>
      <c r="K124" s="4"/>
      <c r="L124" s="4" t="n">
        <v>20</v>
      </c>
      <c r="M124" s="4" t="n">
        <v>20</v>
      </c>
      <c r="N124" s="4" t="n">
        <v>0</v>
      </c>
      <c r="O124" s="4" t="n">
        <v>12</v>
      </c>
      <c r="P124" s="4" t="n">
        <v>8</v>
      </c>
      <c r="Q124" s="4" t="n">
        <v>8</v>
      </c>
      <c r="R124" s="6" t="n">
        <f aca="false">IF(N(L124)=0,0,O124/L124)</f>
        <v>0.6</v>
      </c>
      <c r="S124" s="4" t="n">
        <f aca="false">IF(R124="","",IF(R124&gt;=0.8,50,IF(R124&gt;=0.5,30,IF(R124&gt;=0.01,10,0))))</f>
        <v>30</v>
      </c>
      <c r="T124" s="4" t="n">
        <f aca="false">IF(TRIM(AI124)="Yes",2.5,0)</f>
        <v>2.5</v>
      </c>
      <c r="U124" s="4" t="n">
        <f aca="false">IF(TRIM(AJ124)="Yes",10,0)</f>
        <v>10</v>
      </c>
      <c r="V124" s="4" t="n">
        <f aca="false">IF(TRIM(AK124)="Yes",5,0)</f>
        <v>5</v>
      </c>
      <c r="W124" s="4" t="n">
        <f aca="false">IF(TRIM(AM124)="Yes",5,0)</f>
        <v>5</v>
      </c>
      <c r="X124" s="4" t="n">
        <f aca="false">IF(OR(TRIM(AN124)="Fully Available",TRIM(AN124)="Not Applicable"),5,IF(TRIM(AN124)="Partially Available",2.5,0))</f>
        <v>2.5</v>
      </c>
      <c r="Y124" s="4" t="n">
        <f aca="false">IF(TRIM(AO124)="Yes",5,0)</f>
        <v>5</v>
      </c>
      <c r="Z124" s="4" t="n">
        <f aca="false">IF(TRIM(AP124)="Yes",2.5,0)</f>
        <v>2.5</v>
      </c>
      <c r="AA124" s="4" t="n">
        <f aca="false">IF(TRIM(AQ124)="Yes",5,0)</f>
        <v>5</v>
      </c>
      <c r="AB124" s="4" t="n">
        <f aca="false">IF(OR(TRIM(AR124)="Yes",TRIM(AR124)="Not Applicable"),5,0)</f>
        <v>5</v>
      </c>
      <c r="AC124" s="4" t="n">
        <f aca="false">IF(TRIM(AS124)="Excellent",5,IF(TRIM(AS124)="Very Good",4,IF(TRIM(AS124)="Good",3,IF(TRIM(AS124)="Average",2,0))))</f>
        <v>3</v>
      </c>
      <c r="AD124" s="7" t="n">
        <f aca="false">IF(COUNT(S124:AC124)=0,"",SUM(S124:AC124))</f>
        <v>75.5</v>
      </c>
      <c r="AE124" s="7"/>
      <c r="AF124" s="8"/>
      <c r="AG124" s="5"/>
      <c r="AH124" s="4"/>
      <c r="AI124" s="4" t="s">
        <v>62</v>
      </c>
      <c r="AJ124" s="4" t="s">
        <v>62</v>
      </c>
      <c r="AK124" s="4" t="s">
        <v>62</v>
      </c>
      <c r="AL124" s="4" t="s">
        <v>63</v>
      </c>
      <c r="AM124" s="4" t="s">
        <v>62</v>
      </c>
      <c r="AN124" s="4" t="s">
        <v>147</v>
      </c>
      <c r="AO124" s="4" t="s">
        <v>62</v>
      </c>
      <c r="AP124" s="4" t="s">
        <v>62</v>
      </c>
      <c r="AQ124" s="4" t="s">
        <v>62</v>
      </c>
      <c r="AR124" s="4" t="s">
        <v>62</v>
      </c>
      <c r="AS124" s="4" t="s">
        <v>185</v>
      </c>
      <c r="AT124" s="4" t="n">
        <v>4</v>
      </c>
      <c r="AU124" s="4" t="s">
        <v>66</v>
      </c>
      <c r="AV124" s="9" t="n">
        <v>45377</v>
      </c>
      <c r="AW124" s="4" t="s">
        <v>445</v>
      </c>
      <c r="AX124" s="4" t="s">
        <v>442</v>
      </c>
      <c r="AY124" s="4" t="n">
        <v>8</v>
      </c>
      <c r="AZ124" s="4" t="s">
        <v>62</v>
      </c>
      <c r="BA124" s="4" t="s">
        <v>443</v>
      </c>
      <c r="BB124" s="4" t="s">
        <v>59</v>
      </c>
      <c r="BC124" s="6" t="n">
        <v>0.6667</v>
      </c>
      <c r="BD124" s="4" t="n">
        <v>78</v>
      </c>
    </row>
    <row r="125" customFormat="false" ht="199.95" hidden="false" customHeight="false" outlineLevel="0" collapsed="false">
      <c r="A125" s="4"/>
      <c r="B125" s="4" t="s">
        <v>56</v>
      </c>
      <c r="C125" s="4" t="s">
        <v>57</v>
      </c>
      <c r="D125" s="4" t="s">
        <v>58</v>
      </c>
      <c r="E125" s="4" t="s">
        <v>59</v>
      </c>
      <c r="F125" s="4" t="n">
        <v>5650</v>
      </c>
      <c r="G125" s="5" t="s">
        <v>440</v>
      </c>
      <c r="H125" s="5" t="s">
        <v>446</v>
      </c>
      <c r="I125" s="4"/>
      <c r="J125" s="4"/>
      <c r="K125" s="4"/>
      <c r="L125" s="4" t="n">
        <v>20</v>
      </c>
      <c r="M125" s="4" t="n">
        <v>20</v>
      </c>
      <c r="N125" s="4" t="n">
        <v>0</v>
      </c>
      <c r="O125" s="4" t="n">
        <v>13</v>
      </c>
      <c r="P125" s="4" t="n">
        <v>7</v>
      </c>
      <c r="Q125" s="4" t="n">
        <v>13</v>
      </c>
      <c r="R125" s="6" t="n">
        <f aca="false">IF(N(L125)=0,0,O125/L125)</f>
        <v>0.65</v>
      </c>
      <c r="S125" s="4" t="n">
        <f aca="false">IF(R125="","",IF(R125&gt;=0.8,50,IF(R125&gt;=0.5,30,IF(R125&gt;=0.01,10,0))))</f>
        <v>30</v>
      </c>
      <c r="T125" s="4" t="n">
        <f aca="false">IF(TRIM(AI125)="Yes",2.5,0)</f>
        <v>2.5</v>
      </c>
      <c r="U125" s="4" t="n">
        <f aca="false">IF(TRIM(AJ125)="Yes",10,0)</f>
        <v>10</v>
      </c>
      <c r="V125" s="4" t="n">
        <f aca="false">IF(TRIM(AK125)="Yes",5,0)</f>
        <v>5</v>
      </c>
      <c r="W125" s="4" t="n">
        <f aca="false">IF(TRIM(AM125)="Yes",5,0)</f>
        <v>5</v>
      </c>
      <c r="X125" s="4" t="n">
        <f aca="false">IF(OR(TRIM(AN125)="Fully Available",TRIM(AN125)="Not Applicable"),5,IF(TRIM(AN125)="Partially Available",2.5,0))</f>
        <v>2.5</v>
      </c>
      <c r="Y125" s="4" t="n">
        <f aca="false">IF(TRIM(AO125)="Yes",5,0)</f>
        <v>5</v>
      </c>
      <c r="Z125" s="4" t="n">
        <f aca="false">IF(TRIM(AP125)="Yes",2.5,0)</f>
        <v>2.5</v>
      </c>
      <c r="AA125" s="4" t="n">
        <f aca="false">IF(TRIM(AQ125)="Yes",5,0)</f>
        <v>5</v>
      </c>
      <c r="AB125" s="4" t="n">
        <f aca="false">IF(OR(TRIM(AR125)="Yes",TRIM(AR125)="Not Applicable"),5,0)</f>
        <v>5</v>
      </c>
      <c r="AC125" s="4" t="n">
        <f aca="false">IF(TRIM(AS125)="Excellent",5,IF(TRIM(AS125)="Very Good",4,IF(TRIM(AS125)="Good",3,IF(TRIM(AS125)="Average",2,0))))</f>
        <v>3</v>
      </c>
      <c r="AD125" s="7" t="n">
        <f aca="false">IF(COUNT(S125:AC125)=0,"",SUM(S125:AC125))</f>
        <v>75.5</v>
      </c>
      <c r="AE125" s="7"/>
      <c r="AF125" s="8"/>
      <c r="AG125" s="5"/>
      <c r="AH125" s="4"/>
      <c r="AI125" s="4" t="s">
        <v>62</v>
      </c>
      <c r="AJ125" s="4" t="s">
        <v>62</v>
      </c>
      <c r="AK125" s="4" t="s">
        <v>62</v>
      </c>
      <c r="AL125" s="4" t="s">
        <v>63</v>
      </c>
      <c r="AM125" s="4" t="s">
        <v>62</v>
      </c>
      <c r="AN125" s="4" t="s">
        <v>147</v>
      </c>
      <c r="AO125" s="4" t="s">
        <v>62</v>
      </c>
      <c r="AP125" s="4" t="s">
        <v>62</v>
      </c>
      <c r="AQ125" s="4" t="s">
        <v>62</v>
      </c>
      <c r="AR125" s="4" t="s">
        <v>62</v>
      </c>
      <c r="AS125" s="4" t="s">
        <v>185</v>
      </c>
      <c r="AT125" s="4" t="n">
        <v>5</v>
      </c>
      <c r="AU125" s="4" t="s">
        <v>112</v>
      </c>
      <c r="AV125" s="9" t="n">
        <v>45377</v>
      </c>
      <c r="AW125" s="4" t="s">
        <v>447</v>
      </c>
      <c r="AX125" s="4" t="s">
        <v>442</v>
      </c>
      <c r="AY125" s="4" t="n">
        <v>20</v>
      </c>
      <c r="AZ125" s="4" t="s">
        <v>62</v>
      </c>
      <c r="BA125" s="4" t="s">
        <v>443</v>
      </c>
      <c r="BB125" s="4" t="s">
        <v>59</v>
      </c>
      <c r="BC125" s="6" t="n">
        <v>1</v>
      </c>
      <c r="BD125" s="4" t="n">
        <v>78</v>
      </c>
    </row>
    <row r="126" customFormat="false" ht="199.95" hidden="false" customHeight="false" outlineLevel="0" collapsed="false">
      <c r="A126" s="4"/>
      <c r="B126" s="4" t="s">
        <v>56</v>
      </c>
      <c r="C126" s="4" t="s">
        <v>57</v>
      </c>
      <c r="D126" s="4" t="s">
        <v>58</v>
      </c>
      <c r="E126" s="4" t="s">
        <v>59</v>
      </c>
      <c r="F126" s="4" t="n">
        <v>5650</v>
      </c>
      <c r="G126" s="5" t="s">
        <v>440</v>
      </c>
      <c r="H126" s="5" t="s">
        <v>448</v>
      </c>
      <c r="I126" s="4"/>
      <c r="J126" s="4"/>
      <c r="K126" s="4"/>
      <c r="L126" s="4" t="n">
        <v>20</v>
      </c>
      <c r="M126" s="4" t="n">
        <v>15</v>
      </c>
      <c r="N126" s="4" t="n">
        <v>5</v>
      </c>
      <c r="O126" s="4" t="n">
        <v>12</v>
      </c>
      <c r="P126" s="4" t="n">
        <v>3</v>
      </c>
      <c r="Q126" s="4" t="n">
        <v>6</v>
      </c>
      <c r="R126" s="6" t="n">
        <f aca="false">IF(N(L126)=0,0,O126/L126)</f>
        <v>0.6</v>
      </c>
      <c r="S126" s="4" t="n">
        <f aca="false">IF(R126="","",IF(R126&gt;=0.8,50,IF(R126&gt;=0.5,30,IF(R126&gt;=0.01,10,0))))</f>
        <v>30</v>
      </c>
      <c r="T126" s="4" t="n">
        <f aca="false">IF(TRIM(AI126)="Yes",2.5,0)</f>
        <v>2.5</v>
      </c>
      <c r="U126" s="4" t="n">
        <f aca="false">IF(TRIM(AJ126)="Yes",10,0)</f>
        <v>10</v>
      </c>
      <c r="V126" s="4" t="n">
        <f aca="false">IF(TRIM(AK126)="Yes",5,0)</f>
        <v>5</v>
      </c>
      <c r="W126" s="4" t="n">
        <f aca="false">IF(TRIM(AM126)="Yes",5,0)</f>
        <v>5</v>
      </c>
      <c r="X126" s="4" t="n">
        <f aca="false">IF(OR(TRIM(AN126)="Fully Available",TRIM(AN126)="Not Applicable"),5,IF(TRIM(AN126)="Partially Available",2.5,0))</f>
        <v>5</v>
      </c>
      <c r="Y126" s="4" t="n">
        <f aca="false">IF(TRIM(AO126)="Yes",5,0)</f>
        <v>5</v>
      </c>
      <c r="Z126" s="4" t="n">
        <f aca="false">IF(TRIM(AP126)="Yes",2.5,0)</f>
        <v>2.5</v>
      </c>
      <c r="AA126" s="4" t="n">
        <f aca="false">IF(TRIM(AQ126)="Yes",5,0)</f>
        <v>5</v>
      </c>
      <c r="AB126" s="4" t="n">
        <f aca="false">IF(OR(TRIM(AR126)="Yes",TRIM(AR126)="Not Applicable"),5,0)</f>
        <v>5</v>
      </c>
      <c r="AC126" s="4" t="n">
        <f aca="false">IF(TRIM(AS126)="Excellent",5,IF(TRIM(AS126)="Very Good",4,IF(TRIM(AS126)="Good",3,IF(TRIM(AS126)="Average",2,0))))</f>
        <v>3</v>
      </c>
      <c r="AD126" s="7" t="n">
        <f aca="false">IF(COUNT(S126:AC126)=0,"",SUM(S126:AC126))</f>
        <v>78</v>
      </c>
      <c r="AE126" s="7"/>
      <c r="AF126" s="8"/>
      <c r="AG126" s="5"/>
      <c r="AH126" s="4"/>
      <c r="AI126" s="4" t="s">
        <v>62</v>
      </c>
      <c r="AJ126" s="4" t="s">
        <v>62</v>
      </c>
      <c r="AK126" s="4" t="s">
        <v>62</v>
      </c>
      <c r="AL126" s="4" t="s">
        <v>63</v>
      </c>
      <c r="AM126" s="4" t="s">
        <v>62</v>
      </c>
      <c r="AN126" s="4" t="s">
        <v>64</v>
      </c>
      <c r="AO126" s="4" t="s">
        <v>62</v>
      </c>
      <c r="AP126" s="4" t="s">
        <v>62</v>
      </c>
      <c r="AQ126" s="4" t="s">
        <v>62</v>
      </c>
      <c r="AR126" s="4" t="s">
        <v>62</v>
      </c>
      <c r="AS126" s="4" t="s">
        <v>185</v>
      </c>
      <c r="AT126" s="4" t="n">
        <v>8</v>
      </c>
      <c r="AU126" s="4" t="s">
        <v>112</v>
      </c>
      <c r="AV126" s="9" t="n">
        <v>45377</v>
      </c>
      <c r="AW126" s="4" t="s">
        <v>449</v>
      </c>
      <c r="AX126" s="4" t="s">
        <v>442</v>
      </c>
      <c r="AY126" s="4" t="n">
        <v>4</v>
      </c>
      <c r="AZ126" s="4" t="s">
        <v>62</v>
      </c>
      <c r="BA126" s="4" t="s">
        <v>443</v>
      </c>
      <c r="BB126" s="4" t="s">
        <v>59</v>
      </c>
      <c r="BC126" s="6" t="n">
        <v>0.5</v>
      </c>
      <c r="BD126" s="4" t="n">
        <v>78</v>
      </c>
    </row>
    <row r="127" customFormat="false" ht="199.95" hidden="false" customHeight="false" outlineLevel="0" collapsed="false">
      <c r="A127" s="4"/>
      <c r="B127" s="4" t="s">
        <v>56</v>
      </c>
      <c r="C127" s="4" t="s">
        <v>57</v>
      </c>
      <c r="D127" s="4" t="s">
        <v>58</v>
      </c>
      <c r="E127" s="4" t="s">
        <v>59</v>
      </c>
      <c r="F127" s="4" t="n">
        <v>5650</v>
      </c>
      <c r="G127" s="5" t="s">
        <v>440</v>
      </c>
      <c r="H127" s="5" t="s">
        <v>450</v>
      </c>
      <c r="I127" s="4"/>
      <c r="J127" s="4"/>
      <c r="K127" s="4"/>
      <c r="L127" s="4" t="n">
        <v>20</v>
      </c>
      <c r="M127" s="4" t="n">
        <v>20</v>
      </c>
      <c r="N127" s="4" t="n">
        <v>0</v>
      </c>
      <c r="O127" s="4" t="n">
        <v>12</v>
      </c>
      <c r="P127" s="4" t="n">
        <v>8</v>
      </c>
      <c r="Q127" s="4" t="n">
        <v>6</v>
      </c>
      <c r="R127" s="6" t="n">
        <f aca="false">IF(N(L127)=0,0,O127/L127)</f>
        <v>0.6</v>
      </c>
      <c r="S127" s="4" t="n">
        <f aca="false">IF(R127="","",IF(R127&gt;=0.8,50,IF(R127&gt;=0.5,30,IF(R127&gt;=0.01,10,0))))</f>
        <v>30</v>
      </c>
      <c r="T127" s="4" t="n">
        <f aca="false">IF(TRIM(AI127)="Yes",2.5,0)</f>
        <v>2.5</v>
      </c>
      <c r="U127" s="4" t="n">
        <f aca="false">IF(TRIM(AJ127)="Yes",10,0)</f>
        <v>10</v>
      </c>
      <c r="V127" s="4" t="n">
        <f aca="false">IF(TRIM(AK127)="Yes",5,0)</f>
        <v>5</v>
      </c>
      <c r="W127" s="4" t="n">
        <f aca="false">IF(TRIM(AM127)="Yes",5,0)</f>
        <v>5</v>
      </c>
      <c r="X127" s="4" t="n">
        <f aca="false">IF(OR(TRIM(AN127)="Fully Available",TRIM(AN127)="Not Applicable"),5,IF(TRIM(AN127)="Partially Available",2.5,0))</f>
        <v>2.5</v>
      </c>
      <c r="Y127" s="4" t="n">
        <f aca="false">IF(TRIM(AO127)="Yes",5,0)</f>
        <v>5</v>
      </c>
      <c r="Z127" s="4" t="n">
        <f aca="false">IF(TRIM(AP127)="Yes",2.5,0)</f>
        <v>2.5</v>
      </c>
      <c r="AA127" s="4" t="n">
        <f aca="false">IF(TRIM(AQ127)="Yes",5,0)</f>
        <v>5</v>
      </c>
      <c r="AB127" s="4" t="n">
        <f aca="false">IF(OR(TRIM(AR127)="Yes",TRIM(AR127)="Not Applicable"),5,0)</f>
        <v>5</v>
      </c>
      <c r="AC127" s="4" t="n">
        <f aca="false">IF(TRIM(AS127)="Excellent",5,IF(TRIM(AS127)="Very Good",4,IF(TRIM(AS127)="Good",3,IF(TRIM(AS127)="Average",2,0))))</f>
        <v>3</v>
      </c>
      <c r="AD127" s="7" t="n">
        <f aca="false">IF(COUNT(S127:AC127)=0,"",SUM(S127:AC127))</f>
        <v>75.5</v>
      </c>
      <c r="AE127" s="7"/>
      <c r="AF127" s="8"/>
      <c r="AG127" s="5"/>
      <c r="AH127" s="4"/>
      <c r="AI127" s="4" t="s">
        <v>62</v>
      </c>
      <c r="AJ127" s="4" t="s">
        <v>62</v>
      </c>
      <c r="AK127" s="4" t="s">
        <v>62</v>
      </c>
      <c r="AL127" s="4" t="s">
        <v>63</v>
      </c>
      <c r="AM127" s="4" t="s">
        <v>62</v>
      </c>
      <c r="AN127" s="4" t="s">
        <v>147</v>
      </c>
      <c r="AO127" s="4" t="s">
        <v>62</v>
      </c>
      <c r="AP127" s="4" t="s">
        <v>62</v>
      </c>
      <c r="AQ127" s="4" t="s">
        <v>62</v>
      </c>
      <c r="AR127" s="4" t="s">
        <v>62</v>
      </c>
      <c r="AS127" s="4" t="s">
        <v>185</v>
      </c>
      <c r="AT127" s="4" t="n">
        <v>12</v>
      </c>
      <c r="AU127" s="4" t="s">
        <v>66</v>
      </c>
      <c r="AV127" s="9" t="n">
        <v>45377</v>
      </c>
      <c r="AW127" s="4" t="s">
        <v>451</v>
      </c>
      <c r="AX127" s="4" t="s">
        <v>442</v>
      </c>
      <c r="AY127" s="4" t="n">
        <v>4</v>
      </c>
      <c r="AZ127" s="4" t="s">
        <v>62</v>
      </c>
      <c r="BA127" s="4" t="s">
        <v>443</v>
      </c>
      <c r="BB127" s="4" t="s">
        <v>59</v>
      </c>
      <c r="BC127" s="6" t="n">
        <v>0.5</v>
      </c>
      <c r="BD127" s="4" t="n">
        <v>78</v>
      </c>
    </row>
    <row r="128" customFormat="false" ht="199.95" hidden="false" customHeight="false" outlineLevel="0" collapsed="false">
      <c r="A128" s="4"/>
      <c r="B128" s="4" t="s">
        <v>56</v>
      </c>
      <c r="C128" s="4" t="s">
        <v>57</v>
      </c>
      <c r="D128" s="4" t="s">
        <v>58</v>
      </c>
      <c r="E128" s="4" t="s">
        <v>59</v>
      </c>
      <c r="F128" s="4" t="n">
        <v>5650</v>
      </c>
      <c r="G128" s="5" t="s">
        <v>440</v>
      </c>
      <c r="H128" s="5" t="s">
        <v>452</v>
      </c>
      <c r="I128" s="4"/>
      <c r="J128" s="4"/>
      <c r="K128" s="4"/>
      <c r="L128" s="4" t="n">
        <v>20</v>
      </c>
      <c r="M128" s="4" t="n">
        <v>20</v>
      </c>
      <c r="N128" s="4" t="n">
        <v>0</v>
      </c>
      <c r="O128" s="4" t="n">
        <v>13</v>
      </c>
      <c r="P128" s="4" t="n">
        <v>7</v>
      </c>
      <c r="Q128" s="4" t="n">
        <v>8</v>
      </c>
      <c r="R128" s="6" t="n">
        <f aca="false">IF(N(L128)=0,0,O128/L128)</f>
        <v>0.65</v>
      </c>
      <c r="S128" s="4" t="n">
        <f aca="false">IF(R128="","",IF(R128&gt;=0.8,50,IF(R128&gt;=0.5,30,IF(R128&gt;=0.01,10,0))))</f>
        <v>30</v>
      </c>
      <c r="T128" s="4" t="n">
        <f aca="false">IF(TRIM(AI128)="Yes",2.5,0)</f>
        <v>2.5</v>
      </c>
      <c r="U128" s="4" t="n">
        <f aca="false">IF(TRIM(AJ128)="Yes",10,0)</f>
        <v>10</v>
      </c>
      <c r="V128" s="4" t="n">
        <f aca="false">IF(TRIM(AK128)="Yes",5,0)</f>
        <v>5</v>
      </c>
      <c r="W128" s="4" t="n">
        <f aca="false">IF(TRIM(AM128)="Yes",5,0)</f>
        <v>5</v>
      </c>
      <c r="X128" s="4" t="n">
        <f aca="false">IF(OR(TRIM(AN128)="Fully Available",TRIM(AN128)="Not Applicable"),5,IF(TRIM(AN128)="Partially Available",2.5,0))</f>
        <v>2.5</v>
      </c>
      <c r="Y128" s="4" t="n">
        <f aca="false">IF(TRIM(AO128)="Yes",5,0)</f>
        <v>5</v>
      </c>
      <c r="Z128" s="4" t="n">
        <f aca="false">IF(TRIM(AP128)="Yes",2.5,0)</f>
        <v>2.5</v>
      </c>
      <c r="AA128" s="4" t="n">
        <f aca="false">IF(TRIM(AQ128)="Yes",5,0)</f>
        <v>5</v>
      </c>
      <c r="AB128" s="4" t="n">
        <f aca="false">IF(OR(TRIM(AR128)="Yes",TRIM(AR128)="Not Applicable"),5,0)</f>
        <v>5</v>
      </c>
      <c r="AC128" s="4" t="n">
        <f aca="false">IF(TRIM(AS128)="Excellent",5,IF(TRIM(AS128)="Very Good",4,IF(TRIM(AS128)="Good",3,IF(TRIM(AS128)="Average",2,0))))</f>
        <v>3</v>
      </c>
      <c r="AD128" s="7" t="n">
        <f aca="false">IF(COUNT(S128:AC128)=0,"",SUM(S128:AC128))</f>
        <v>75.5</v>
      </c>
      <c r="AE128" s="7"/>
      <c r="AF128" s="8"/>
      <c r="AG128" s="5"/>
      <c r="AH128" s="4"/>
      <c r="AI128" s="4" t="s">
        <v>62</v>
      </c>
      <c r="AJ128" s="4" t="s">
        <v>62</v>
      </c>
      <c r="AK128" s="4" t="s">
        <v>62</v>
      </c>
      <c r="AL128" s="4" t="s">
        <v>63</v>
      </c>
      <c r="AM128" s="4" t="s">
        <v>62</v>
      </c>
      <c r="AN128" s="4" t="s">
        <v>147</v>
      </c>
      <c r="AO128" s="4" t="s">
        <v>62</v>
      </c>
      <c r="AP128" s="4" t="s">
        <v>62</v>
      </c>
      <c r="AQ128" s="4" t="s">
        <v>62</v>
      </c>
      <c r="AR128" s="4" t="s">
        <v>62</v>
      </c>
      <c r="AS128" s="4" t="s">
        <v>185</v>
      </c>
      <c r="AT128" s="4" t="n">
        <v>4</v>
      </c>
      <c r="AU128" s="4" t="s">
        <v>453</v>
      </c>
      <c r="AV128" s="9" t="n">
        <v>45377</v>
      </c>
      <c r="AW128" s="4" t="s">
        <v>454</v>
      </c>
      <c r="AX128" s="4" t="s">
        <v>442</v>
      </c>
      <c r="AY128" s="4" t="n">
        <v>8</v>
      </c>
      <c r="AZ128" s="4" t="s">
        <v>62</v>
      </c>
      <c r="BA128" s="4" t="s">
        <v>443</v>
      </c>
      <c r="BB128" s="4" t="s">
        <v>59</v>
      </c>
      <c r="BC128" s="6" t="n">
        <v>0.6154</v>
      </c>
      <c r="BD128" s="4" t="n">
        <v>78</v>
      </c>
    </row>
    <row r="129" customFormat="false" ht="143.25" hidden="false" customHeight="false" outlineLevel="0" collapsed="false">
      <c r="A129" s="4" t="n">
        <v>45</v>
      </c>
      <c r="B129" s="4" t="s">
        <v>56</v>
      </c>
      <c r="C129" s="4" t="s">
        <v>57</v>
      </c>
      <c r="D129" s="4" t="s">
        <v>58</v>
      </c>
      <c r="E129" s="4" t="s">
        <v>59</v>
      </c>
      <c r="F129" s="4" t="n">
        <v>4742</v>
      </c>
      <c r="G129" s="5" t="s">
        <v>455</v>
      </c>
      <c r="H129" s="5" t="s">
        <v>456</v>
      </c>
      <c r="I129" s="4"/>
      <c r="J129" s="4"/>
      <c r="K129" s="4"/>
      <c r="L129" s="4" t="n">
        <v>20</v>
      </c>
      <c r="M129" s="4" t="n">
        <v>20</v>
      </c>
      <c r="N129" s="4" t="n">
        <v>0</v>
      </c>
      <c r="O129" s="4" t="n">
        <v>4</v>
      </c>
      <c r="P129" s="4" t="n">
        <v>16</v>
      </c>
      <c r="Q129" s="4" t="n">
        <v>4</v>
      </c>
      <c r="R129" s="6" t="n">
        <f aca="false">IF(N(L129)=0,0,O129/L129)</f>
        <v>0.2</v>
      </c>
      <c r="S129" s="4" t="n">
        <f aca="false">IF(R129="","",IF(R129&gt;=0.8,50,IF(R129&gt;=0.5,30,IF(R129&gt;=0.01,10,0))))</f>
        <v>10</v>
      </c>
      <c r="T129" s="4" t="n">
        <f aca="false">IF(TRIM(AI129)="Yes",2.5,0)</f>
        <v>2.5</v>
      </c>
      <c r="U129" s="4" t="n">
        <f aca="false">IF(TRIM(AJ129)="Yes",10,0)</f>
        <v>10</v>
      </c>
      <c r="V129" s="4" t="n">
        <f aca="false">IF(TRIM(AK129)="Yes",5,0)</f>
        <v>5</v>
      </c>
      <c r="W129" s="4" t="n">
        <f aca="false">IF(TRIM(AM129)="Yes",5,0)</f>
        <v>5</v>
      </c>
      <c r="X129" s="4" t="n">
        <f aca="false">IF(OR(TRIM(AN129)="Fully Available",TRIM(AN129)="Not Applicable"),5,IF(TRIM(AN129)="Partially Available",2.5,0))</f>
        <v>5</v>
      </c>
      <c r="Y129" s="4" t="n">
        <f aca="false">IF(TRIM(AO129)="Yes",5,0)</f>
        <v>5</v>
      </c>
      <c r="Z129" s="4" t="n">
        <f aca="false">IF(TRIM(AP129)="Yes",2.5,0)</f>
        <v>2.5</v>
      </c>
      <c r="AA129" s="4" t="n">
        <f aca="false">IF(TRIM(AQ129)="Yes",5,0)</f>
        <v>5</v>
      </c>
      <c r="AB129" s="4" t="n">
        <f aca="false">IF(OR(TRIM(AR129)="Yes",TRIM(AR129)="Not Applicable"),5,0)</f>
        <v>5</v>
      </c>
      <c r="AC129" s="4" t="n">
        <f aca="false">IF(TRIM(AS129)="Excellent",5,IF(TRIM(AS129)="Very Good",4,IF(TRIM(AS129)="Good",3,IF(TRIM(AS129)="Average",2,0))))</f>
        <v>3</v>
      </c>
      <c r="AD129" s="7" t="n">
        <f aca="false">IF(COUNT(S129:AC129)=0,"",SUM(S129:AC129))</f>
        <v>58</v>
      </c>
      <c r="AE129" s="7" t="n">
        <f aca="false">IF(COUNTIF($F$2:F129,F129)=1,IFERROR(AVERAGEIF($F:$F,F129,$AD:$AD),""),"")</f>
        <v>58</v>
      </c>
      <c r="AF129" s="8" t="str">
        <f aca="false">IF(AH129&lt;&gt;"",AH129,IF(AE129="","",IF(AE129&gt;=80,"Excellent",IF(AE129&gt;=70,"Very Good",IF(AE129&gt;=60,"Good",IF(AE129&gt;=50,"Average","Poor"))))))</f>
        <v>Average</v>
      </c>
      <c r="AG129" s="5"/>
      <c r="AH129" s="4"/>
      <c r="AI129" s="4" t="s">
        <v>62</v>
      </c>
      <c r="AJ129" s="4" t="s">
        <v>62</v>
      </c>
      <c r="AK129" s="4" t="s">
        <v>62</v>
      </c>
      <c r="AL129" s="4" t="s">
        <v>63</v>
      </c>
      <c r="AM129" s="4" t="s">
        <v>62</v>
      </c>
      <c r="AN129" s="4" t="s">
        <v>64</v>
      </c>
      <c r="AO129" s="4" t="s">
        <v>62</v>
      </c>
      <c r="AP129" s="4" t="s">
        <v>62</v>
      </c>
      <c r="AQ129" s="4" t="s">
        <v>62</v>
      </c>
      <c r="AR129" s="4" t="s">
        <v>62</v>
      </c>
      <c r="AS129" s="4" t="s">
        <v>185</v>
      </c>
      <c r="AT129" s="4" t="n">
        <v>2</v>
      </c>
      <c r="AU129" s="4" t="s">
        <v>66</v>
      </c>
      <c r="AV129" s="9" t="n">
        <v>45377</v>
      </c>
      <c r="AW129" s="4" t="s">
        <v>457</v>
      </c>
      <c r="AX129" s="4" t="s">
        <v>458</v>
      </c>
      <c r="AY129" s="4" t="n">
        <v>12</v>
      </c>
      <c r="AZ129" s="4" t="s">
        <v>62</v>
      </c>
      <c r="BA129" s="4" t="s">
        <v>439</v>
      </c>
      <c r="BB129" s="4" t="s">
        <v>59</v>
      </c>
      <c r="BC129" s="6" t="n">
        <v>1</v>
      </c>
      <c r="BD129" s="4" t="n">
        <v>78</v>
      </c>
    </row>
    <row r="130" customFormat="false" ht="143.25" hidden="false" customHeight="false" outlineLevel="0" collapsed="false">
      <c r="A130" s="4"/>
      <c r="B130" s="4" t="s">
        <v>56</v>
      </c>
      <c r="C130" s="4" t="s">
        <v>57</v>
      </c>
      <c r="D130" s="4" t="s">
        <v>58</v>
      </c>
      <c r="E130" s="4" t="s">
        <v>59</v>
      </c>
      <c r="F130" s="4" t="n">
        <v>4742</v>
      </c>
      <c r="G130" s="5" t="s">
        <v>455</v>
      </c>
      <c r="H130" s="5" t="s">
        <v>459</v>
      </c>
      <c r="I130" s="4"/>
      <c r="J130" s="4"/>
      <c r="K130" s="4"/>
      <c r="L130" s="4" t="n">
        <v>20</v>
      </c>
      <c r="M130" s="4" t="n">
        <v>20</v>
      </c>
      <c r="N130" s="4" t="n">
        <v>0</v>
      </c>
      <c r="O130" s="4" t="n">
        <v>5</v>
      </c>
      <c r="P130" s="4" t="n">
        <v>15</v>
      </c>
      <c r="Q130" s="4" t="n">
        <v>5</v>
      </c>
      <c r="R130" s="6" t="n">
        <f aca="false">IF(N(L130)=0,0,O130/L130)</f>
        <v>0.25</v>
      </c>
      <c r="S130" s="4" t="n">
        <f aca="false">IF(R130="","",IF(R130&gt;=0.8,50,IF(R130&gt;=0.5,30,IF(R130&gt;=0.01,10,0))))</f>
        <v>10</v>
      </c>
      <c r="T130" s="4" t="n">
        <f aca="false">IF(TRIM(AI130)="Yes",2.5,0)</f>
        <v>2.5</v>
      </c>
      <c r="U130" s="4" t="n">
        <f aca="false">IF(TRIM(AJ130)="Yes",10,0)</f>
        <v>10</v>
      </c>
      <c r="V130" s="4" t="n">
        <f aca="false">IF(TRIM(AK130)="Yes",5,0)</f>
        <v>5</v>
      </c>
      <c r="W130" s="4" t="n">
        <f aca="false">IF(TRIM(AM130)="Yes",5,0)</f>
        <v>5</v>
      </c>
      <c r="X130" s="4" t="n">
        <f aca="false">IF(OR(TRIM(AN130)="Fully Available",TRIM(AN130)="Not Applicable"),5,IF(TRIM(AN130)="Partially Available",2.5,0))</f>
        <v>5</v>
      </c>
      <c r="Y130" s="4" t="n">
        <f aca="false">IF(TRIM(AO130)="Yes",5,0)</f>
        <v>5</v>
      </c>
      <c r="Z130" s="4" t="n">
        <f aca="false">IF(TRIM(AP130)="Yes",2.5,0)</f>
        <v>2.5</v>
      </c>
      <c r="AA130" s="4" t="n">
        <f aca="false">IF(TRIM(AQ130)="Yes",5,0)</f>
        <v>5</v>
      </c>
      <c r="AB130" s="4" t="n">
        <f aca="false">IF(OR(TRIM(AR130)="Yes",TRIM(AR130)="Not Applicable"),5,0)</f>
        <v>5</v>
      </c>
      <c r="AC130" s="4" t="n">
        <f aca="false">IF(TRIM(AS130)="Excellent",5,IF(TRIM(AS130)="Very Good",4,IF(TRIM(AS130)="Good",3,IF(TRIM(AS130)="Average",2,0))))</f>
        <v>3</v>
      </c>
      <c r="AD130" s="7" t="n">
        <f aca="false">IF(COUNT(S130:AC130)=0,"",SUM(S130:AC130))</f>
        <v>58</v>
      </c>
      <c r="AE130" s="7"/>
      <c r="AF130" s="8"/>
      <c r="AG130" s="5"/>
      <c r="AH130" s="4"/>
      <c r="AI130" s="4" t="s">
        <v>62</v>
      </c>
      <c r="AJ130" s="4" t="s">
        <v>62</v>
      </c>
      <c r="AK130" s="4" t="s">
        <v>62</v>
      </c>
      <c r="AL130" s="4" t="s">
        <v>63</v>
      </c>
      <c r="AM130" s="4" t="s">
        <v>62</v>
      </c>
      <c r="AN130" s="4" t="s">
        <v>64</v>
      </c>
      <c r="AO130" s="4" t="s">
        <v>62</v>
      </c>
      <c r="AP130" s="4" t="s">
        <v>62</v>
      </c>
      <c r="AQ130" s="4" t="s">
        <v>62</v>
      </c>
      <c r="AR130" s="4" t="s">
        <v>62</v>
      </c>
      <c r="AS130" s="4" t="s">
        <v>185</v>
      </c>
      <c r="AT130" s="4" t="n">
        <v>5</v>
      </c>
      <c r="AU130" s="4" t="s">
        <v>66</v>
      </c>
      <c r="AV130" s="9" t="n">
        <v>45377</v>
      </c>
      <c r="AW130" s="4" t="s">
        <v>460</v>
      </c>
      <c r="AX130" s="4" t="s">
        <v>461</v>
      </c>
      <c r="AY130" s="4" t="n">
        <v>23</v>
      </c>
      <c r="AZ130" s="4" t="s">
        <v>62</v>
      </c>
      <c r="BA130" s="4" t="s">
        <v>439</v>
      </c>
      <c r="BB130" s="4" t="s">
        <v>59</v>
      </c>
      <c r="BC130" s="6" t="n">
        <v>1</v>
      </c>
      <c r="BD130" s="4" t="n">
        <v>78</v>
      </c>
    </row>
    <row r="131" customFormat="false" ht="143.25" hidden="false" customHeight="false" outlineLevel="0" collapsed="false">
      <c r="A131" s="4"/>
      <c r="B131" s="4" t="s">
        <v>56</v>
      </c>
      <c r="C131" s="4" t="s">
        <v>57</v>
      </c>
      <c r="D131" s="4" t="s">
        <v>58</v>
      </c>
      <c r="E131" s="4" t="s">
        <v>59</v>
      </c>
      <c r="F131" s="4" t="n">
        <v>4742</v>
      </c>
      <c r="G131" s="5" t="s">
        <v>455</v>
      </c>
      <c r="H131" s="5" t="s">
        <v>462</v>
      </c>
      <c r="I131" s="4"/>
      <c r="J131" s="4"/>
      <c r="K131" s="4"/>
      <c r="L131" s="4" t="n">
        <v>20</v>
      </c>
      <c r="M131" s="4" t="n">
        <v>20</v>
      </c>
      <c r="N131" s="4" t="n">
        <v>0</v>
      </c>
      <c r="O131" s="4" t="n">
        <v>7</v>
      </c>
      <c r="P131" s="4" t="n">
        <v>13</v>
      </c>
      <c r="Q131" s="4" t="n">
        <v>5</v>
      </c>
      <c r="R131" s="6" t="n">
        <f aca="false">IF(N(L131)=0,0,O131/L131)</f>
        <v>0.35</v>
      </c>
      <c r="S131" s="4" t="n">
        <f aca="false">IF(R131="","",IF(R131&gt;=0.8,50,IF(R131&gt;=0.5,30,IF(R131&gt;=0.01,10,0))))</f>
        <v>10</v>
      </c>
      <c r="T131" s="4" t="n">
        <f aca="false">IF(TRIM(AI131)="Yes",2.5,0)</f>
        <v>2.5</v>
      </c>
      <c r="U131" s="4" t="n">
        <f aca="false">IF(TRIM(AJ131)="Yes",10,0)</f>
        <v>10</v>
      </c>
      <c r="V131" s="4" t="n">
        <f aca="false">IF(TRIM(AK131)="Yes",5,0)</f>
        <v>5</v>
      </c>
      <c r="W131" s="4" t="n">
        <f aca="false">IF(TRIM(AM131)="Yes",5,0)</f>
        <v>5</v>
      </c>
      <c r="X131" s="4" t="n">
        <f aca="false">IF(OR(TRIM(AN131)="Fully Available",TRIM(AN131)="Not Applicable"),5,IF(TRIM(AN131)="Partially Available",2.5,0))</f>
        <v>5</v>
      </c>
      <c r="Y131" s="4" t="n">
        <f aca="false">IF(TRIM(AO131)="Yes",5,0)</f>
        <v>5</v>
      </c>
      <c r="Z131" s="4" t="n">
        <f aca="false">IF(TRIM(AP131)="Yes",2.5,0)</f>
        <v>2.5</v>
      </c>
      <c r="AA131" s="4" t="n">
        <f aca="false">IF(TRIM(AQ131)="Yes",5,0)</f>
        <v>5</v>
      </c>
      <c r="AB131" s="4" t="n">
        <f aca="false">IF(OR(TRIM(AR131)="Yes",TRIM(AR131)="Not Applicable"),5,0)</f>
        <v>5</v>
      </c>
      <c r="AC131" s="4" t="n">
        <f aca="false">IF(TRIM(AS131)="Excellent",5,IF(TRIM(AS131)="Very Good",4,IF(TRIM(AS131)="Good",3,IF(TRIM(AS131)="Average",2,0))))</f>
        <v>3</v>
      </c>
      <c r="AD131" s="7" t="n">
        <f aca="false">IF(COUNT(S131:AC131)=0,"",SUM(S131:AC131))</f>
        <v>58</v>
      </c>
      <c r="AE131" s="7"/>
      <c r="AF131" s="8"/>
      <c r="AG131" s="5"/>
      <c r="AH131" s="4"/>
      <c r="AI131" s="4" t="s">
        <v>62</v>
      </c>
      <c r="AJ131" s="4" t="s">
        <v>62</v>
      </c>
      <c r="AK131" s="4" t="s">
        <v>62</v>
      </c>
      <c r="AL131" s="4" t="s">
        <v>63</v>
      </c>
      <c r="AM131" s="4" t="s">
        <v>62</v>
      </c>
      <c r="AN131" s="4" t="s">
        <v>64</v>
      </c>
      <c r="AO131" s="4" t="s">
        <v>62</v>
      </c>
      <c r="AP131" s="4" t="s">
        <v>62</v>
      </c>
      <c r="AQ131" s="4" t="s">
        <v>62</v>
      </c>
      <c r="AR131" s="4" t="s">
        <v>62</v>
      </c>
      <c r="AS131" s="4" t="s">
        <v>185</v>
      </c>
      <c r="AT131" s="4" t="n">
        <v>6</v>
      </c>
      <c r="AU131" s="4" t="s">
        <v>453</v>
      </c>
      <c r="AV131" s="9" t="n">
        <v>45377</v>
      </c>
      <c r="AW131" s="4" t="s">
        <v>463</v>
      </c>
      <c r="AX131" s="4" t="s">
        <v>461</v>
      </c>
      <c r="AY131" s="4" t="n">
        <v>14</v>
      </c>
      <c r="AZ131" s="4" t="s">
        <v>62</v>
      </c>
      <c r="BA131" s="4" t="s">
        <v>439</v>
      </c>
      <c r="BB131" s="4" t="s">
        <v>59</v>
      </c>
      <c r="BC131" s="6" t="n">
        <v>0.7143</v>
      </c>
      <c r="BD131" s="4" t="n">
        <v>78</v>
      </c>
    </row>
    <row r="132" customFormat="false" ht="129.1" hidden="false" customHeight="false" outlineLevel="0" collapsed="false">
      <c r="A132" s="4" t="n">
        <v>46</v>
      </c>
      <c r="B132" s="4" t="s">
        <v>56</v>
      </c>
      <c r="C132" s="4" t="s">
        <v>57</v>
      </c>
      <c r="D132" s="4" t="s">
        <v>58</v>
      </c>
      <c r="E132" s="4" t="s">
        <v>59</v>
      </c>
      <c r="F132" s="4" t="n">
        <v>2100</v>
      </c>
      <c r="G132" s="5" t="s">
        <v>464</v>
      </c>
      <c r="H132" s="5" t="s">
        <v>169</v>
      </c>
      <c r="I132" s="4"/>
      <c r="J132" s="4"/>
      <c r="K132" s="4"/>
      <c r="L132" s="4" t="n">
        <v>40</v>
      </c>
      <c r="M132" s="4" t="n">
        <v>40</v>
      </c>
      <c r="N132" s="4" t="n">
        <v>0</v>
      </c>
      <c r="O132" s="4" t="n">
        <v>40</v>
      </c>
      <c r="P132" s="4" t="n">
        <v>0</v>
      </c>
      <c r="Q132" s="4" t="n">
        <v>18</v>
      </c>
      <c r="R132" s="6" t="n">
        <f aca="false">IF(N(L132)=0,0,O132/L132)</f>
        <v>1</v>
      </c>
      <c r="S132" s="4" t="n">
        <f aca="false">IF(R132="","",IF(R132&gt;=0.8,50,IF(R132&gt;=0.5,30,IF(R132&gt;=0.01,10,0))))</f>
        <v>50</v>
      </c>
      <c r="T132" s="4" t="n">
        <f aca="false">IF(TRIM(AI132)="Yes",2.5,0)</f>
        <v>2.5</v>
      </c>
      <c r="U132" s="4" t="n">
        <f aca="false">IF(TRIM(AJ132)="Yes",10,0)</f>
        <v>10</v>
      </c>
      <c r="V132" s="4" t="n">
        <f aca="false">IF(TRIM(AK132)="Yes",5,0)</f>
        <v>5</v>
      </c>
      <c r="W132" s="4" t="n">
        <f aca="false">IF(TRIM(AM132)="Yes",5,0)</f>
        <v>5</v>
      </c>
      <c r="X132" s="4" t="n">
        <f aca="false">IF(OR(TRIM(AN132)="Fully Available",TRIM(AN132)="Not Applicable"),5,IF(TRIM(AN132)="Partially Available",2.5,0))</f>
        <v>5</v>
      </c>
      <c r="Y132" s="4" t="n">
        <f aca="false">IF(TRIM(AO132)="Yes",5,0)</f>
        <v>5</v>
      </c>
      <c r="Z132" s="4" t="n">
        <f aca="false">IF(TRIM(AP132)="Yes",2.5,0)</f>
        <v>2.5</v>
      </c>
      <c r="AA132" s="4" t="n">
        <f aca="false">IF(TRIM(AQ132)="Yes",5,0)</f>
        <v>5</v>
      </c>
      <c r="AB132" s="4" t="n">
        <f aca="false">IF(OR(TRIM(AR132)="Yes",TRIM(AR132)="Not Applicable"),5,0)</f>
        <v>5</v>
      </c>
      <c r="AC132" s="4" t="n">
        <f aca="false">IF(TRIM(AS132)="Excellent",5,IF(TRIM(AS132)="Very Good",4,IF(TRIM(AS132)="Good",3,IF(TRIM(AS132)="Average",2,0))))</f>
        <v>3</v>
      </c>
      <c r="AD132" s="7" t="n">
        <f aca="false">IF(COUNT(S132:AC132)=0,"",SUM(S132:AC132))</f>
        <v>98</v>
      </c>
      <c r="AE132" s="7" t="n">
        <f aca="false">IF(COUNTIF($F$2:F132,F132)=1,IFERROR(AVERAGEIF($F:$F,F132,$AD:$AD),""),"")</f>
        <v>98</v>
      </c>
      <c r="AF132" s="8" t="str">
        <f aca="false">IF(AH132&lt;&gt;"",AH132,IF(AE132="","",IF(AE132&gt;=80,"Excellent",IF(AE132&gt;=70,"Very Good",IF(AE132&gt;=60,"Good",IF(AE132&gt;=50,"Average","Poor"))))))</f>
        <v>Excellent</v>
      </c>
      <c r="AG132" s="5"/>
      <c r="AH132" s="4"/>
      <c r="AI132" s="4" t="s">
        <v>62</v>
      </c>
      <c r="AJ132" s="4" t="s">
        <v>62</v>
      </c>
      <c r="AK132" s="4" t="s">
        <v>62</v>
      </c>
      <c r="AL132" s="4" t="s">
        <v>63</v>
      </c>
      <c r="AM132" s="4" t="s">
        <v>62</v>
      </c>
      <c r="AN132" s="4" t="s">
        <v>64</v>
      </c>
      <c r="AO132" s="4" t="s">
        <v>62</v>
      </c>
      <c r="AP132" s="4" t="s">
        <v>62</v>
      </c>
      <c r="AQ132" s="4" t="s">
        <v>62</v>
      </c>
      <c r="AR132" s="4" t="s">
        <v>62</v>
      </c>
      <c r="AS132" s="4" t="s">
        <v>185</v>
      </c>
      <c r="AT132" s="4" t="n">
        <v>4</v>
      </c>
      <c r="AU132" s="4" t="s">
        <v>66</v>
      </c>
      <c r="AV132" s="9" t="n">
        <v>45383</v>
      </c>
      <c r="AW132" s="4" t="s">
        <v>465</v>
      </c>
      <c r="AX132" s="4" t="s">
        <v>466</v>
      </c>
      <c r="AY132" s="4" t="n">
        <v>18</v>
      </c>
      <c r="AZ132" s="4" t="s">
        <v>62</v>
      </c>
      <c r="BA132" s="4" t="s">
        <v>467</v>
      </c>
      <c r="BB132" s="4" t="s">
        <v>59</v>
      </c>
      <c r="BC132" s="6" t="n">
        <v>0.45</v>
      </c>
      <c r="BD132" s="4" t="n">
        <v>99</v>
      </c>
    </row>
    <row r="133" customFormat="false" ht="129.1" hidden="false" customHeight="false" outlineLevel="0" collapsed="false">
      <c r="A133" s="4"/>
      <c r="B133" s="4" t="s">
        <v>56</v>
      </c>
      <c r="C133" s="4" t="s">
        <v>57</v>
      </c>
      <c r="D133" s="4" t="s">
        <v>58</v>
      </c>
      <c r="E133" s="4" t="s">
        <v>59</v>
      </c>
      <c r="F133" s="4" t="n">
        <v>2100</v>
      </c>
      <c r="G133" s="5" t="s">
        <v>464</v>
      </c>
      <c r="H133" s="5" t="s">
        <v>468</v>
      </c>
      <c r="I133" s="4"/>
      <c r="J133" s="4"/>
      <c r="K133" s="4"/>
      <c r="L133" s="4" t="n">
        <v>60</v>
      </c>
      <c r="M133" s="4" t="n">
        <v>60</v>
      </c>
      <c r="N133" s="4" t="n">
        <v>0</v>
      </c>
      <c r="O133" s="4" t="n">
        <v>60</v>
      </c>
      <c r="P133" s="4" t="n">
        <v>0</v>
      </c>
      <c r="Q133" s="4" t="n">
        <v>15</v>
      </c>
      <c r="R133" s="6" t="n">
        <f aca="false">IF(N(L133)=0,0,O133/L133)</f>
        <v>1</v>
      </c>
      <c r="S133" s="4" t="n">
        <f aca="false">IF(R133="","",IF(R133&gt;=0.8,50,IF(R133&gt;=0.5,30,IF(R133&gt;=0.01,10,0))))</f>
        <v>50</v>
      </c>
      <c r="T133" s="4" t="n">
        <f aca="false">IF(TRIM(AI133)="Yes",2.5,0)</f>
        <v>2.5</v>
      </c>
      <c r="U133" s="4" t="n">
        <f aca="false">IF(TRIM(AJ133)="Yes",10,0)</f>
        <v>10</v>
      </c>
      <c r="V133" s="4" t="n">
        <f aca="false">IF(TRIM(AK133)="Yes",5,0)</f>
        <v>5</v>
      </c>
      <c r="W133" s="4" t="n">
        <f aca="false">IF(TRIM(AM133)="Yes",5,0)</f>
        <v>5</v>
      </c>
      <c r="X133" s="4" t="n">
        <f aca="false">IF(OR(TRIM(AN133)="Fully Available",TRIM(AN133)="Not Applicable"),5,IF(TRIM(AN133)="Partially Available",2.5,0))</f>
        <v>5</v>
      </c>
      <c r="Y133" s="4" t="n">
        <f aca="false">IF(TRIM(AO133)="Yes",5,0)</f>
        <v>5</v>
      </c>
      <c r="Z133" s="4" t="n">
        <f aca="false">IF(TRIM(AP133)="Yes",2.5,0)</f>
        <v>2.5</v>
      </c>
      <c r="AA133" s="4" t="n">
        <f aca="false">IF(TRIM(AQ133)="Yes",5,0)</f>
        <v>5</v>
      </c>
      <c r="AB133" s="4" t="n">
        <f aca="false">IF(OR(TRIM(AR133)="Yes",TRIM(AR133)="Not Applicable"),5,0)</f>
        <v>5</v>
      </c>
      <c r="AC133" s="4" t="n">
        <f aca="false">IF(TRIM(AS133)="Excellent",5,IF(TRIM(AS133)="Very Good",4,IF(TRIM(AS133)="Good",3,IF(TRIM(AS133)="Average",2,0))))</f>
        <v>3</v>
      </c>
      <c r="AD133" s="7" t="n">
        <f aca="false">IF(COUNT(S133:AC133)=0,"",SUM(S133:AC133))</f>
        <v>98</v>
      </c>
      <c r="AE133" s="7"/>
      <c r="AF133" s="8"/>
      <c r="AG133" s="5"/>
      <c r="AH133" s="4"/>
      <c r="AI133" s="4" t="s">
        <v>62</v>
      </c>
      <c r="AJ133" s="4" t="s">
        <v>62</v>
      </c>
      <c r="AK133" s="4" t="s">
        <v>62</v>
      </c>
      <c r="AL133" s="4" t="s">
        <v>63</v>
      </c>
      <c r="AM133" s="4" t="s">
        <v>62</v>
      </c>
      <c r="AN133" s="4" t="s">
        <v>64</v>
      </c>
      <c r="AO133" s="4" t="s">
        <v>62</v>
      </c>
      <c r="AP133" s="4" t="s">
        <v>62</v>
      </c>
      <c r="AQ133" s="4" t="s">
        <v>62</v>
      </c>
      <c r="AR133" s="4" t="s">
        <v>62</v>
      </c>
      <c r="AS133" s="4" t="s">
        <v>185</v>
      </c>
      <c r="AT133" s="4" t="n">
        <v>6</v>
      </c>
      <c r="AU133" s="4" t="s">
        <v>66</v>
      </c>
      <c r="AV133" s="9" t="n">
        <v>45383</v>
      </c>
      <c r="AW133" s="4" t="s">
        <v>469</v>
      </c>
      <c r="AX133" s="4" t="s">
        <v>461</v>
      </c>
      <c r="AY133" s="4" t="n">
        <v>4</v>
      </c>
      <c r="AZ133" s="4" t="s">
        <v>62</v>
      </c>
      <c r="BA133" s="4" t="s">
        <v>467</v>
      </c>
      <c r="BB133" s="4" t="s">
        <v>59</v>
      </c>
      <c r="BC133" s="6" t="n">
        <v>0.25</v>
      </c>
      <c r="BD133" s="4" t="n">
        <v>99</v>
      </c>
    </row>
    <row r="134" customFormat="false" ht="129.1" hidden="false" customHeight="false" outlineLevel="0" collapsed="false">
      <c r="A134" s="4"/>
      <c r="B134" s="4" t="s">
        <v>56</v>
      </c>
      <c r="C134" s="4" t="s">
        <v>57</v>
      </c>
      <c r="D134" s="4" t="s">
        <v>58</v>
      </c>
      <c r="E134" s="4" t="s">
        <v>59</v>
      </c>
      <c r="F134" s="4" t="n">
        <v>2100</v>
      </c>
      <c r="G134" s="5" t="s">
        <v>464</v>
      </c>
      <c r="H134" s="5" t="s">
        <v>470</v>
      </c>
      <c r="I134" s="4"/>
      <c r="J134" s="4"/>
      <c r="K134" s="4"/>
      <c r="L134" s="4" t="n">
        <v>20</v>
      </c>
      <c r="M134" s="4" t="n">
        <v>20</v>
      </c>
      <c r="N134" s="4" t="n">
        <v>0</v>
      </c>
      <c r="O134" s="4" t="n">
        <v>19</v>
      </c>
      <c r="P134" s="4" t="n">
        <v>1</v>
      </c>
      <c r="Q134" s="4" t="n">
        <v>8</v>
      </c>
      <c r="R134" s="6" t="n">
        <f aca="false">IF(N(L134)=0,0,O134/L134)</f>
        <v>0.95</v>
      </c>
      <c r="S134" s="4" t="n">
        <f aca="false">IF(R134="","",IF(R134&gt;=0.8,50,IF(R134&gt;=0.5,30,IF(R134&gt;=0.01,10,0))))</f>
        <v>50</v>
      </c>
      <c r="T134" s="4" t="n">
        <f aca="false">IF(TRIM(AI134)="Yes",2.5,0)</f>
        <v>2.5</v>
      </c>
      <c r="U134" s="4" t="n">
        <f aca="false">IF(TRIM(AJ134)="Yes",10,0)</f>
        <v>10</v>
      </c>
      <c r="V134" s="4" t="n">
        <f aca="false">IF(TRIM(AK134)="Yes",5,0)</f>
        <v>5</v>
      </c>
      <c r="W134" s="4" t="n">
        <f aca="false">IF(TRIM(AM134)="Yes",5,0)</f>
        <v>5</v>
      </c>
      <c r="X134" s="4" t="n">
        <f aca="false">IF(OR(TRIM(AN134)="Fully Available",TRIM(AN134)="Not Applicable"),5,IF(TRIM(AN134)="Partially Available",2.5,0))</f>
        <v>5</v>
      </c>
      <c r="Y134" s="4" t="n">
        <f aca="false">IF(TRIM(AO134)="Yes",5,0)</f>
        <v>5</v>
      </c>
      <c r="Z134" s="4" t="n">
        <f aca="false">IF(TRIM(AP134)="Yes",2.5,0)</f>
        <v>2.5</v>
      </c>
      <c r="AA134" s="4" t="n">
        <f aca="false">IF(TRIM(AQ134)="Yes",5,0)</f>
        <v>5</v>
      </c>
      <c r="AB134" s="4" t="n">
        <f aca="false">IF(OR(TRIM(AR134)="Yes",TRIM(AR134)="Not Applicable"),5,0)</f>
        <v>5</v>
      </c>
      <c r="AC134" s="4" t="n">
        <f aca="false">IF(TRIM(AS134)="Excellent",5,IF(TRIM(AS134)="Very Good",4,IF(TRIM(AS134)="Good",3,IF(TRIM(AS134)="Average",2,0))))</f>
        <v>3</v>
      </c>
      <c r="AD134" s="7" t="n">
        <f aca="false">IF(COUNT(S134:AC134)=0,"",SUM(S134:AC134))</f>
        <v>98</v>
      </c>
      <c r="AE134" s="7"/>
      <c r="AF134" s="8"/>
      <c r="AG134" s="5"/>
      <c r="AH134" s="4"/>
      <c r="AI134" s="4" t="s">
        <v>62</v>
      </c>
      <c r="AJ134" s="4" t="s">
        <v>62</v>
      </c>
      <c r="AK134" s="4" t="s">
        <v>62</v>
      </c>
      <c r="AL134" s="4" t="s">
        <v>63</v>
      </c>
      <c r="AM134" s="4" t="s">
        <v>62</v>
      </c>
      <c r="AN134" s="4" t="s">
        <v>64</v>
      </c>
      <c r="AO134" s="4" t="s">
        <v>62</v>
      </c>
      <c r="AP134" s="4" t="s">
        <v>62</v>
      </c>
      <c r="AQ134" s="4" t="s">
        <v>62</v>
      </c>
      <c r="AR134" s="4" t="s">
        <v>62</v>
      </c>
      <c r="AS134" s="4" t="s">
        <v>185</v>
      </c>
      <c r="AT134" s="4" t="n">
        <v>8</v>
      </c>
      <c r="AU134" s="4" t="s">
        <v>66</v>
      </c>
      <c r="AV134" s="9" t="n">
        <v>45383</v>
      </c>
      <c r="AW134" s="4" t="s">
        <v>471</v>
      </c>
      <c r="AX134" s="4" t="s">
        <v>461</v>
      </c>
      <c r="AY134" s="4" t="n">
        <v>11</v>
      </c>
      <c r="AZ134" s="4" t="s">
        <v>62</v>
      </c>
      <c r="BA134" s="4" t="s">
        <v>467</v>
      </c>
      <c r="BB134" s="4" t="s">
        <v>59</v>
      </c>
      <c r="BC134" s="6" t="n">
        <v>0.4211</v>
      </c>
      <c r="BD134" s="4" t="n">
        <v>99</v>
      </c>
    </row>
    <row r="135" customFormat="false" ht="129.1" hidden="false" customHeight="false" outlineLevel="0" collapsed="false">
      <c r="A135" s="4"/>
      <c r="B135" s="4" t="s">
        <v>56</v>
      </c>
      <c r="C135" s="4" t="s">
        <v>57</v>
      </c>
      <c r="D135" s="4" t="s">
        <v>58</v>
      </c>
      <c r="E135" s="4" t="s">
        <v>59</v>
      </c>
      <c r="F135" s="4" t="n">
        <v>2100</v>
      </c>
      <c r="G135" s="5" t="s">
        <v>464</v>
      </c>
      <c r="H135" s="5" t="s">
        <v>472</v>
      </c>
      <c r="I135" s="4"/>
      <c r="J135" s="4"/>
      <c r="K135" s="4"/>
      <c r="L135" s="4" t="n">
        <v>40</v>
      </c>
      <c r="M135" s="4" t="n">
        <v>40</v>
      </c>
      <c r="N135" s="4" t="n">
        <v>0</v>
      </c>
      <c r="O135" s="4" t="n">
        <v>37</v>
      </c>
      <c r="P135" s="4" t="n">
        <v>3</v>
      </c>
      <c r="Q135" s="4" t="n">
        <v>10</v>
      </c>
      <c r="R135" s="6" t="n">
        <f aca="false">IF(N(L135)=0,0,O135/L135)</f>
        <v>0.925</v>
      </c>
      <c r="S135" s="4" t="n">
        <f aca="false">IF(R135="","",IF(R135&gt;=0.8,50,IF(R135&gt;=0.5,30,IF(R135&gt;=0.01,10,0))))</f>
        <v>50</v>
      </c>
      <c r="T135" s="4" t="n">
        <f aca="false">IF(TRIM(AI135)="Yes",2.5,0)</f>
        <v>2.5</v>
      </c>
      <c r="U135" s="4" t="n">
        <f aca="false">IF(TRIM(AJ135)="Yes",10,0)</f>
        <v>10</v>
      </c>
      <c r="V135" s="4" t="n">
        <f aca="false">IF(TRIM(AK135)="Yes",5,0)</f>
        <v>5</v>
      </c>
      <c r="W135" s="4" t="n">
        <f aca="false">IF(TRIM(AM135)="Yes",5,0)</f>
        <v>5</v>
      </c>
      <c r="X135" s="4" t="n">
        <f aca="false">IF(OR(TRIM(AN135)="Fully Available",TRIM(AN135)="Not Applicable"),5,IF(TRIM(AN135)="Partially Available",2.5,0))</f>
        <v>5</v>
      </c>
      <c r="Y135" s="4" t="n">
        <f aca="false">IF(TRIM(AO135)="Yes",5,0)</f>
        <v>5</v>
      </c>
      <c r="Z135" s="4" t="n">
        <f aca="false">IF(TRIM(AP135)="Yes",2.5,0)</f>
        <v>2.5</v>
      </c>
      <c r="AA135" s="4" t="n">
        <f aca="false">IF(TRIM(AQ135)="Yes",5,0)</f>
        <v>5</v>
      </c>
      <c r="AB135" s="4" t="n">
        <f aca="false">IF(OR(TRIM(AR135)="Yes",TRIM(AR135)="Not Applicable"),5,0)</f>
        <v>5</v>
      </c>
      <c r="AC135" s="4" t="n">
        <f aca="false">IF(TRIM(AS135)="Excellent",5,IF(TRIM(AS135)="Very Good",4,IF(TRIM(AS135)="Good",3,IF(TRIM(AS135)="Average",2,0))))</f>
        <v>3</v>
      </c>
      <c r="AD135" s="7" t="n">
        <f aca="false">IF(COUNT(S135:AC135)=0,"",SUM(S135:AC135))</f>
        <v>98</v>
      </c>
      <c r="AE135" s="7"/>
      <c r="AF135" s="8"/>
      <c r="AG135" s="5"/>
      <c r="AH135" s="4"/>
      <c r="AI135" s="4" t="s">
        <v>62</v>
      </c>
      <c r="AJ135" s="4" t="s">
        <v>62</v>
      </c>
      <c r="AK135" s="4" t="s">
        <v>62</v>
      </c>
      <c r="AL135" s="4" t="s">
        <v>63</v>
      </c>
      <c r="AM135" s="4" t="s">
        <v>62</v>
      </c>
      <c r="AN135" s="4" t="s">
        <v>64</v>
      </c>
      <c r="AO135" s="4" t="s">
        <v>62</v>
      </c>
      <c r="AP135" s="4" t="s">
        <v>62</v>
      </c>
      <c r="AQ135" s="4" t="s">
        <v>62</v>
      </c>
      <c r="AR135" s="4" t="s">
        <v>62</v>
      </c>
      <c r="AS135" s="4" t="s">
        <v>185</v>
      </c>
      <c r="AT135" s="4" t="n">
        <v>12</v>
      </c>
      <c r="AU135" s="4" t="s">
        <v>66</v>
      </c>
      <c r="AV135" s="9" t="n">
        <v>45383</v>
      </c>
      <c r="AW135" s="4" t="s">
        <v>473</v>
      </c>
      <c r="AX135" s="4" t="s">
        <v>474</v>
      </c>
      <c r="AY135" s="4" t="n">
        <v>3</v>
      </c>
      <c r="AZ135" s="4" t="s">
        <v>62</v>
      </c>
      <c r="BA135" s="4" t="s">
        <v>467</v>
      </c>
      <c r="BB135" s="4" t="s">
        <v>59</v>
      </c>
      <c r="BC135" s="6" t="n">
        <v>0.2703</v>
      </c>
      <c r="BD135" s="4" t="n">
        <v>99</v>
      </c>
    </row>
    <row r="136" customFormat="false" ht="129.1" hidden="false" customHeight="false" outlineLevel="0" collapsed="false">
      <c r="A136" s="4"/>
      <c r="B136" s="4" t="s">
        <v>56</v>
      </c>
      <c r="C136" s="4" t="s">
        <v>57</v>
      </c>
      <c r="D136" s="4" t="s">
        <v>58</v>
      </c>
      <c r="E136" s="4" t="s">
        <v>59</v>
      </c>
      <c r="F136" s="4" t="n">
        <v>2100</v>
      </c>
      <c r="G136" s="5" t="s">
        <v>464</v>
      </c>
      <c r="H136" s="5" t="s">
        <v>452</v>
      </c>
      <c r="I136" s="4"/>
      <c r="J136" s="4"/>
      <c r="K136" s="4"/>
      <c r="L136" s="4" t="n">
        <v>20</v>
      </c>
      <c r="M136" s="4" t="n">
        <v>20</v>
      </c>
      <c r="N136" s="4" t="n">
        <v>0</v>
      </c>
      <c r="O136" s="4" t="n">
        <v>18</v>
      </c>
      <c r="P136" s="4" t="n">
        <v>2</v>
      </c>
      <c r="Q136" s="4" t="n">
        <v>8</v>
      </c>
      <c r="R136" s="6" t="n">
        <f aca="false">IF(N(L136)=0,0,O136/L136)</f>
        <v>0.9</v>
      </c>
      <c r="S136" s="4" t="n">
        <f aca="false">IF(R136="","",IF(R136&gt;=0.8,50,IF(R136&gt;=0.5,30,IF(R136&gt;=0.01,10,0))))</f>
        <v>50</v>
      </c>
      <c r="T136" s="4" t="n">
        <f aca="false">IF(TRIM(AI136)="Yes",2.5,0)</f>
        <v>2.5</v>
      </c>
      <c r="U136" s="4" t="n">
        <f aca="false">IF(TRIM(AJ136)="Yes",10,0)</f>
        <v>10</v>
      </c>
      <c r="V136" s="4" t="n">
        <f aca="false">IF(TRIM(AK136)="Yes",5,0)</f>
        <v>5</v>
      </c>
      <c r="W136" s="4" t="n">
        <f aca="false">IF(TRIM(AM136)="Yes",5,0)</f>
        <v>5</v>
      </c>
      <c r="X136" s="4" t="n">
        <f aca="false">IF(OR(TRIM(AN136)="Fully Available",TRIM(AN136)="Not Applicable"),5,IF(TRIM(AN136)="Partially Available",2.5,0))</f>
        <v>5</v>
      </c>
      <c r="Y136" s="4" t="n">
        <f aca="false">IF(TRIM(AO136)="Yes",5,0)</f>
        <v>5</v>
      </c>
      <c r="Z136" s="4" t="n">
        <f aca="false">IF(TRIM(AP136)="Yes",2.5,0)</f>
        <v>2.5</v>
      </c>
      <c r="AA136" s="4" t="n">
        <f aca="false">IF(TRIM(AQ136)="Yes",5,0)</f>
        <v>5</v>
      </c>
      <c r="AB136" s="4" t="n">
        <f aca="false">IF(OR(TRIM(AR136)="Yes",TRIM(AR136)="Not Applicable"),5,0)</f>
        <v>5</v>
      </c>
      <c r="AC136" s="4" t="n">
        <f aca="false">IF(TRIM(AS136)="Excellent",5,IF(TRIM(AS136)="Very Good",4,IF(TRIM(AS136)="Good",3,IF(TRIM(AS136)="Average",2,0))))</f>
        <v>3</v>
      </c>
      <c r="AD136" s="7" t="n">
        <f aca="false">IF(COUNT(S136:AC136)=0,"",SUM(S136:AC136))</f>
        <v>98</v>
      </c>
      <c r="AE136" s="7"/>
      <c r="AF136" s="8"/>
      <c r="AG136" s="5"/>
      <c r="AH136" s="4"/>
      <c r="AI136" s="4" t="s">
        <v>62</v>
      </c>
      <c r="AJ136" s="4" t="s">
        <v>62</v>
      </c>
      <c r="AK136" s="4" t="s">
        <v>62</v>
      </c>
      <c r="AL136" s="4" t="s">
        <v>63</v>
      </c>
      <c r="AM136" s="4" t="s">
        <v>62</v>
      </c>
      <c r="AN136" s="4" t="s">
        <v>64</v>
      </c>
      <c r="AO136" s="4" t="s">
        <v>62</v>
      </c>
      <c r="AP136" s="4" t="s">
        <v>62</v>
      </c>
      <c r="AQ136" s="4" t="s">
        <v>62</v>
      </c>
      <c r="AR136" s="4" t="s">
        <v>62</v>
      </c>
      <c r="AS136" s="4" t="s">
        <v>185</v>
      </c>
      <c r="AT136" s="4" t="n">
        <v>2</v>
      </c>
      <c r="AU136" s="4" t="s">
        <v>453</v>
      </c>
      <c r="AV136" s="9" t="n">
        <v>45383</v>
      </c>
      <c r="AW136" s="4" t="s">
        <v>475</v>
      </c>
      <c r="AX136" s="4" t="s">
        <v>476</v>
      </c>
      <c r="AY136" s="4" t="n">
        <v>23</v>
      </c>
      <c r="AZ136" s="4" t="s">
        <v>62</v>
      </c>
      <c r="BA136" s="4" t="s">
        <v>467</v>
      </c>
      <c r="BB136" s="4" t="s">
        <v>59</v>
      </c>
      <c r="BC136" s="6" t="n">
        <v>0.4444</v>
      </c>
      <c r="BD136" s="4" t="n">
        <v>99</v>
      </c>
    </row>
    <row r="137" customFormat="false" ht="214.15" hidden="false" customHeight="false" outlineLevel="0" collapsed="false">
      <c r="A137" s="4" t="n">
        <v>47</v>
      </c>
      <c r="B137" s="4" t="s">
        <v>56</v>
      </c>
      <c r="C137" s="4" t="s">
        <v>57</v>
      </c>
      <c r="D137" s="4" t="s">
        <v>58</v>
      </c>
      <c r="E137" s="4" t="s">
        <v>59</v>
      </c>
      <c r="F137" s="4" t="n">
        <v>4018</v>
      </c>
      <c r="G137" s="5" t="s">
        <v>477</v>
      </c>
      <c r="H137" s="5" t="s">
        <v>478</v>
      </c>
      <c r="I137" s="4"/>
      <c r="J137" s="4"/>
      <c r="K137" s="4"/>
      <c r="L137" s="4" t="n">
        <v>60</v>
      </c>
      <c r="M137" s="4" t="n">
        <v>60</v>
      </c>
      <c r="N137" s="4" t="n">
        <v>0</v>
      </c>
      <c r="O137" s="4" t="n">
        <v>52</v>
      </c>
      <c r="P137" s="4" t="n">
        <v>8</v>
      </c>
      <c r="Q137" s="4" t="n">
        <v>15</v>
      </c>
      <c r="R137" s="6" t="n">
        <f aca="false">IF(N(L137)=0,0,O137/L137)</f>
        <v>0.866666666666667</v>
      </c>
      <c r="S137" s="4" t="n">
        <f aca="false">IF(R137="","",IF(R137&gt;=0.8,50,IF(R137&gt;=0.5,30,IF(R137&gt;=0.01,10,0))))</f>
        <v>50</v>
      </c>
      <c r="T137" s="4" t="n">
        <f aca="false">IF(TRIM(AI137)="Yes",2.5,0)</f>
        <v>0</v>
      </c>
      <c r="U137" s="4" t="n">
        <f aca="false">IF(TRIM(AJ137)="Yes",10,0)</f>
        <v>10</v>
      </c>
      <c r="V137" s="4" t="n">
        <f aca="false">IF(TRIM(AK137)="Yes",5,0)</f>
        <v>5</v>
      </c>
      <c r="W137" s="4" t="n">
        <f aca="false">IF(TRIM(AM137)="Yes",5,0)</f>
        <v>5</v>
      </c>
      <c r="X137" s="4" t="n">
        <f aca="false">IF(OR(TRIM(AN137)="Fully Available",TRIM(AN137)="Not Applicable"),5,IF(TRIM(AN137)="Partially Available",2.5,0))</f>
        <v>5</v>
      </c>
      <c r="Y137" s="4" t="n">
        <f aca="false">IF(TRIM(AO137)="Yes",5,0)</f>
        <v>5</v>
      </c>
      <c r="Z137" s="4" t="n">
        <f aca="false">IF(TRIM(AP137)="Yes",2.5,0)</f>
        <v>2.5</v>
      </c>
      <c r="AA137" s="4" t="n">
        <f aca="false">IF(TRIM(AQ137)="Yes",5,0)</f>
        <v>5</v>
      </c>
      <c r="AB137" s="4" t="n">
        <f aca="false">IF(OR(TRIM(AR137)="Yes",TRIM(AR137)="Not Applicable"),5,0)</f>
        <v>5</v>
      </c>
      <c r="AC137" s="4" t="n">
        <f aca="false">IF(TRIM(AS137)="Excellent",5,IF(TRIM(AS137)="Very Good",4,IF(TRIM(AS137)="Good",3,IF(TRIM(AS137)="Average",2,0))))</f>
        <v>3</v>
      </c>
      <c r="AD137" s="7" t="n">
        <f aca="false">IF(COUNT(S137:AC137)=0,"",SUM(S137:AC137))</f>
        <v>95.5</v>
      </c>
      <c r="AE137" s="7" t="n">
        <f aca="false">IF(COUNTIF($F$2:F137,F137)=1,IFERROR(AVERAGEIF($F:$F,F137,$AD:$AD),""),"")</f>
        <v>95.5</v>
      </c>
      <c r="AF137" s="8" t="str">
        <f aca="false">IF(AH137&lt;&gt;"",AH137,IF(AE137="","",IF(AE137&gt;=80,"Excellent",IF(AE137&gt;=70,"Very Good",IF(AE137&gt;=60,"Good",IF(AE137&gt;=50,"Average","Poor"))))))</f>
        <v>Excellent</v>
      </c>
      <c r="AG137" s="5"/>
      <c r="AH137" s="4"/>
      <c r="AI137" s="4" t="s">
        <v>82</v>
      </c>
      <c r="AJ137" s="4" t="s">
        <v>62</v>
      </c>
      <c r="AK137" s="4" t="s">
        <v>62</v>
      </c>
      <c r="AL137" s="4" t="s">
        <v>63</v>
      </c>
      <c r="AM137" s="4" t="s">
        <v>62</v>
      </c>
      <c r="AN137" s="4" t="s">
        <v>64</v>
      </c>
      <c r="AO137" s="4" t="s">
        <v>62</v>
      </c>
      <c r="AP137" s="4" t="s">
        <v>62</v>
      </c>
      <c r="AQ137" s="4" t="s">
        <v>62</v>
      </c>
      <c r="AR137" s="4" t="s">
        <v>62</v>
      </c>
      <c r="AS137" s="4" t="s">
        <v>185</v>
      </c>
      <c r="AT137" s="4" t="n">
        <v>3</v>
      </c>
      <c r="AU137" s="4" t="s">
        <v>453</v>
      </c>
      <c r="AV137" s="9" t="n">
        <v>45384</v>
      </c>
      <c r="AW137" s="4" t="s">
        <v>479</v>
      </c>
      <c r="AX137" s="4" t="s">
        <v>480</v>
      </c>
      <c r="AY137" s="4" t="n">
        <v>17</v>
      </c>
      <c r="AZ137" s="4" t="s">
        <v>62</v>
      </c>
      <c r="BA137" s="4" t="s">
        <v>481</v>
      </c>
      <c r="BB137" s="4" t="s">
        <v>59</v>
      </c>
      <c r="BC137" s="6" t="n">
        <v>0.2885</v>
      </c>
      <c r="BD137" s="4" t="n">
        <v>96</v>
      </c>
    </row>
    <row r="138" customFormat="false" ht="214.15" hidden="false" customHeight="false" outlineLevel="0" collapsed="false">
      <c r="A138" s="4"/>
      <c r="B138" s="4" t="s">
        <v>56</v>
      </c>
      <c r="C138" s="4" t="s">
        <v>57</v>
      </c>
      <c r="D138" s="4" t="s">
        <v>58</v>
      </c>
      <c r="E138" s="4" t="s">
        <v>59</v>
      </c>
      <c r="F138" s="4" t="n">
        <v>4018</v>
      </c>
      <c r="G138" s="5" t="s">
        <v>477</v>
      </c>
      <c r="H138" s="5" t="s">
        <v>482</v>
      </c>
      <c r="I138" s="4"/>
      <c r="J138" s="4"/>
      <c r="K138" s="4"/>
      <c r="L138" s="4" t="n">
        <v>40</v>
      </c>
      <c r="M138" s="4" t="n">
        <v>40</v>
      </c>
      <c r="N138" s="4" t="n">
        <v>0</v>
      </c>
      <c r="O138" s="4" t="n">
        <v>33</v>
      </c>
      <c r="P138" s="4" t="n">
        <v>7</v>
      </c>
      <c r="Q138" s="4" t="n">
        <v>10</v>
      </c>
      <c r="R138" s="6" t="n">
        <f aca="false">IF(N(L138)=0,0,O138/L138)</f>
        <v>0.825</v>
      </c>
      <c r="S138" s="4" t="n">
        <f aca="false">IF(R138="","",IF(R138&gt;=0.8,50,IF(R138&gt;=0.5,30,IF(R138&gt;=0.01,10,0))))</f>
        <v>50</v>
      </c>
      <c r="T138" s="4" t="n">
        <f aca="false">IF(TRIM(AI138)="Yes",2.5,0)</f>
        <v>0</v>
      </c>
      <c r="U138" s="4" t="n">
        <f aca="false">IF(TRIM(AJ138)="Yes",10,0)</f>
        <v>10</v>
      </c>
      <c r="V138" s="4" t="n">
        <f aca="false">IF(TRIM(AK138)="Yes",5,0)</f>
        <v>5</v>
      </c>
      <c r="W138" s="4" t="n">
        <f aca="false">IF(TRIM(AM138)="Yes",5,0)</f>
        <v>5</v>
      </c>
      <c r="X138" s="4" t="n">
        <f aca="false">IF(OR(TRIM(AN138)="Fully Available",TRIM(AN138)="Not Applicable"),5,IF(TRIM(AN138)="Partially Available",2.5,0))</f>
        <v>5</v>
      </c>
      <c r="Y138" s="4" t="n">
        <f aca="false">IF(TRIM(AO138)="Yes",5,0)</f>
        <v>5</v>
      </c>
      <c r="Z138" s="4" t="n">
        <f aca="false">IF(TRIM(AP138)="Yes",2.5,0)</f>
        <v>2.5</v>
      </c>
      <c r="AA138" s="4" t="n">
        <f aca="false">IF(TRIM(AQ138)="Yes",5,0)</f>
        <v>5</v>
      </c>
      <c r="AB138" s="4" t="n">
        <f aca="false">IF(OR(TRIM(AR138)="Yes",TRIM(AR138)="Not Applicable"),5,0)</f>
        <v>5</v>
      </c>
      <c r="AC138" s="4" t="n">
        <f aca="false">IF(TRIM(AS138)="Excellent",5,IF(TRIM(AS138)="Very Good",4,IF(TRIM(AS138)="Good",3,IF(TRIM(AS138)="Average",2,0))))</f>
        <v>3</v>
      </c>
      <c r="AD138" s="7" t="n">
        <f aca="false">IF(COUNT(S138:AC138)=0,"",SUM(S138:AC138))</f>
        <v>95.5</v>
      </c>
      <c r="AE138" s="7"/>
      <c r="AF138" s="8"/>
      <c r="AG138" s="5"/>
      <c r="AH138" s="4"/>
      <c r="AI138" s="4" t="s">
        <v>82</v>
      </c>
      <c r="AJ138" s="4" t="s">
        <v>62</v>
      </c>
      <c r="AK138" s="4" t="s">
        <v>62</v>
      </c>
      <c r="AL138" s="4" t="s">
        <v>63</v>
      </c>
      <c r="AM138" s="4" t="s">
        <v>62</v>
      </c>
      <c r="AN138" s="4" t="s">
        <v>64</v>
      </c>
      <c r="AO138" s="4" t="s">
        <v>62</v>
      </c>
      <c r="AP138" s="4" t="s">
        <v>62</v>
      </c>
      <c r="AQ138" s="4" t="s">
        <v>62</v>
      </c>
      <c r="AR138" s="4" t="s">
        <v>62</v>
      </c>
      <c r="AS138" s="4" t="s">
        <v>185</v>
      </c>
      <c r="AT138" s="4" t="n">
        <v>8</v>
      </c>
      <c r="AU138" s="4" t="s">
        <v>66</v>
      </c>
      <c r="AV138" s="9" t="n">
        <v>45384</v>
      </c>
      <c r="AW138" s="4" t="s">
        <v>483</v>
      </c>
      <c r="AX138" s="4" t="s">
        <v>461</v>
      </c>
      <c r="AY138" s="4" t="n">
        <v>4</v>
      </c>
      <c r="AZ138" s="4" t="s">
        <v>62</v>
      </c>
      <c r="BA138" s="4" t="s">
        <v>481</v>
      </c>
      <c r="BB138" s="4" t="s">
        <v>59</v>
      </c>
      <c r="BC138" s="6" t="n">
        <v>0.303</v>
      </c>
      <c r="BD138" s="4" t="n">
        <v>96</v>
      </c>
    </row>
    <row r="139" customFormat="false" ht="100.7" hidden="false" customHeight="false" outlineLevel="0" collapsed="false">
      <c r="A139" s="4" t="n">
        <v>48</v>
      </c>
      <c r="B139" s="4" t="s">
        <v>56</v>
      </c>
      <c r="C139" s="4" t="s">
        <v>57</v>
      </c>
      <c r="D139" s="4" t="s">
        <v>58</v>
      </c>
      <c r="E139" s="4" t="s">
        <v>59</v>
      </c>
      <c r="F139" s="4" t="n">
        <v>3569</v>
      </c>
      <c r="G139" s="5" t="s">
        <v>484</v>
      </c>
      <c r="H139" s="5" t="s">
        <v>485</v>
      </c>
      <c r="I139" s="4"/>
      <c r="J139" s="4"/>
      <c r="K139" s="4"/>
      <c r="L139" s="4" t="n">
        <v>20</v>
      </c>
      <c r="M139" s="4" t="n">
        <v>20</v>
      </c>
      <c r="N139" s="4" t="n">
        <v>0</v>
      </c>
      <c r="O139" s="4" t="n">
        <v>0</v>
      </c>
      <c r="P139" s="4" t="n">
        <v>0</v>
      </c>
      <c r="Q139" s="4" t="n">
        <v>0</v>
      </c>
      <c r="R139" s="6" t="n">
        <f aca="false">IF(N(L139)=0,0,O139/L139)</f>
        <v>0</v>
      </c>
      <c r="S139" s="4" t="n">
        <f aca="false">IF(R139="","",IF(R139&gt;=0.8,50,IF(R139&gt;=0.5,30,IF(R139&gt;=0.01,10,0))))</f>
        <v>0</v>
      </c>
      <c r="T139" s="4" t="n">
        <f aca="false">IF(TRIM(AI139)="Yes",2.5,0)</f>
        <v>0</v>
      </c>
      <c r="U139" s="4" t="n">
        <f aca="false">IF(TRIM(AJ139)="Yes",10,0)</f>
        <v>0</v>
      </c>
      <c r="V139" s="4" t="n">
        <f aca="false">IF(TRIM(AK139)="Yes",5,0)</f>
        <v>0</v>
      </c>
      <c r="W139" s="4" t="n">
        <f aca="false">IF(TRIM(AM139)="Yes",5,0)</f>
        <v>0</v>
      </c>
      <c r="X139" s="4" t="n">
        <f aca="false">IF(OR(TRIM(AN139)="Fully Available",TRIM(AN139)="Not Applicable"),5,IF(TRIM(AN139)="Partially Available",2.5,0))</f>
        <v>0</v>
      </c>
      <c r="Y139" s="4" t="n">
        <f aca="false">IF(TRIM(AO139)="Yes",5,0)</f>
        <v>0</v>
      </c>
      <c r="Z139" s="4" t="n">
        <f aca="false">IF(TRIM(AP139)="Yes",2.5,0)</f>
        <v>0</v>
      </c>
      <c r="AA139" s="4" t="n">
        <f aca="false">IF(TRIM(AQ139)="Yes",5,0)</f>
        <v>0</v>
      </c>
      <c r="AB139" s="4" t="n">
        <f aca="false">IF(OR(TRIM(AR139)="Yes",TRIM(AR139)="Not Applicable"),5,0)</f>
        <v>0</v>
      </c>
      <c r="AC139" s="4" t="n">
        <f aca="false">IF(TRIM(AS139)="Excellent",5,IF(TRIM(AS139)="Very Good",4,IF(TRIM(AS139)="Good",3,IF(TRIM(AS139)="Average",2,0))))</f>
        <v>0</v>
      </c>
      <c r="AD139" s="7" t="n">
        <f aca="false">IF(COUNT(S139:AC139)=0,"",SUM(S139:AC139))</f>
        <v>0</v>
      </c>
      <c r="AE139" s="7" t="n">
        <f aca="false">IF(COUNTIF($F$2:F139,F139)=1,IFERROR(AVERAGEIF($F:$F,F139,$AD:$AD),""),"")</f>
        <v>0</v>
      </c>
      <c r="AF139" s="8" t="str">
        <f aca="false">IF(AH139&lt;&gt;"",AH139,IF(AE139="","",IF(AE139&gt;=80,"Excellent",IF(AE139&gt;=70,"Very Good",IF(AE139&gt;=60,"Good",IF(AE139&gt;=50,"Average","Poor"))))))</f>
        <v>Poor</v>
      </c>
      <c r="AG139" s="5" t="s">
        <v>486</v>
      </c>
      <c r="AH139" s="4" t="s">
        <v>203</v>
      </c>
      <c r="AI139" s="4"/>
      <c r="AJ139" s="4"/>
      <c r="AK139" s="4"/>
      <c r="AL139" s="4"/>
      <c r="AM139" s="4"/>
      <c r="AN139" s="4"/>
      <c r="AO139" s="4"/>
      <c r="AP139" s="4"/>
      <c r="AQ139" s="4"/>
      <c r="AR139" s="4"/>
      <c r="AS139" s="4" t="s">
        <v>203</v>
      </c>
      <c r="AT139" s="4"/>
      <c r="AU139" s="4" t="s">
        <v>453</v>
      </c>
      <c r="AV139" s="9" t="n">
        <v>45384</v>
      </c>
      <c r="AW139" s="4"/>
      <c r="AX139" s="4"/>
      <c r="AY139" s="4"/>
      <c r="AZ139" s="4" t="s">
        <v>82</v>
      </c>
      <c r="BA139" s="4" t="s">
        <v>486</v>
      </c>
      <c r="BB139" s="4" t="s">
        <v>59</v>
      </c>
      <c r="BC139" s="6"/>
      <c r="BD139" s="4" t="n">
        <v>0</v>
      </c>
    </row>
    <row r="140" customFormat="false" ht="199.95" hidden="false" customHeight="false" outlineLevel="0" collapsed="false">
      <c r="A140" s="4" t="n">
        <v>49</v>
      </c>
      <c r="B140" s="4" t="s">
        <v>56</v>
      </c>
      <c r="C140" s="4" t="s">
        <v>57</v>
      </c>
      <c r="D140" s="4" t="s">
        <v>58</v>
      </c>
      <c r="E140" s="4" t="s">
        <v>59</v>
      </c>
      <c r="F140" s="4" t="n">
        <v>5696</v>
      </c>
      <c r="G140" s="5" t="s">
        <v>487</v>
      </c>
      <c r="H140" s="5" t="s">
        <v>72</v>
      </c>
      <c r="I140" s="4"/>
      <c r="J140" s="4"/>
      <c r="K140" s="4"/>
      <c r="L140" s="4" t="n">
        <v>20</v>
      </c>
      <c r="M140" s="4" t="n">
        <v>20</v>
      </c>
      <c r="N140" s="4" t="n">
        <v>0</v>
      </c>
      <c r="O140" s="4" t="n">
        <v>16</v>
      </c>
      <c r="P140" s="4" t="n">
        <v>4</v>
      </c>
      <c r="Q140" s="4" t="n">
        <v>12</v>
      </c>
      <c r="R140" s="6" t="n">
        <f aca="false">IF(N(L140)=0,0,O140/L140)</f>
        <v>0.8</v>
      </c>
      <c r="S140" s="4" t="n">
        <f aca="false">IF(R140="","",IF(R140&gt;=0.8,50,IF(R140&gt;=0.5,30,IF(R140&gt;=0.01,10,0))))</f>
        <v>50</v>
      </c>
      <c r="T140" s="4" t="n">
        <f aca="false">IF(TRIM(AI140)="Yes",2.5,0)</f>
        <v>2.5</v>
      </c>
      <c r="U140" s="4" t="n">
        <f aca="false">IF(TRIM(AJ140)="Yes",10,0)</f>
        <v>10</v>
      </c>
      <c r="V140" s="4" t="n">
        <f aca="false">IF(TRIM(AK140)="Yes",5,0)</f>
        <v>5</v>
      </c>
      <c r="W140" s="4" t="n">
        <f aca="false">IF(TRIM(AM140)="Yes",5,0)</f>
        <v>5</v>
      </c>
      <c r="X140" s="4" t="n">
        <f aca="false">IF(OR(TRIM(AN140)="Fully Available",TRIM(AN140)="Not Applicable"),5,IF(TRIM(AN140)="Partially Available",2.5,0))</f>
        <v>5</v>
      </c>
      <c r="Y140" s="4" t="n">
        <f aca="false">IF(TRIM(AO140)="Yes",5,0)</f>
        <v>5</v>
      </c>
      <c r="Z140" s="4" t="n">
        <f aca="false">IF(TRIM(AP140)="Yes",2.5,0)</f>
        <v>2.5</v>
      </c>
      <c r="AA140" s="4" t="n">
        <f aca="false">IF(TRIM(AQ140)="Yes",5,0)</f>
        <v>5</v>
      </c>
      <c r="AB140" s="4" t="n">
        <f aca="false">IF(OR(TRIM(AR140)="Yes",TRIM(AR140)="Not Applicable"),5,0)</f>
        <v>5</v>
      </c>
      <c r="AC140" s="4" t="n">
        <f aca="false">IF(TRIM(AS140)="Excellent",5,IF(TRIM(AS140)="Very Good",4,IF(TRIM(AS140)="Good",3,IF(TRIM(AS140)="Average",2,0))))</f>
        <v>4</v>
      </c>
      <c r="AD140" s="7" t="n">
        <f aca="false">IF(COUNT(S140:AC140)=0,"",SUM(S140:AC140))</f>
        <v>99</v>
      </c>
      <c r="AE140" s="7" t="n">
        <f aca="false">IF(COUNTIF($F$2:F140,F140)=1,IFERROR(AVERAGEIF($F:$F,F140,$AD:$AD),""),"")</f>
        <v>99</v>
      </c>
      <c r="AF140" s="8" t="str">
        <f aca="false">IF(AH140&lt;&gt;"",AH140,IF(AE140="","",IF(AE140&gt;=80,"Excellent",IF(AE140&gt;=70,"Very Good",IF(AE140&gt;=60,"Good",IF(AE140&gt;=50,"Average","Poor"))))))</f>
        <v>Excellent</v>
      </c>
      <c r="AG140" s="5"/>
      <c r="AH140" s="4"/>
      <c r="AI140" s="4" t="s">
        <v>62</v>
      </c>
      <c r="AJ140" s="4" t="s">
        <v>62</v>
      </c>
      <c r="AK140" s="4" t="s">
        <v>62</v>
      </c>
      <c r="AL140" s="4" t="s">
        <v>63</v>
      </c>
      <c r="AM140" s="4" t="s">
        <v>62</v>
      </c>
      <c r="AN140" s="4" t="s">
        <v>64</v>
      </c>
      <c r="AO140" s="4" t="s">
        <v>62</v>
      </c>
      <c r="AP140" s="4" t="s">
        <v>62</v>
      </c>
      <c r="AQ140" s="4" t="s">
        <v>62</v>
      </c>
      <c r="AR140" s="4" t="s">
        <v>73</v>
      </c>
      <c r="AS140" s="4" t="s">
        <v>74</v>
      </c>
      <c r="AT140" s="4" t="n">
        <v>7</v>
      </c>
      <c r="AU140" s="4" t="s">
        <v>66</v>
      </c>
      <c r="AV140" s="9" t="n">
        <v>45408</v>
      </c>
      <c r="AW140" s="4" t="s">
        <v>488</v>
      </c>
      <c r="AX140" s="4" t="s">
        <v>199</v>
      </c>
      <c r="AY140" s="4" t="n">
        <v>4</v>
      </c>
      <c r="AZ140" s="4" t="s">
        <v>62</v>
      </c>
      <c r="BA140" s="4" t="s">
        <v>489</v>
      </c>
      <c r="BB140" s="4" t="s">
        <v>59</v>
      </c>
      <c r="BC140" s="6" t="n">
        <v>0.75</v>
      </c>
      <c r="BD140" s="4" t="n">
        <v>83</v>
      </c>
    </row>
    <row r="141" customFormat="false" ht="199.95" hidden="false" customHeight="false" outlineLevel="0" collapsed="false">
      <c r="A141" s="4"/>
      <c r="B141" s="4" t="s">
        <v>56</v>
      </c>
      <c r="C141" s="4" t="s">
        <v>57</v>
      </c>
      <c r="D141" s="4" t="s">
        <v>58</v>
      </c>
      <c r="E141" s="4" t="s">
        <v>59</v>
      </c>
      <c r="F141" s="4" t="n">
        <v>5696</v>
      </c>
      <c r="G141" s="5" t="s">
        <v>487</v>
      </c>
      <c r="H141" s="5" t="s">
        <v>238</v>
      </c>
      <c r="I141" s="4"/>
      <c r="J141" s="4"/>
      <c r="K141" s="4"/>
      <c r="L141" s="4" t="n">
        <v>20</v>
      </c>
      <c r="M141" s="4" t="n">
        <v>20</v>
      </c>
      <c r="N141" s="4" t="n">
        <v>0</v>
      </c>
      <c r="O141" s="4" t="n">
        <v>18</v>
      </c>
      <c r="P141" s="4" t="n">
        <v>2</v>
      </c>
      <c r="Q141" s="4" t="n">
        <v>14</v>
      </c>
      <c r="R141" s="6" t="n">
        <f aca="false">IF(N(L141)=0,0,O141/L141)</f>
        <v>0.9</v>
      </c>
      <c r="S141" s="4" t="n">
        <f aca="false">IF(R141="","",IF(R141&gt;=0.8,50,IF(R141&gt;=0.5,30,IF(R141&gt;=0.01,10,0))))</f>
        <v>50</v>
      </c>
      <c r="T141" s="4" t="n">
        <f aca="false">IF(TRIM(AI141)="Yes",2.5,0)</f>
        <v>2.5</v>
      </c>
      <c r="U141" s="4" t="n">
        <f aca="false">IF(TRIM(AJ141)="Yes",10,0)</f>
        <v>10</v>
      </c>
      <c r="V141" s="4" t="n">
        <f aca="false">IF(TRIM(AK141)="Yes",5,0)</f>
        <v>5</v>
      </c>
      <c r="W141" s="4" t="n">
        <f aca="false">IF(TRIM(AM141)="Yes",5,0)</f>
        <v>5</v>
      </c>
      <c r="X141" s="4" t="n">
        <f aca="false">IF(OR(TRIM(AN141)="Fully Available",TRIM(AN141)="Not Applicable"),5,IF(TRIM(AN141)="Partially Available",2.5,0))</f>
        <v>5</v>
      </c>
      <c r="Y141" s="4" t="n">
        <f aca="false">IF(TRIM(AO141)="Yes",5,0)</f>
        <v>5</v>
      </c>
      <c r="Z141" s="4" t="n">
        <f aca="false">IF(TRIM(AP141)="Yes",2.5,0)</f>
        <v>2.5</v>
      </c>
      <c r="AA141" s="4" t="n">
        <f aca="false">IF(TRIM(AQ141)="Yes",5,0)</f>
        <v>5</v>
      </c>
      <c r="AB141" s="4" t="n">
        <f aca="false">IF(OR(TRIM(AR141)="Yes",TRIM(AR141)="Not Applicable"),5,0)</f>
        <v>5</v>
      </c>
      <c r="AC141" s="4" t="n">
        <f aca="false">IF(TRIM(AS141)="Excellent",5,IF(TRIM(AS141)="Very Good",4,IF(TRIM(AS141)="Good",3,IF(TRIM(AS141)="Average",2,0))))</f>
        <v>4</v>
      </c>
      <c r="AD141" s="7" t="n">
        <f aca="false">IF(COUNT(S141:AC141)=0,"",SUM(S141:AC141))</f>
        <v>99</v>
      </c>
      <c r="AE141" s="7"/>
      <c r="AF141" s="8"/>
      <c r="AG141" s="5"/>
      <c r="AH141" s="4"/>
      <c r="AI141" s="4" t="s">
        <v>62</v>
      </c>
      <c r="AJ141" s="4" t="s">
        <v>62</v>
      </c>
      <c r="AK141" s="4" t="s">
        <v>62</v>
      </c>
      <c r="AL141" s="4" t="s">
        <v>63</v>
      </c>
      <c r="AM141" s="4" t="s">
        <v>62</v>
      </c>
      <c r="AN141" s="4" t="s">
        <v>64</v>
      </c>
      <c r="AO141" s="4" t="s">
        <v>62</v>
      </c>
      <c r="AP141" s="4" t="s">
        <v>62</v>
      </c>
      <c r="AQ141" s="4" t="s">
        <v>62</v>
      </c>
      <c r="AR141" s="4" t="s">
        <v>73</v>
      </c>
      <c r="AS141" s="4" t="s">
        <v>74</v>
      </c>
      <c r="AT141" s="4" t="n">
        <v>4</v>
      </c>
      <c r="AU141" s="4" t="s">
        <v>66</v>
      </c>
      <c r="AV141" s="9" t="n">
        <v>45408</v>
      </c>
      <c r="AW141" s="4" t="s">
        <v>490</v>
      </c>
      <c r="AX141" s="4" t="s">
        <v>438</v>
      </c>
      <c r="AY141" s="4" t="n">
        <v>5</v>
      </c>
      <c r="AZ141" s="4" t="s">
        <v>62</v>
      </c>
      <c r="BA141" s="4" t="s">
        <v>489</v>
      </c>
      <c r="BB141" s="4" t="s">
        <v>59</v>
      </c>
      <c r="BC141" s="6" t="n">
        <v>0.7778</v>
      </c>
      <c r="BD141" s="4" t="n">
        <v>83</v>
      </c>
    </row>
    <row r="142" customFormat="false" ht="58.2" hidden="false" customHeight="false" outlineLevel="0" collapsed="false">
      <c r="A142" s="4" t="n">
        <v>50</v>
      </c>
      <c r="B142" s="4" t="s">
        <v>56</v>
      </c>
      <c r="C142" s="4" t="s">
        <v>57</v>
      </c>
      <c r="D142" s="4" t="s">
        <v>491</v>
      </c>
      <c r="E142" s="4" t="s">
        <v>492</v>
      </c>
      <c r="F142" s="4" t="n">
        <v>388</v>
      </c>
      <c r="G142" s="5" t="s">
        <v>493</v>
      </c>
      <c r="H142" s="5" t="s">
        <v>78</v>
      </c>
      <c r="I142" s="4"/>
      <c r="J142" s="4"/>
      <c r="K142" s="4"/>
      <c r="L142" s="4" t="n">
        <v>15</v>
      </c>
      <c r="M142" s="4" t="n">
        <v>15</v>
      </c>
      <c r="N142" s="4" t="n">
        <v>0</v>
      </c>
      <c r="O142" s="4" t="n">
        <v>13</v>
      </c>
      <c r="P142" s="4" t="n">
        <v>2</v>
      </c>
      <c r="Q142" s="4" t="n">
        <v>8</v>
      </c>
      <c r="R142" s="6" t="n">
        <f aca="false">IF(N(L142)=0,0,O142/L142)</f>
        <v>0.866666666666667</v>
      </c>
      <c r="S142" s="4" t="n">
        <f aca="false">IF(R142="","",IF(R142&gt;=0.8,50,IF(R142&gt;=0.5,30,IF(R142&gt;=0.01,10,0))))</f>
        <v>50</v>
      </c>
      <c r="T142" s="4" t="n">
        <f aca="false">IF(TRIM(AI142)="Yes",2.5,0)</f>
        <v>2.5</v>
      </c>
      <c r="U142" s="4" t="n">
        <f aca="false">IF(TRIM(AJ142)="Yes",10,0)</f>
        <v>0</v>
      </c>
      <c r="V142" s="4" t="n">
        <f aca="false">IF(TRIM(AK142)="Yes",5,0)</f>
        <v>5</v>
      </c>
      <c r="W142" s="4" t="n">
        <f aca="false">IF(TRIM(AM142)="Yes",5,0)</f>
        <v>5</v>
      </c>
      <c r="X142" s="4" t="n">
        <f aca="false">IF(OR(TRIM(AN142)="Fully Available",TRIM(AN142)="Not Applicable"),5,IF(TRIM(AN142)="Partially Available",2.5,0))</f>
        <v>5</v>
      </c>
      <c r="Y142" s="4" t="n">
        <f aca="false">IF(TRIM(AO142)="Yes",5,0)</f>
        <v>5</v>
      </c>
      <c r="Z142" s="4" t="n">
        <f aca="false">IF(TRIM(AP142)="Yes",2.5,0)</f>
        <v>2.5</v>
      </c>
      <c r="AA142" s="4" t="n">
        <f aca="false">IF(TRIM(AQ142)="Yes",5,0)</f>
        <v>5</v>
      </c>
      <c r="AB142" s="4" t="n">
        <f aca="false">IF(OR(TRIM(AR142)="Yes",TRIM(AR142)="Not Applicable"),5,0)</f>
        <v>5</v>
      </c>
      <c r="AC142" s="4" t="n">
        <f aca="false">IF(TRIM(AS142)="Excellent",5,IF(TRIM(AS142)="Very Good",4,IF(TRIM(AS142)="Good",3,IF(TRIM(AS142)="Average",2,0))))</f>
        <v>4</v>
      </c>
      <c r="AD142" s="7" t="n">
        <f aca="false">IF(COUNT(S142:AC142)=0,"",SUM(S142:AC142))</f>
        <v>89</v>
      </c>
      <c r="AE142" s="7" t="n">
        <f aca="false">IF(COUNTIF($F$2:F142,F142)=1,IFERROR(AVERAGEIF($F:$F,F142,$AD:$AD),""),"")</f>
        <v>69</v>
      </c>
      <c r="AF142" s="8" t="str">
        <f aca="false">IF(AH142&lt;&gt;"",AH142,IF(AE142="","",IF(AE142&gt;=80,"Excellent",IF(AE142&gt;=70,"Very Good",IF(AE142&gt;=60,"Good",IF(AE142&gt;=50,"Average","Poor"))))))</f>
        <v>Good</v>
      </c>
      <c r="AG142" s="5"/>
      <c r="AH142" s="4"/>
      <c r="AI142" s="4" t="s">
        <v>62</v>
      </c>
      <c r="AJ142" s="4" t="s">
        <v>82</v>
      </c>
      <c r="AK142" s="4" t="s">
        <v>62</v>
      </c>
      <c r="AL142" s="4" t="s">
        <v>63</v>
      </c>
      <c r="AM142" s="4" t="s">
        <v>62</v>
      </c>
      <c r="AN142" s="4" t="s">
        <v>64</v>
      </c>
      <c r="AO142" s="4" t="s">
        <v>62</v>
      </c>
      <c r="AP142" s="4" t="s">
        <v>62</v>
      </c>
      <c r="AQ142" s="4" t="s">
        <v>62</v>
      </c>
      <c r="AR142" s="4" t="s">
        <v>62</v>
      </c>
      <c r="AS142" s="4" t="s">
        <v>74</v>
      </c>
      <c r="AT142" s="4" t="n">
        <v>2</v>
      </c>
      <c r="AU142" s="4" t="s">
        <v>66</v>
      </c>
      <c r="AV142" s="4" t="s">
        <v>67</v>
      </c>
      <c r="AW142" s="4" t="s">
        <v>494</v>
      </c>
      <c r="AX142" s="4" t="s">
        <v>495</v>
      </c>
      <c r="AY142" s="4" t="n">
        <v>8</v>
      </c>
      <c r="AZ142" s="4" t="s">
        <v>62</v>
      </c>
      <c r="BA142" s="4" t="s">
        <v>496</v>
      </c>
      <c r="BB142" s="4" t="s">
        <v>497</v>
      </c>
      <c r="BC142" s="6" t="n">
        <v>0.6154</v>
      </c>
      <c r="BD142" s="4" t="n">
        <v>82</v>
      </c>
    </row>
    <row r="143" customFormat="false" ht="58.2" hidden="false" customHeight="false" outlineLevel="0" collapsed="false">
      <c r="A143" s="4"/>
      <c r="B143" s="4" t="s">
        <v>56</v>
      </c>
      <c r="C143" s="4" t="s">
        <v>57</v>
      </c>
      <c r="D143" s="4" t="s">
        <v>491</v>
      </c>
      <c r="E143" s="4" t="s">
        <v>492</v>
      </c>
      <c r="F143" s="4" t="n">
        <v>388</v>
      </c>
      <c r="G143" s="5" t="s">
        <v>493</v>
      </c>
      <c r="H143" s="5" t="s">
        <v>197</v>
      </c>
      <c r="I143" s="4"/>
      <c r="J143" s="4"/>
      <c r="K143" s="4"/>
      <c r="L143" s="4" t="n">
        <v>15</v>
      </c>
      <c r="M143" s="4" t="n">
        <v>15</v>
      </c>
      <c r="N143" s="4" t="n">
        <v>0</v>
      </c>
      <c r="O143" s="4" t="n">
        <v>6</v>
      </c>
      <c r="P143" s="4" t="n">
        <v>9</v>
      </c>
      <c r="Q143" s="4" t="n">
        <v>4</v>
      </c>
      <c r="R143" s="6" t="n">
        <f aca="false">IF(N(L143)=0,0,O143/L143)</f>
        <v>0.4</v>
      </c>
      <c r="S143" s="4" t="n">
        <f aca="false">IF(R143="","",IF(R143&gt;=0.8,50,IF(R143&gt;=0.5,30,IF(R143&gt;=0.01,10,0))))</f>
        <v>10</v>
      </c>
      <c r="T143" s="4" t="n">
        <f aca="false">IF(TRIM(AI143)="Yes",2.5,0)</f>
        <v>2.5</v>
      </c>
      <c r="U143" s="4" t="n">
        <f aca="false">IF(TRIM(AJ143)="Yes",10,0)</f>
        <v>0</v>
      </c>
      <c r="V143" s="4" t="n">
        <f aca="false">IF(TRIM(AK143)="Yes",5,0)</f>
        <v>5</v>
      </c>
      <c r="W143" s="4" t="n">
        <f aca="false">IF(TRIM(AM143)="Yes",5,0)</f>
        <v>5</v>
      </c>
      <c r="X143" s="4" t="n">
        <f aca="false">IF(OR(TRIM(AN143)="Fully Available",TRIM(AN143)="Not Applicable"),5,IF(TRIM(AN143)="Partially Available",2.5,0))</f>
        <v>5</v>
      </c>
      <c r="Y143" s="4" t="n">
        <f aca="false">IF(TRIM(AO143)="Yes",5,0)</f>
        <v>5</v>
      </c>
      <c r="Z143" s="4" t="n">
        <f aca="false">IF(TRIM(AP143)="Yes",2.5,0)</f>
        <v>2.5</v>
      </c>
      <c r="AA143" s="4" t="n">
        <f aca="false">IF(TRIM(AQ143)="Yes",5,0)</f>
        <v>5</v>
      </c>
      <c r="AB143" s="4" t="n">
        <f aca="false">IF(OR(TRIM(AR143)="Yes",TRIM(AR143)="Not Applicable"),5,0)</f>
        <v>5</v>
      </c>
      <c r="AC143" s="4" t="n">
        <f aca="false">IF(TRIM(AS143)="Excellent",5,IF(TRIM(AS143)="Very Good",4,IF(TRIM(AS143)="Good",3,IF(TRIM(AS143)="Average",2,0))))</f>
        <v>4</v>
      </c>
      <c r="AD143" s="7" t="n">
        <f aca="false">IF(COUNT(S143:AC143)=0,"",SUM(S143:AC143))</f>
        <v>49</v>
      </c>
      <c r="AE143" s="7"/>
      <c r="AF143" s="8"/>
      <c r="AG143" s="5"/>
      <c r="AH143" s="4"/>
      <c r="AI143" s="4" t="s">
        <v>62</v>
      </c>
      <c r="AJ143" s="4" t="s">
        <v>82</v>
      </c>
      <c r="AK143" s="4" t="s">
        <v>62</v>
      </c>
      <c r="AL143" s="4" t="s">
        <v>63</v>
      </c>
      <c r="AM143" s="4" t="s">
        <v>62</v>
      </c>
      <c r="AN143" s="4" t="s">
        <v>64</v>
      </c>
      <c r="AO143" s="4" t="s">
        <v>62</v>
      </c>
      <c r="AP143" s="4" t="s">
        <v>62</v>
      </c>
      <c r="AQ143" s="4" t="s">
        <v>62</v>
      </c>
      <c r="AR143" s="4" t="s">
        <v>62</v>
      </c>
      <c r="AS143" s="4" t="s">
        <v>74</v>
      </c>
      <c r="AT143" s="4" t="n">
        <v>3</v>
      </c>
      <c r="AU143" s="4" t="s">
        <v>66</v>
      </c>
      <c r="AV143" s="4" t="s">
        <v>67</v>
      </c>
      <c r="AW143" s="4" t="s">
        <v>498</v>
      </c>
      <c r="AX143" s="4" t="s">
        <v>499</v>
      </c>
      <c r="AY143" s="4" t="n">
        <v>9</v>
      </c>
      <c r="AZ143" s="4" t="s">
        <v>62</v>
      </c>
      <c r="BA143" s="4" t="s">
        <v>496</v>
      </c>
      <c r="BB143" s="4" t="s">
        <v>497</v>
      </c>
      <c r="BC143" s="6" t="n">
        <v>0.6667</v>
      </c>
      <c r="BD143" s="4" t="n">
        <v>82</v>
      </c>
    </row>
    <row r="144" customFormat="false" ht="143.25" hidden="false" customHeight="false" outlineLevel="0" collapsed="false">
      <c r="A144" s="4" t="n">
        <v>51</v>
      </c>
      <c r="B144" s="4" t="s">
        <v>56</v>
      </c>
      <c r="C144" s="4" t="s">
        <v>57</v>
      </c>
      <c r="D144" s="4" t="s">
        <v>491</v>
      </c>
      <c r="E144" s="4" t="s">
        <v>500</v>
      </c>
      <c r="F144" s="4" t="n">
        <v>2776</v>
      </c>
      <c r="G144" s="5" t="s">
        <v>501</v>
      </c>
      <c r="H144" s="5" t="s">
        <v>61</v>
      </c>
      <c r="I144" s="4"/>
      <c r="J144" s="4"/>
      <c r="K144" s="4"/>
      <c r="L144" s="4" t="n">
        <v>15</v>
      </c>
      <c r="M144" s="4" t="n">
        <v>15</v>
      </c>
      <c r="N144" s="4" t="n">
        <v>0</v>
      </c>
      <c r="O144" s="4" t="n">
        <v>15</v>
      </c>
      <c r="P144" s="4" t="n">
        <v>0</v>
      </c>
      <c r="Q144" s="4" t="n">
        <v>8</v>
      </c>
      <c r="R144" s="6" t="n">
        <f aca="false">IF(N(L144)=0,0,O144/L144)</f>
        <v>1</v>
      </c>
      <c r="S144" s="4" t="n">
        <f aca="false">IF(R144="","",IF(R144&gt;=0.8,50,IF(R144&gt;=0.5,30,IF(R144&gt;=0.01,10,0))))</f>
        <v>50</v>
      </c>
      <c r="T144" s="4" t="n">
        <f aca="false">IF(TRIM(AI144)="Yes",2.5,0)</f>
        <v>0</v>
      </c>
      <c r="U144" s="4" t="n">
        <f aca="false">IF(TRIM(AJ144)="Yes",10,0)</f>
        <v>0</v>
      </c>
      <c r="V144" s="4" t="n">
        <f aca="false">IF(TRIM(AK144)="Yes",5,0)</f>
        <v>0</v>
      </c>
      <c r="W144" s="4" t="n">
        <f aca="false">IF(TRIM(AM144)="Yes",5,0)</f>
        <v>5</v>
      </c>
      <c r="X144" s="4" t="n">
        <f aca="false">IF(OR(TRIM(AN144)="Fully Available",TRIM(AN144)="Not Applicable"),5,IF(TRIM(AN144)="Partially Available",2.5,0))</f>
        <v>5</v>
      </c>
      <c r="Y144" s="4" t="n">
        <f aca="false">IF(TRIM(AO144)="Yes",5,0)</f>
        <v>5</v>
      </c>
      <c r="Z144" s="4" t="n">
        <f aca="false">IF(TRIM(AP144)="Yes",2.5,0)</f>
        <v>2.5</v>
      </c>
      <c r="AA144" s="4" t="n">
        <f aca="false">IF(TRIM(AQ144)="Yes",5,0)</f>
        <v>5</v>
      </c>
      <c r="AB144" s="4" t="n">
        <f aca="false">IF(OR(TRIM(AR144)="Yes",TRIM(AR144)="Not Applicable"),5,0)</f>
        <v>5</v>
      </c>
      <c r="AC144" s="4" t="n">
        <f aca="false">IF(TRIM(AS144)="Excellent",5,IF(TRIM(AS144)="Very Good",4,IF(TRIM(AS144)="Good",3,IF(TRIM(AS144)="Average",2,0))))</f>
        <v>5</v>
      </c>
      <c r="AD144" s="7" t="n">
        <f aca="false">IF(COUNT(S144:AC144)=0,"",SUM(S144:AC144))</f>
        <v>82.5</v>
      </c>
      <c r="AE144" s="7" t="n">
        <f aca="false">IF(COUNTIF($F$2:F144,F144)=1,IFERROR(AVERAGEIF($F:$F,F144,$AD:$AD),""),"")</f>
        <v>82.5</v>
      </c>
      <c r="AF144" s="8" t="str">
        <f aca="false">IF(AH144&lt;&gt;"",AH144,IF(AE144="","",IF(AE144&gt;=80,"Excellent",IF(AE144&gt;=70,"Very Good",IF(AE144&gt;=60,"Good",IF(AE144&gt;=50,"Average","Poor"))))))</f>
        <v>Excellent</v>
      </c>
      <c r="AG144" s="5"/>
      <c r="AH144" s="4"/>
      <c r="AI144" s="4" t="s">
        <v>82</v>
      </c>
      <c r="AJ144" s="4" t="s">
        <v>82</v>
      </c>
      <c r="AK144" s="4" t="s">
        <v>82</v>
      </c>
      <c r="AL144" s="4" t="s">
        <v>379</v>
      </c>
      <c r="AM144" s="4" t="s">
        <v>62</v>
      </c>
      <c r="AN144" s="4" t="s">
        <v>64</v>
      </c>
      <c r="AO144" s="4" t="s">
        <v>62</v>
      </c>
      <c r="AP144" s="4" t="s">
        <v>62</v>
      </c>
      <c r="AQ144" s="4" t="s">
        <v>62</v>
      </c>
      <c r="AR144" s="4" t="s">
        <v>62</v>
      </c>
      <c r="AS144" s="4" t="s">
        <v>65</v>
      </c>
      <c r="AT144" s="4" t="n">
        <v>30</v>
      </c>
      <c r="AU144" s="4" t="s">
        <v>66</v>
      </c>
      <c r="AV144" s="4" t="s">
        <v>67</v>
      </c>
      <c r="AW144" s="4" t="s">
        <v>502</v>
      </c>
      <c r="AX144" s="4" t="s">
        <v>503</v>
      </c>
      <c r="AY144" s="4" t="n">
        <v>7</v>
      </c>
      <c r="AZ144" s="4" t="s">
        <v>62</v>
      </c>
      <c r="BA144" s="4" t="s">
        <v>504</v>
      </c>
      <c r="BB144" s="4" t="s">
        <v>497</v>
      </c>
      <c r="BC144" s="6" t="n">
        <v>0.5333</v>
      </c>
      <c r="BD144" s="4" t="n">
        <v>85</v>
      </c>
    </row>
    <row r="145" customFormat="false" ht="86.55" hidden="false" customHeight="false" outlineLevel="0" collapsed="false">
      <c r="A145" s="4" t="n">
        <v>52</v>
      </c>
      <c r="B145" s="4" t="s">
        <v>56</v>
      </c>
      <c r="C145" s="4" t="s">
        <v>57</v>
      </c>
      <c r="D145" s="4" t="s">
        <v>491</v>
      </c>
      <c r="E145" s="4" t="s">
        <v>505</v>
      </c>
      <c r="F145" s="4" t="n">
        <v>3543</v>
      </c>
      <c r="G145" s="5" t="s">
        <v>506</v>
      </c>
      <c r="H145" s="5" t="s">
        <v>404</v>
      </c>
      <c r="I145" s="4"/>
      <c r="J145" s="4"/>
      <c r="K145" s="4"/>
      <c r="L145" s="4" t="n">
        <v>20</v>
      </c>
      <c r="M145" s="4" t="n">
        <v>19</v>
      </c>
      <c r="N145" s="4" t="n">
        <v>1</v>
      </c>
      <c r="O145" s="4" t="n">
        <v>3</v>
      </c>
      <c r="P145" s="4" t="n">
        <v>16</v>
      </c>
      <c r="Q145" s="4" t="n">
        <v>3</v>
      </c>
      <c r="R145" s="6" t="n">
        <f aca="false">IF(N(L145)=0,0,O145/L145)</f>
        <v>0.15</v>
      </c>
      <c r="S145" s="4" t="n">
        <f aca="false">IF(R145="","",IF(R145&gt;=0.8,50,IF(R145&gt;=0.5,30,IF(R145&gt;=0.01,10,0))))</f>
        <v>10</v>
      </c>
      <c r="T145" s="4" t="n">
        <f aca="false">IF(TRIM(AI145)="Yes",2.5,0)</f>
        <v>2.5</v>
      </c>
      <c r="U145" s="4" t="n">
        <f aca="false">IF(TRIM(AJ145)="Yes",10,0)</f>
        <v>10</v>
      </c>
      <c r="V145" s="4" t="n">
        <f aca="false">IF(TRIM(AK145)="Yes",5,0)</f>
        <v>5</v>
      </c>
      <c r="W145" s="4" t="n">
        <f aca="false">IF(TRIM(AM145)="Yes",5,0)</f>
        <v>5</v>
      </c>
      <c r="X145" s="4" t="n">
        <f aca="false">IF(OR(TRIM(AN145)="Fully Available",TRIM(AN145)="Not Applicable"),5,IF(TRIM(AN145)="Partially Available",2.5,0))</f>
        <v>5</v>
      </c>
      <c r="Y145" s="4" t="n">
        <f aca="false">IF(TRIM(AO145)="Yes",5,0)</f>
        <v>5</v>
      </c>
      <c r="Z145" s="4" t="n">
        <f aca="false">IF(TRIM(AP145)="Yes",2.5,0)</f>
        <v>2.5</v>
      </c>
      <c r="AA145" s="4" t="n">
        <f aca="false">IF(TRIM(AQ145)="Yes",5,0)</f>
        <v>5</v>
      </c>
      <c r="AB145" s="4" t="n">
        <f aca="false">IF(OR(TRIM(AR145)="Yes",TRIM(AR145)="Not Applicable"),5,0)</f>
        <v>5</v>
      </c>
      <c r="AC145" s="4" t="n">
        <f aca="false">IF(TRIM(AS145)="Excellent",5,IF(TRIM(AS145)="Very Good",4,IF(TRIM(AS145)="Good",3,IF(TRIM(AS145)="Average",2,0))))</f>
        <v>4</v>
      </c>
      <c r="AD145" s="7" t="n">
        <f aca="false">IF(COUNT(S145:AC145)=0,"",SUM(S145:AC145))</f>
        <v>59</v>
      </c>
      <c r="AE145" s="7" t="n">
        <f aca="false">IF(COUNTIF($F$2:F145,F145)=1,IFERROR(AVERAGEIF($F:$F,F145,$AD:$AD),""),"")</f>
        <v>59</v>
      </c>
      <c r="AF145" s="8" t="str">
        <f aca="false">IF(AH145&lt;&gt;"",AH145,IF(AE145="","",IF(AE145&gt;=80,"Excellent",IF(AE145&gt;=70,"Very Good",IF(AE145&gt;=60,"Good",IF(AE145&gt;=50,"Average","Poor"))))))</f>
        <v>Average</v>
      </c>
      <c r="AG145" s="5"/>
      <c r="AH145" s="4"/>
      <c r="AI145" s="4" t="s">
        <v>62</v>
      </c>
      <c r="AJ145" s="4" t="s">
        <v>62</v>
      </c>
      <c r="AK145" s="4" t="s">
        <v>62</v>
      </c>
      <c r="AL145" s="4" t="s">
        <v>63</v>
      </c>
      <c r="AM145" s="4" t="s">
        <v>62</v>
      </c>
      <c r="AN145" s="4" t="s">
        <v>64</v>
      </c>
      <c r="AO145" s="4" t="s">
        <v>62</v>
      </c>
      <c r="AP145" s="4" t="s">
        <v>62</v>
      </c>
      <c r="AQ145" s="4" t="s">
        <v>62</v>
      </c>
      <c r="AR145" s="4" t="s">
        <v>62</v>
      </c>
      <c r="AS145" s="4" t="s">
        <v>74</v>
      </c>
      <c r="AT145" s="4" t="n">
        <v>6</v>
      </c>
      <c r="AU145" s="4" t="s">
        <v>66</v>
      </c>
      <c r="AV145" s="4" t="s">
        <v>67</v>
      </c>
      <c r="AW145" s="4" t="s">
        <v>507</v>
      </c>
      <c r="AX145" s="4" t="s">
        <v>508</v>
      </c>
      <c r="AY145" s="4" t="n">
        <v>10</v>
      </c>
      <c r="AZ145" s="4" t="s">
        <v>62</v>
      </c>
      <c r="BA145" s="4" t="s">
        <v>509</v>
      </c>
      <c r="BB145" s="4" t="s">
        <v>497</v>
      </c>
      <c r="BC145" s="6" t="n">
        <v>1</v>
      </c>
      <c r="BD145" s="4" t="n">
        <v>75</v>
      </c>
    </row>
    <row r="146" customFormat="false" ht="86.55" hidden="false" customHeight="false" outlineLevel="0" collapsed="false">
      <c r="A146" s="4"/>
      <c r="B146" s="4" t="s">
        <v>56</v>
      </c>
      <c r="C146" s="4" t="s">
        <v>57</v>
      </c>
      <c r="D146" s="4" t="s">
        <v>491</v>
      </c>
      <c r="E146" s="4" t="s">
        <v>505</v>
      </c>
      <c r="F146" s="4" t="n">
        <v>3543</v>
      </c>
      <c r="G146" s="5" t="s">
        <v>506</v>
      </c>
      <c r="H146" s="5" t="s">
        <v>265</v>
      </c>
      <c r="I146" s="4"/>
      <c r="J146" s="4"/>
      <c r="K146" s="4"/>
      <c r="L146" s="4" t="n">
        <v>20</v>
      </c>
      <c r="M146" s="4" t="n">
        <v>20</v>
      </c>
      <c r="N146" s="4" t="n">
        <v>0</v>
      </c>
      <c r="O146" s="4" t="n">
        <v>3</v>
      </c>
      <c r="P146" s="4" t="n">
        <v>17</v>
      </c>
      <c r="Q146" s="4" t="n">
        <v>3</v>
      </c>
      <c r="R146" s="6" t="n">
        <f aca="false">IF(N(L146)=0,0,O146/L146)</f>
        <v>0.15</v>
      </c>
      <c r="S146" s="4" t="n">
        <f aca="false">IF(R146="","",IF(R146&gt;=0.8,50,IF(R146&gt;=0.5,30,IF(R146&gt;=0.01,10,0))))</f>
        <v>10</v>
      </c>
      <c r="T146" s="4" t="n">
        <f aca="false">IF(TRIM(AI146)="Yes",2.5,0)</f>
        <v>2.5</v>
      </c>
      <c r="U146" s="4" t="n">
        <f aca="false">IF(TRIM(AJ146)="Yes",10,0)</f>
        <v>10</v>
      </c>
      <c r="V146" s="4" t="n">
        <f aca="false">IF(TRIM(AK146)="Yes",5,0)</f>
        <v>5</v>
      </c>
      <c r="W146" s="4" t="n">
        <f aca="false">IF(TRIM(AM146)="Yes",5,0)</f>
        <v>5</v>
      </c>
      <c r="X146" s="4" t="n">
        <f aca="false">IF(OR(TRIM(AN146)="Fully Available",TRIM(AN146)="Not Applicable"),5,IF(TRIM(AN146)="Partially Available",2.5,0))</f>
        <v>5</v>
      </c>
      <c r="Y146" s="4" t="n">
        <f aca="false">IF(TRIM(AO146)="Yes",5,0)</f>
        <v>5</v>
      </c>
      <c r="Z146" s="4" t="n">
        <f aca="false">IF(TRIM(AP146)="Yes",2.5,0)</f>
        <v>2.5</v>
      </c>
      <c r="AA146" s="4" t="n">
        <f aca="false">IF(TRIM(AQ146)="Yes",5,0)</f>
        <v>5</v>
      </c>
      <c r="AB146" s="4" t="n">
        <f aca="false">IF(OR(TRIM(AR146)="Yes",TRIM(AR146)="Not Applicable"),5,0)</f>
        <v>5</v>
      </c>
      <c r="AC146" s="4" t="n">
        <f aca="false">IF(TRIM(AS146)="Excellent",5,IF(TRIM(AS146)="Very Good",4,IF(TRIM(AS146)="Good",3,IF(TRIM(AS146)="Average",2,0))))</f>
        <v>4</v>
      </c>
      <c r="AD146" s="7" t="n">
        <f aca="false">IF(COUNT(S146:AC146)=0,"",SUM(S146:AC146))</f>
        <v>59</v>
      </c>
      <c r="AE146" s="7"/>
      <c r="AF146" s="8"/>
      <c r="AG146" s="5"/>
      <c r="AH146" s="4"/>
      <c r="AI146" s="4" t="s">
        <v>62</v>
      </c>
      <c r="AJ146" s="4" t="s">
        <v>62</v>
      </c>
      <c r="AK146" s="4" t="s">
        <v>62</v>
      </c>
      <c r="AL146" s="4" t="s">
        <v>63</v>
      </c>
      <c r="AM146" s="4" t="s">
        <v>62</v>
      </c>
      <c r="AN146" s="4" t="s">
        <v>64</v>
      </c>
      <c r="AO146" s="4" t="s">
        <v>62</v>
      </c>
      <c r="AP146" s="4" t="s">
        <v>62</v>
      </c>
      <c r="AQ146" s="4" t="s">
        <v>62</v>
      </c>
      <c r="AR146" s="4" t="s">
        <v>62</v>
      </c>
      <c r="AS146" s="4" t="s">
        <v>74</v>
      </c>
      <c r="AT146" s="4" t="n">
        <v>6</v>
      </c>
      <c r="AU146" s="4" t="s">
        <v>66</v>
      </c>
      <c r="AV146" s="4" t="s">
        <v>67</v>
      </c>
      <c r="AW146" s="4" t="s">
        <v>510</v>
      </c>
      <c r="AX146" s="4" t="s">
        <v>511</v>
      </c>
      <c r="AY146" s="4" t="n">
        <v>15</v>
      </c>
      <c r="AZ146" s="4" t="s">
        <v>62</v>
      </c>
      <c r="BA146" s="4" t="s">
        <v>509</v>
      </c>
      <c r="BB146" s="4" t="s">
        <v>497</v>
      </c>
      <c r="BC146" s="6" t="n">
        <v>1</v>
      </c>
      <c r="BD146" s="4" t="n">
        <v>75</v>
      </c>
    </row>
    <row r="147" customFormat="false" ht="29.85" hidden="false" customHeight="false" outlineLevel="0" collapsed="false">
      <c r="A147" s="4" t="n">
        <v>53</v>
      </c>
      <c r="B147" s="4" t="s">
        <v>56</v>
      </c>
      <c r="C147" s="4" t="s">
        <v>57</v>
      </c>
      <c r="D147" s="4" t="s">
        <v>491</v>
      </c>
      <c r="E147" s="4" t="s">
        <v>500</v>
      </c>
      <c r="F147" s="4" t="n">
        <v>4807</v>
      </c>
      <c r="G147" s="5" t="s">
        <v>512</v>
      </c>
      <c r="H147" s="5" t="s">
        <v>127</v>
      </c>
      <c r="I147" s="4"/>
      <c r="J147" s="4"/>
      <c r="K147" s="4"/>
      <c r="L147" s="4" t="n">
        <v>20</v>
      </c>
      <c r="M147" s="4" t="n">
        <v>6</v>
      </c>
      <c r="N147" s="4" t="n">
        <v>14</v>
      </c>
      <c r="O147" s="4" t="n">
        <v>6</v>
      </c>
      <c r="P147" s="4" t="n">
        <v>0</v>
      </c>
      <c r="Q147" s="4" t="n">
        <v>6</v>
      </c>
      <c r="R147" s="6" t="n">
        <f aca="false">IF(N(L147)=0,0,O147/L147)</f>
        <v>0.3</v>
      </c>
      <c r="S147" s="4" t="n">
        <f aca="false">IF(R147="","",IF(R147&gt;=0.8,50,IF(R147&gt;=0.5,30,IF(R147&gt;=0.01,10,0))))</f>
        <v>10</v>
      </c>
      <c r="T147" s="4" t="n">
        <f aca="false">IF(TRIM(AI147)="Yes",2.5,0)</f>
        <v>0</v>
      </c>
      <c r="U147" s="4" t="n">
        <f aca="false">IF(TRIM(AJ147)="Yes",10,0)</f>
        <v>10</v>
      </c>
      <c r="V147" s="4" t="n">
        <f aca="false">IF(TRIM(AK147)="Yes",5,0)</f>
        <v>5</v>
      </c>
      <c r="W147" s="4" t="n">
        <f aca="false">IF(TRIM(AM147)="Yes",5,0)</f>
        <v>5</v>
      </c>
      <c r="X147" s="4" t="n">
        <f aca="false">IF(OR(TRIM(AN147)="Fully Available",TRIM(AN147)="Not Applicable"),5,IF(TRIM(AN147)="Partially Available",2.5,0))</f>
        <v>2.5</v>
      </c>
      <c r="Y147" s="4" t="n">
        <f aca="false">IF(TRIM(AO147)="Yes",5,0)</f>
        <v>5</v>
      </c>
      <c r="Z147" s="4" t="n">
        <f aca="false">IF(TRIM(AP147)="Yes",2.5,0)</f>
        <v>2.5</v>
      </c>
      <c r="AA147" s="4" t="n">
        <f aca="false">IF(TRIM(AQ147)="Yes",5,0)</f>
        <v>5</v>
      </c>
      <c r="AB147" s="4" t="n">
        <f aca="false">IF(OR(TRIM(AR147)="Yes",TRIM(AR147)="Not Applicable"),5,0)</f>
        <v>0</v>
      </c>
      <c r="AC147" s="4" t="n">
        <f aca="false">IF(TRIM(AS147)="Excellent",5,IF(TRIM(AS147)="Very Good",4,IF(TRIM(AS147)="Good",3,IF(TRIM(AS147)="Average",2,0))))</f>
        <v>4</v>
      </c>
      <c r="AD147" s="7" t="n">
        <f aca="false">IF(COUNT(S147:AC147)=0,"",SUM(S147:AC147))</f>
        <v>49</v>
      </c>
      <c r="AE147" s="7" t="n">
        <f aca="false">IF(COUNTIF($F$2:F147,F147)=1,IFERROR(AVERAGEIF($F:$F,F147,$AD:$AD),""),"")</f>
        <v>52.75</v>
      </c>
      <c r="AF147" s="8" t="str">
        <f aca="false">IF(AH147&lt;&gt;"",AH147,IF(AE147="","",IF(AE147&gt;=80,"Excellent",IF(AE147&gt;=70,"Very Good",IF(AE147&gt;=60,"Good",IF(AE147&gt;=50,"Average","Poor"))))))</f>
        <v>Average</v>
      </c>
      <c r="AG147" s="5"/>
      <c r="AH147" s="4"/>
      <c r="AI147" s="4" t="s">
        <v>82</v>
      </c>
      <c r="AJ147" s="4" t="s">
        <v>62</v>
      </c>
      <c r="AK147" s="4" t="s">
        <v>62</v>
      </c>
      <c r="AL147" s="4" t="s">
        <v>63</v>
      </c>
      <c r="AM147" s="4" t="s">
        <v>62</v>
      </c>
      <c r="AN147" s="4" t="s">
        <v>147</v>
      </c>
      <c r="AO147" s="4" t="s">
        <v>62</v>
      </c>
      <c r="AP147" s="4" t="s">
        <v>62</v>
      </c>
      <c r="AQ147" s="4" t="s">
        <v>62</v>
      </c>
      <c r="AR147" s="4" t="s">
        <v>82</v>
      </c>
      <c r="AS147" s="4" t="s">
        <v>74</v>
      </c>
      <c r="AT147" s="4" t="n">
        <v>4</v>
      </c>
      <c r="AU147" s="4" t="s">
        <v>112</v>
      </c>
      <c r="AV147" s="4" t="s">
        <v>67</v>
      </c>
      <c r="AW147" s="4" t="s">
        <v>513</v>
      </c>
      <c r="AX147" s="4" t="s">
        <v>368</v>
      </c>
      <c r="AY147" s="4" t="n">
        <v>8</v>
      </c>
      <c r="AZ147" s="4" t="s">
        <v>62</v>
      </c>
      <c r="BA147" s="4" t="s">
        <v>514</v>
      </c>
      <c r="BB147" s="4" t="s">
        <v>497</v>
      </c>
      <c r="BC147" s="6" t="n">
        <v>1</v>
      </c>
      <c r="BD147" s="4" t="n">
        <v>71</v>
      </c>
    </row>
    <row r="148" customFormat="false" ht="58.2" hidden="false" customHeight="false" outlineLevel="0" collapsed="false">
      <c r="A148" s="4"/>
      <c r="B148" s="4" t="s">
        <v>56</v>
      </c>
      <c r="C148" s="4" t="s">
        <v>57</v>
      </c>
      <c r="D148" s="4" t="s">
        <v>491</v>
      </c>
      <c r="E148" s="4" t="s">
        <v>500</v>
      </c>
      <c r="F148" s="4" t="n">
        <v>4807</v>
      </c>
      <c r="G148" s="5" t="s">
        <v>512</v>
      </c>
      <c r="H148" s="5" t="s">
        <v>430</v>
      </c>
      <c r="I148" s="4"/>
      <c r="J148" s="4"/>
      <c r="K148" s="4"/>
      <c r="L148" s="4" t="n">
        <v>20</v>
      </c>
      <c r="M148" s="4" t="n">
        <v>9</v>
      </c>
      <c r="N148" s="4" t="n">
        <v>11</v>
      </c>
      <c r="O148" s="4" t="n">
        <v>8</v>
      </c>
      <c r="P148" s="4" t="n">
        <v>1</v>
      </c>
      <c r="Q148" s="4" t="n">
        <v>5</v>
      </c>
      <c r="R148" s="6" t="n">
        <f aca="false">IF(N(L148)=0,0,O148/L148)</f>
        <v>0.4</v>
      </c>
      <c r="S148" s="4" t="n">
        <f aca="false">IF(R148="","",IF(R148&gt;=0.8,50,IF(R148&gt;=0.5,30,IF(R148&gt;=0.01,10,0))))</f>
        <v>10</v>
      </c>
      <c r="T148" s="4" t="n">
        <f aca="false">IF(TRIM(AI148)="Yes",2.5,0)</f>
        <v>0</v>
      </c>
      <c r="U148" s="4" t="n">
        <f aca="false">IF(TRIM(AJ148)="Yes",10,0)</f>
        <v>10</v>
      </c>
      <c r="V148" s="4" t="n">
        <f aca="false">IF(TRIM(AK148)="Yes",5,0)</f>
        <v>5</v>
      </c>
      <c r="W148" s="4" t="n">
        <f aca="false">IF(TRIM(AM148)="Yes",5,0)</f>
        <v>5</v>
      </c>
      <c r="X148" s="4" t="n">
        <f aca="false">IF(OR(TRIM(AN148)="Fully Available",TRIM(AN148)="Not Applicable"),5,IF(TRIM(AN148)="Partially Available",2.5,0))</f>
        <v>5</v>
      </c>
      <c r="Y148" s="4" t="n">
        <f aca="false">IF(TRIM(AO148)="Yes",5,0)</f>
        <v>5</v>
      </c>
      <c r="Z148" s="4" t="n">
        <f aca="false">IF(TRIM(AP148)="Yes",2.5,0)</f>
        <v>2.5</v>
      </c>
      <c r="AA148" s="4" t="n">
        <f aca="false">IF(TRIM(AQ148)="Yes",5,0)</f>
        <v>5</v>
      </c>
      <c r="AB148" s="4" t="n">
        <f aca="false">IF(OR(TRIM(AR148)="Yes",TRIM(AR148)="Not Applicable"),5,0)</f>
        <v>5</v>
      </c>
      <c r="AC148" s="4" t="n">
        <f aca="false">IF(TRIM(AS148)="Excellent",5,IF(TRIM(AS148)="Very Good",4,IF(TRIM(AS148)="Good",3,IF(TRIM(AS148)="Average",2,0))))</f>
        <v>4</v>
      </c>
      <c r="AD148" s="7" t="n">
        <f aca="false">IF(COUNT(S148:AC148)=0,"",SUM(S148:AC148))</f>
        <v>56.5</v>
      </c>
      <c r="AE148" s="7"/>
      <c r="AF148" s="8"/>
      <c r="AG148" s="5"/>
      <c r="AH148" s="4"/>
      <c r="AI148" s="4" t="s">
        <v>82</v>
      </c>
      <c r="AJ148" s="4" t="s">
        <v>62</v>
      </c>
      <c r="AK148" s="4" t="s">
        <v>62</v>
      </c>
      <c r="AL148" s="4" t="s">
        <v>63</v>
      </c>
      <c r="AM148" s="4" t="s">
        <v>62</v>
      </c>
      <c r="AN148" s="4" t="s">
        <v>64</v>
      </c>
      <c r="AO148" s="4" t="s">
        <v>62</v>
      </c>
      <c r="AP148" s="4" t="s">
        <v>62</v>
      </c>
      <c r="AQ148" s="4" t="s">
        <v>62</v>
      </c>
      <c r="AR148" s="4" t="s">
        <v>62</v>
      </c>
      <c r="AS148" s="4" t="s">
        <v>74</v>
      </c>
      <c r="AT148" s="4" t="n">
        <v>3</v>
      </c>
      <c r="AU148" s="4" t="s">
        <v>66</v>
      </c>
      <c r="AV148" s="4" t="s">
        <v>67</v>
      </c>
      <c r="AW148" s="4" t="s">
        <v>515</v>
      </c>
      <c r="AX148" s="4" t="s">
        <v>516</v>
      </c>
      <c r="AY148" s="4" t="n">
        <v>1</v>
      </c>
      <c r="AZ148" s="4" t="s">
        <v>62</v>
      </c>
      <c r="BA148" s="4" t="s">
        <v>514</v>
      </c>
      <c r="BB148" s="4" t="s">
        <v>497</v>
      </c>
      <c r="BC148" s="6" t="n">
        <v>0.625</v>
      </c>
      <c r="BD148" s="4" t="n">
        <v>71</v>
      </c>
    </row>
    <row r="149" customFormat="false" ht="100.7" hidden="false" customHeight="false" outlineLevel="0" collapsed="false">
      <c r="A149" s="4" t="n">
        <v>54</v>
      </c>
      <c r="B149" s="4" t="s">
        <v>56</v>
      </c>
      <c r="C149" s="4" t="s">
        <v>57</v>
      </c>
      <c r="D149" s="4" t="s">
        <v>491</v>
      </c>
      <c r="E149" s="4" t="s">
        <v>492</v>
      </c>
      <c r="F149" s="4" t="n">
        <v>1850</v>
      </c>
      <c r="G149" s="5" t="s">
        <v>517</v>
      </c>
      <c r="H149" s="5" t="s">
        <v>261</v>
      </c>
      <c r="I149" s="4"/>
      <c r="J149" s="4"/>
      <c r="K149" s="4"/>
      <c r="L149" s="4" t="n">
        <v>15</v>
      </c>
      <c r="M149" s="4" t="n">
        <v>15</v>
      </c>
      <c r="N149" s="4" t="n">
        <v>0</v>
      </c>
      <c r="O149" s="4" t="n">
        <v>14</v>
      </c>
      <c r="P149" s="4" t="n">
        <v>1</v>
      </c>
      <c r="Q149" s="4" t="n">
        <v>8</v>
      </c>
      <c r="R149" s="6" t="n">
        <f aca="false">IF(N(L149)=0,0,O149/L149)</f>
        <v>0.933333333333333</v>
      </c>
      <c r="S149" s="4" t="n">
        <f aca="false">IF(R149="","",IF(R149&gt;=0.8,50,IF(R149&gt;=0.5,30,IF(R149&gt;=0.01,10,0))))</f>
        <v>50</v>
      </c>
      <c r="T149" s="4" t="n">
        <f aca="false">IF(TRIM(AI149)="Yes",2.5,0)</f>
        <v>2.5</v>
      </c>
      <c r="U149" s="4" t="n">
        <f aca="false">IF(TRIM(AJ149)="Yes",10,0)</f>
        <v>10</v>
      </c>
      <c r="V149" s="4" t="n">
        <f aca="false">IF(TRIM(AK149)="Yes",5,0)</f>
        <v>5</v>
      </c>
      <c r="W149" s="4" t="n">
        <f aca="false">IF(TRIM(AM149)="Yes",5,0)</f>
        <v>5</v>
      </c>
      <c r="X149" s="4" t="n">
        <f aca="false">IF(OR(TRIM(AN149)="Fully Available",TRIM(AN149)="Not Applicable"),5,IF(TRIM(AN149)="Partially Available",2.5,0))</f>
        <v>5</v>
      </c>
      <c r="Y149" s="4" t="n">
        <f aca="false">IF(TRIM(AO149)="Yes",5,0)</f>
        <v>5</v>
      </c>
      <c r="Z149" s="4" t="n">
        <f aca="false">IF(TRIM(AP149)="Yes",2.5,0)</f>
        <v>2.5</v>
      </c>
      <c r="AA149" s="4" t="n">
        <f aca="false">IF(TRIM(AQ149)="Yes",5,0)</f>
        <v>5</v>
      </c>
      <c r="AB149" s="4" t="n">
        <f aca="false">IF(OR(TRIM(AR149)="Yes",TRIM(AR149)="Not Applicable"),5,0)</f>
        <v>5</v>
      </c>
      <c r="AC149" s="4" t="n">
        <f aca="false">IF(TRIM(AS149)="Excellent",5,IF(TRIM(AS149)="Very Good",4,IF(TRIM(AS149)="Good",3,IF(TRIM(AS149)="Average",2,0))))</f>
        <v>4</v>
      </c>
      <c r="AD149" s="7" t="n">
        <f aca="false">IF(COUNT(S149:AC149)=0,"",SUM(S149:AC149))</f>
        <v>99</v>
      </c>
      <c r="AE149" s="7" t="n">
        <f aca="false">IF(COUNTIF($F$2:F149,F149)=1,IFERROR(AVERAGEIF($F:$F,F149,$AD:$AD),""),"")</f>
        <v>99</v>
      </c>
      <c r="AF149" s="8" t="str">
        <f aca="false">IF(AH149&lt;&gt;"",AH149,IF(AE149="","",IF(AE149&gt;=80,"Excellent",IF(AE149&gt;=70,"Very Good",IF(AE149&gt;=60,"Good",IF(AE149&gt;=50,"Average","Poor"))))))</f>
        <v>Excellent</v>
      </c>
      <c r="AG149" s="5"/>
      <c r="AH149" s="4"/>
      <c r="AI149" s="4" t="s">
        <v>62</v>
      </c>
      <c r="AJ149" s="4" t="s">
        <v>62</v>
      </c>
      <c r="AK149" s="4" t="s">
        <v>62</v>
      </c>
      <c r="AL149" s="4" t="s">
        <v>63</v>
      </c>
      <c r="AM149" s="4" t="s">
        <v>62</v>
      </c>
      <c r="AN149" s="4" t="s">
        <v>64</v>
      </c>
      <c r="AO149" s="4" t="s">
        <v>62</v>
      </c>
      <c r="AP149" s="4" t="s">
        <v>62</v>
      </c>
      <c r="AQ149" s="4" t="s">
        <v>62</v>
      </c>
      <c r="AR149" s="4" t="s">
        <v>73</v>
      </c>
      <c r="AS149" s="4" t="s">
        <v>74</v>
      </c>
      <c r="AT149" s="4" t="n">
        <v>2</v>
      </c>
      <c r="AU149" s="4" t="s">
        <v>66</v>
      </c>
      <c r="AV149" s="4" t="s">
        <v>91</v>
      </c>
      <c r="AW149" s="4" t="s">
        <v>518</v>
      </c>
      <c r="AX149" s="4" t="s">
        <v>519</v>
      </c>
      <c r="AY149" s="4" t="n">
        <v>7</v>
      </c>
      <c r="AZ149" s="4" t="s">
        <v>62</v>
      </c>
      <c r="BA149" s="4" t="s">
        <v>520</v>
      </c>
      <c r="BB149" s="4" t="s">
        <v>497</v>
      </c>
      <c r="BC149" s="6" t="n">
        <v>0.5714</v>
      </c>
      <c r="BD149" s="4" t="n">
        <v>88</v>
      </c>
    </row>
    <row r="150" customFormat="false" ht="86.55" hidden="false" customHeight="false" outlineLevel="0" collapsed="false">
      <c r="A150" s="4" t="n">
        <v>55</v>
      </c>
      <c r="B150" s="4" t="s">
        <v>56</v>
      </c>
      <c r="C150" s="4" t="s">
        <v>57</v>
      </c>
      <c r="D150" s="4" t="s">
        <v>491</v>
      </c>
      <c r="E150" s="4" t="s">
        <v>500</v>
      </c>
      <c r="F150" s="4" t="n">
        <v>900</v>
      </c>
      <c r="G150" s="5" t="s">
        <v>521</v>
      </c>
      <c r="H150" s="5" t="s">
        <v>190</v>
      </c>
      <c r="I150" s="4"/>
      <c r="J150" s="4"/>
      <c r="K150" s="4"/>
      <c r="L150" s="4" t="n">
        <v>20</v>
      </c>
      <c r="M150" s="4" t="n">
        <v>18</v>
      </c>
      <c r="N150" s="4" t="n">
        <v>2</v>
      </c>
      <c r="O150" s="4" t="n">
        <v>10</v>
      </c>
      <c r="P150" s="4" t="n">
        <v>8</v>
      </c>
      <c r="Q150" s="4" t="n">
        <v>5</v>
      </c>
      <c r="R150" s="6" t="n">
        <f aca="false">IF(N(L150)=0,0,O150/L150)</f>
        <v>0.5</v>
      </c>
      <c r="S150" s="4" t="n">
        <f aca="false">IF(R150="","",IF(R150&gt;=0.8,50,IF(R150&gt;=0.5,30,IF(R150&gt;=0.01,10,0))))</f>
        <v>30</v>
      </c>
      <c r="T150" s="4" t="n">
        <f aca="false">IF(TRIM(AI150)="Yes",2.5,0)</f>
        <v>2.5</v>
      </c>
      <c r="U150" s="4" t="n">
        <f aca="false">IF(TRIM(AJ150)="Yes",10,0)</f>
        <v>10</v>
      </c>
      <c r="V150" s="4" t="n">
        <f aca="false">IF(TRIM(AK150)="Yes",5,0)</f>
        <v>5</v>
      </c>
      <c r="W150" s="4" t="n">
        <f aca="false">IF(TRIM(AM150)="Yes",5,0)</f>
        <v>5</v>
      </c>
      <c r="X150" s="4" t="n">
        <f aca="false">IF(OR(TRIM(AN150)="Fully Available",TRIM(AN150)="Not Applicable"),5,IF(TRIM(AN150)="Partially Available",2.5,0))</f>
        <v>5</v>
      </c>
      <c r="Y150" s="4" t="n">
        <f aca="false">IF(TRIM(AO150)="Yes",5,0)</f>
        <v>5</v>
      </c>
      <c r="Z150" s="4" t="n">
        <f aca="false">IF(TRIM(AP150)="Yes",2.5,0)</f>
        <v>2.5</v>
      </c>
      <c r="AA150" s="4" t="n">
        <f aca="false">IF(TRIM(AQ150)="Yes",5,0)</f>
        <v>5</v>
      </c>
      <c r="AB150" s="4" t="n">
        <f aca="false">IF(OR(TRIM(AR150)="Yes",TRIM(AR150)="Not Applicable"),5,0)</f>
        <v>5</v>
      </c>
      <c r="AC150" s="4" t="n">
        <f aca="false">IF(TRIM(AS150)="Excellent",5,IF(TRIM(AS150)="Very Good",4,IF(TRIM(AS150)="Good",3,IF(TRIM(AS150)="Average",2,0))))</f>
        <v>5</v>
      </c>
      <c r="AD150" s="7" t="n">
        <f aca="false">IF(COUNT(S150:AC150)=0,"",SUM(S150:AC150))</f>
        <v>80</v>
      </c>
      <c r="AE150" s="7" t="n">
        <f aca="false">IF(COUNTIF($F$2:F150,F150)=1,IFERROR(AVERAGEIF($F:$F,F150,$AD:$AD),""),"")</f>
        <v>90</v>
      </c>
      <c r="AF150" s="8" t="str">
        <f aca="false">IF(AH150&lt;&gt;"",AH150,IF(AE150="","",IF(AE150&gt;=80,"Excellent",IF(AE150&gt;=70,"Very Good",IF(AE150&gt;=60,"Good",IF(AE150&gt;=50,"Average","Poor"))))))</f>
        <v>Excellent</v>
      </c>
      <c r="AG150" s="5"/>
      <c r="AH150" s="4"/>
      <c r="AI150" s="4" t="s">
        <v>62</v>
      </c>
      <c r="AJ150" s="4" t="s">
        <v>62</v>
      </c>
      <c r="AK150" s="4" t="s">
        <v>62</v>
      </c>
      <c r="AL150" s="4" t="s">
        <v>63</v>
      </c>
      <c r="AM150" s="4" t="s">
        <v>62</v>
      </c>
      <c r="AN150" s="4" t="s">
        <v>64</v>
      </c>
      <c r="AO150" s="4" t="s">
        <v>62</v>
      </c>
      <c r="AP150" s="4" t="s">
        <v>62</v>
      </c>
      <c r="AQ150" s="4" t="s">
        <v>62</v>
      </c>
      <c r="AR150" s="4" t="s">
        <v>62</v>
      </c>
      <c r="AS150" s="4" t="s">
        <v>65</v>
      </c>
      <c r="AT150" s="4" t="n">
        <v>2</v>
      </c>
      <c r="AU150" s="4" t="s">
        <v>112</v>
      </c>
      <c r="AV150" s="4" t="s">
        <v>91</v>
      </c>
      <c r="AW150" s="4" t="s">
        <v>522</v>
      </c>
      <c r="AX150" s="4" t="s">
        <v>523</v>
      </c>
      <c r="AY150" s="4" t="n">
        <v>3</v>
      </c>
      <c r="AZ150" s="4" t="s">
        <v>62</v>
      </c>
      <c r="BA150" s="4" t="s">
        <v>524</v>
      </c>
      <c r="BB150" s="4" t="s">
        <v>497</v>
      </c>
      <c r="BC150" s="6" t="n">
        <v>0.5</v>
      </c>
      <c r="BD150" s="4" t="n">
        <v>90</v>
      </c>
    </row>
    <row r="151" customFormat="false" ht="86.55" hidden="false" customHeight="false" outlineLevel="0" collapsed="false">
      <c r="A151" s="4"/>
      <c r="B151" s="4" t="s">
        <v>56</v>
      </c>
      <c r="C151" s="4" t="s">
        <v>57</v>
      </c>
      <c r="D151" s="4" t="s">
        <v>491</v>
      </c>
      <c r="E151" s="4" t="s">
        <v>500</v>
      </c>
      <c r="F151" s="4" t="n">
        <v>900</v>
      </c>
      <c r="G151" s="5" t="s">
        <v>521</v>
      </c>
      <c r="H151" s="5" t="s">
        <v>298</v>
      </c>
      <c r="I151" s="4"/>
      <c r="J151" s="4"/>
      <c r="K151" s="4"/>
      <c r="L151" s="4" t="n">
        <v>20</v>
      </c>
      <c r="M151" s="4" t="n">
        <v>19</v>
      </c>
      <c r="N151" s="4" t="n">
        <v>1</v>
      </c>
      <c r="O151" s="4" t="n">
        <v>16</v>
      </c>
      <c r="P151" s="4" t="n">
        <v>3</v>
      </c>
      <c r="Q151" s="4" t="n">
        <v>8</v>
      </c>
      <c r="R151" s="6" t="n">
        <f aca="false">IF(N(L151)=0,0,O151/L151)</f>
        <v>0.8</v>
      </c>
      <c r="S151" s="4" t="n">
        <f aca="false">IF(R151="","",IF(R151&gt;=0.8,50,IF(R151&gt;=0.5,30,IF(R151&gt;=0.01,10,0))))</f>
        <v>50</v>
      </c>
      <c r="T151" s="4" t="n">
        <f aca="false">IF(TRIM(AI151)="Yes",2.5,0)</f>
        <v>2.5</v>
      </c>
      <c r="U151" s="4" t="n">
        <f aca="false">IF(TRIM(AJ151)="Yes",10,0)</f>
        <v>10</v>
      </c>
      <c r="V151" s="4" t="n">
        <f aca="false">IF(TRIM(AK151)="Yes",5,0)</f>
        <v>5</v>
      </c>
      <c r="W151" s="4" t="n">
        <f aca="false">IF(TRIM(AM151)="Yes",5,0)</f>
        <v>5</v>
      </c>
      <c r="X151" s="4" t="n">
        <f aca="false">IF(OR(TRIM(AN151)="Fully Available",TRIM(AN151)="Not Applicable"),5,IF(TRIM(AN151)="Partially Available",2.5,0))</f>
        <v>5</v>
      </c>
      <c r="Y151" s="4" t="n">
        <f aca="false">IF(TRIM(AO151)="Yes",5,0)</f>
        <v>5</v>
      </c>
      <c r="Z151" s="4" t="n">
        <f aca="false">IF(TRIM(AP151)="Yes",2.5,0)</f>
        <v>2.5</v>
      </c>
      <c r="AA151" s="4" t="n">
        <f aca="false">IF(TRIM(AQ151)="Yes",5,0)</f>
        <v>5</v>
      </c>
      <c r="AB151" s="4" t="n">
        <f aca="false">IF(OR(TRIM(AR151)="Yes",TRIM(AR151)="Not Applicable"),5,0)</f>
        <v>5</v>
      </c>
      <c r="AC151" s="4" t="n">
        <f aca="false">IF(TRIM(AS151)="Excellent",5,IF(TRIM(AS151)="Very Good",4,IF(TRIM(AS151)="Good",3,IF(TRIM(AS151)="Average",2,0))))</f>
        <v>5</v>
      </c>
      <c r="AD151" s="7" t="n">
        <f aca="false">IF(COUNT(S151:AC151)=0,"",SUM(S151:AC151))</f>
        <v>100</v>
      </c>
      <c r="AE151" s="7"/>
      <c r="AF151" s="8"/>
      <c r="AG151" s="5"/>
      <c r="AH151" s="4"/>
      <c r="AI151" s="4" t="s">
        <v>62</v>
      </c>
      <c r="AJ151" s="4" t="s">
        <v>62</v>
      </c>
      <c r="AK151" s="4" t="s">
        <v>62</v>
      </c>
      <c r="AL151" s="4" t="s">
        <v>63</v>
      </c>
      <c r="AM151" s="4" t="s">
        <v>62</v>
      </c>
      <c r="AN151" s="4" t="s">
        <v>64</v>
      </c>
      <c r="AO151" s="4" t="s">
        <v>62</v>
      </c>
      <c r="AP151" s="4" t="s">
        <v>62</v>
      </c>
      <c r="AQ151" s="4" t="s">
        <v>62</v>
      </c>
      <c r="AR151" s="4" t="s">
        <v>62</v>
      </c>
      <c r="AS151" s="4" t="s">
        <v>65</v>
      </c>
      <c r="AT151" s="4" t="n">
        <v>10</v>
      </c>
      <c r="AU151" s="4" t="s">
        <v>112</v>
      </c>
      <c r="AV151" s="4" t="s">
        <v>91</v>
      </c>
      <c r="AW151" s="4" t="s">
        <v>525</v>
      </c>
      <c r="AX151" s="4" t="s">
        <v>526</v>
      </c>
      <c r="AY151" s="4" t="n">
        <v>20</v>
      </c>
      <c r="AZ151" s="4" t="s">
        <v>62</v>
      </c>
      <c r="BA151" s="4" t="s">
        <v>524</v>
      </c>
      <c r="BB151" s="4" t="s">
        <v>497</v>
      </c>
      <c r="BC151" s="6" t="n">
        <v>0.5</v>
      </c>
      <c r="BD151" s="4" t="n">
        <v>90</v>
      </c>
    </row>
    <row r="152" customFormat="false" ht="86.55" hidden="false" customHeight="false" outlineLevel="0" collapsed="false">
      <c r="A152" s="4" t="n">
        <v>56</v>
      </c>
      <c r="B152" s="4" t="s">
        <v>56</v>
      </c>
      <c r="C152" s="4" t="s">
        <v>57</v>
      </c>
      <c r="D152" s="4" t="s">
        <v>491</v>
      </c>
      <c r="E152" s="4" t="s">
        <v>500</v>
      </c>
      <c r="F152" s="4" t="n">
        <v>4470</v>
      </c>
      <c r="G152" s="5" t="s">
        <v>527</v>
      </c>
      <c r="H152" s="5" t="s">
        <v>528</v>
      </c>
      <c r="I152" s="4"/>
      <c r="J152" s="4"/>
      <c r="K152" s="4"/>
      <c r="L152" s="4" t="n">
        <v>20</v>
      </c>
      <c r="M152" s="4" t="n">
        <v>20</v>
      </c>
      <c r="N152" s="4" t="n">
        <v>0</v>
      </c>
      <c r="O152" s="4" t="n">
        <v>18</v>
      </c>
      <c r="P152" s="4" t="n">
        <v>2</v>
      </c>
      <c r="Q152" s="4" t="n">
        <v>8</v>
      </c>
      <c r="R152" s="6" t="n">
        <f aca="false">IF(N(L152)=0,0,O152/L152)</f>
        <v>0.9</v>
      </c>
      <c r="S152" s="4" t="n">
        <f aca="false">IF(R152="","",IF(R152&gt;=0.8,50,IF(R152&gt;=0.5,30,IF(R152&gt;=0.01,10,0))))</f>
        <v>50</v>
      </c>
      <c r="T152" s="4" t="n">
        <f aca="false">IF(TRIM(AI152)="Yes",2.5,0)</f>
        <v>2.5</v>
      </c>
      <c r="U152" s="4" t="n">
        <f aca="false">IF(TRIM(AJ152)="Yes",10,0)</f>
        <v>10</v>
      </c>
      <c r="V152" s="4" t="n">
        <f aca="false">IF(TRIM(AK152)="Yes",5,0)</f>
        <v>5</v>
      </c>
      <c r="W152" s="4" t="n">
        <f aca="false">IF(TRIM(AM152)="Yes",5,0)</f>
        <v>5</v>
      </c>
      <c r="X152" s="4" t="n">
        <f aca="false">IF(OR(TRIM(AN152)="Fully Available",TRIM(AN152)="Not Applicable"),5,IF(TRIM(AN152)="Partially Available",2.5,0))</f>
        <v>5</v>
      </c>
      <c r="Y152" s="4" t="n">
        <f aca="false">IF(TRIM(AO152)="Yes",5,0)</f>
        <v>5</v>
      </c>
      <c r="Z152" s="4" t="n">
        <f aca="false">IF(TRIM(AP152)="Yes",2.5,0)</f>
        <v>0</v>
      </c>
      <c r="AA152" s="4" t="n">
        <f aca="false">IF(TRIM(AQ152)="Yes",5,0)</f>
        <v>5</v>
      </c>
      <c r="AB152" s="4" t="n">
        <f aca="false">IF(OR(TRIM(AR152)="Yes",TRIM(AR152)="Not Applicable"),5,0)</f>
        <v>5</v>
      </c>
      <c r="AC152" s="4" t="n">
        <f aca="false">IF(TRIM(AS152)="Excellent",5,IF(TRIM(AS152)="Very Good",4,IF(TRIM(AS152)="Good",3,IF(TRIM(AS152)="Average",2,0))))</f>
        <v>5</v>
      </c>
      <c r="AD152" s="7" t="n">
        <f aca="false">IF(COUNT(S152:AC152)=0,"",SUM(S152:AC152))</f>
        <v>97.5</v>
      </c>
      <c r="AE152" s="7" t="n">
        <f aca="false">IF(COUNTIF($F$2:F152,F152)=1,IFERROR(AVERAGEIF($F:$F,F152,$AD:$AD),""),"")</f>
        <v>97.5</v>
      </c>
      <c r="AF152" s="8" t="str">
        <f aca="false">IF(AH152&lt;&gt;"",AH152,IF(AE152="","",IF(AE152&gt;=80,"Excellent",IF(AE152&gt;=70,"Very Good",IF(AE152&gt;=60,"Good",IF(AE152&gt;=50,"Average","Poor"))))))</f>
        <v>Excellent</v>
      </c>
      <c r="AG152" s="5"/>
      <c r="AH152" s="4"/>
      <c r="AI152" s="4" t="s">
        <v>62</v>
      </c>
      <c r="AJ152" s="4" t="s">
        <v>62</v>
      </c>
      <c r="AK152" s="4" t="s">
        <v>62</v>
      </c>
      <c r="AL152" s="4" t="s">
        <v>63</v>
      </c>
      <c r="AM152" s="4" t="s">
        <v>62</v>
      </c>
      <c r="AN152" s="4" t="s">
        <v>64</v>
      </c>
      <c r="AO152" s="4" t="s">
        <v>62</v>
      </c>
      <c r="AP152" s="4" t="s">
        <v>82</v>
      </c>
      <c r="AQ152" s="4" t="s">
        <v>62</v>
      </c>
      <c r="AR152" s="4" t="s">
        <v>62</v>
      </c>
      <c r="AS152" s="4" t="s">
        <v>65</v>
      </c>
      <c r="AT152" s="4" t="n">
        <v>25</v>
      </c>
      <c r="AU152" s="4" t="s">
        <v>66</v>
      </c>
      <c r="AV152" s="4" t="s">
        <v>91</v>
      </c>
      <c r="AW152" s="4" t="s">
        <v>529</v>
      </c>
      <c r="AX152" s="4" t="s">
        <v>530</v>
      </c>
      <c r="AY152" s="4" t="n">
        <v>12</v>
      </c>
      <c r="AZ152" s="4" t="s">
        <v>62</v>
      </c>
      <c r="BA152" s="4" t="s">
        <v>531</v>
      </c>
      <c r="BB152" s="4" t="s">
        <v>497</v>
      </c>
      <c r="BC152" s="6" t="n">
        <v>0.4444</v>
      </c>
      <c r="BD152" s="4" t="n">
        <v>97</v>
      </c>
    </row>
    <row r="153" customFormat="false" ht="100.7" hidden="false" customHeight="false" outlineLevel="0" collapsed="false">
      <c r="A153" s="4" t="n">
        <v>57</v>
      </c>
      <c r="B153" s="4" t="s">
        <v>56</v>
      </c>
      <c r="C153" s="4" t="s">
        <v>57</v>
      </c>
      <c r="D153" s="4" t="s">
        <v>491</v>
      </c>
      <c r="E153" s="4" t="s">
        <v>505</v>
      </c>
      <c r="F153" s="4" t="n">
        <v>2055</v>
      </c>
      <c r="G153" s="5" t="s">
        <v>532</v>
      </c>
      <c r="H153" s="5" t="s">
        <v>238</v>
      </c>
      <c r="I153" s="4"/>
      <c r="J153" s="4"/>
      <c r="K153" s="4"/>
      <c r="L153" s="4" t="n">
        <v>15</v>
      </c>
      <c r="M153" s="4" t="n">
        <v>14</v>
      </c>
      <c r="N153" s="4" t="n">
        <v>1</v>
      </c>
      <c r="O153" s="4" t="n">
        <v>14</v>
      </c>
      <c r="P153" s="4" t="n">
        <v>0</v>
      </c>
      <c r="Q153" s="4" t="n">
        <v>6</v>
      </c>
      <c r="R153" s="6" t="n">
        <f aca="false">IF(N(L153)=0,0,O153/L153)</f>
        <v>0.933333333333333</v>
      </c>
      <c r="S153" s="4" t="n">
        <f aca="false">IF(R153="","",IF(R153&gt;=0.8,50,IF(R153&gt;=0.5,30,IF(R153&gt;=0.01,10,0))))</f>
        <v>50</v>
      </c>
      <c r="T153" s="4" t="n">
        <f aca="false">IF(TRIM(AI153)="Yes",2.5,0)</f>
        <v>2.5</v>
      </c>
      <c r="U153" s="4" t="n">
        <f aca="false">IF(TRIM(AJ153)="Yes",10,0)</f>
        <v>10</v>
      </c>
      <c r="V153" s="4" t="n">
        <f aca="false">IF(TRIM(AK153)="Yes",5,0)</f>
        <v>5</v>
      </c>
      <c r="W153" s="4" t="n">
        <f aca="false">IF(TRIM(AM153)="Yes",5,0)</f>
        <v>5</v>
      </c>
      <c r="X153" s="4" t="n">
        <f aca="false">IF(OR(TRIM(AN153)="Fully Available",TRIM(AN153)="Not Applicable"),5,IF(TRIM(AN153)="Partially Available",2.5,0))</f>
        <v>5</v>
      </c>
      <c r="Y153" s="4" t="n">
        <f aca="false">IF(TRIM(AO153)="Yes",5,0)</f>
        <v>5</v>
      </c>
      <c r="Z153" s="4" t="n">
        <f aca="false">IF(TRIM(AP153)="Yes",2.5,0)</f>
        <v>2.5</v>
      </c>
      <c r="AA153" s="4" t="n">
        <f aca="false">IF(TRIM(AQ153)="Yes",5,0)</f>
        <v>5</v>
      </c>
      <c r="AB153" s="4" t="n">
        <f aca="false">IF(OR(TRIM(AR153)="Yes",TRIM(AR153)="Not Applicable"),5,0)</f>
        <v>5</v>
      </c>
      <c r="AC153" s="4" t="n">
        <f aca="false">IF(TRIM(AS153)="Excellent",5,IF(TRIM(AS153)="Very Good",4,IF(TRIM(AS153)="Good",3,IF(TRIM(AS153)="Average",2,0))))</f>
        <v>3</v>
      </c>
      <c r="AD153" s="7" t="n">
        <f aca="false">IF(COUNT(S153:AC153)=0,"",SUM(S153:AC153))</f>
        <v>98</v>
      </c>
      <c r="AE153" s="7" t="n">
        <f aca="false">IF(COUNTIF($F$2:F153,F153)=1,IFERROR(AVERAGEIF($F:$F,F153,$AD:$AD),""),"")</f>
        <v>98</v>
      </c>
      <c r="AF153" s="8" t="str">
        <f aca="false">IF(AH153&lt;&gt;"",AH153,IF(AE153="","",IF(AE153&gt;=80,"Excellent",IF(AE153&gt;=70,"Very Good",IF(AE153&gt;=60,"Good",IF(AE153&gt;=50,"Average","Poor"))))))</f>
        <v>Excellent</v>
      </c>
      <c r="AG153" s="5"/>
      <c r="AH153" s="4"/>
      <c r="AI153" s="4" t="s">
        <v>62</v>
      </c>
      <c r="AJ153" s="4" t="s">
        <v>62</v>
      </c>
      <c r="AK153" s="4" t="s">
        <v>62</v>
      </c>
      <c r="AL153" s="4" t="s">
        <v>63</v>
      </c>
      <c r="AM153" s="4" t="s">
        <v>62</v>
      </c>
      <c r="AN153" s="4" t="s">
        <v>64</v>
      </c>
      <c r="AO153" s="4" t="s">
        <v>62</v>
      </c>
      <c r="AP153" s="4" t="s">
        <v>62</v>
      </c>
      <c r="AQ153" s="4" t="s">
        <v>62</v>
      </c>
      <c r="AR153" s="4" t="s">
        <v>62</v>
      </c>
      <c r="AS153" s="4" t="s">
        <v>185</v>
      </c>
      <c r="AT153" s="4" t="n">
        <v>45</v>
      </c>
      <c r="AU153" s="4" t="s">
        <v>66</v>
      </c>
      <c r="AV153" s="4" t="s">
        <v>91</v>
      </c>
      <c r="AW153" s="4" t="s">
        <v>533</v>
      </c>
      <c r="AX153" s="4" t="s">
        <v>534</v>
      </c>
      <c r="AY153" s="4" t="n">
        <v>2</v>
      </c>
      <c r="AZ153" s="4" t="s">
        <v>62</v>
      </c>
      <c r="BA153" s="4" t="s">
        <v>535</v>
      </c>
      <c r="BB153" s="4" t="s">
        <v>497</v>
      </c>
      <c r="BC153" s="6" t="n">
        <v>0.4286</v>
      </c>
      <c r="BD153" s="4" t="n">
        <v>98</v>
      </c>
    </row>
    <row r="154" customFormat="false" ht="100.7" hidden="false" customHeight="false" outlineLevel="0" collapsed="false">
      <c r="A154" s="4" t="n">
        <v>58</v>
      </c>
      <c r="B154" s="4" t="s">
        <v>56</v>
      </c>
      <c r="C154" s="4" t="s">
        <v>57</v>
      </c>
      <c r="D154" s="4" t="s">
        <v>491</v>
      </c>
      <c r="E154" s="4" t="s">
        <v>505</v>
      </c>
      <c r="F154" s="4" t="n">
        <v>5860</v>
      </c>
      <c r="G154" s="5" t="s">
        <v>536</v>
      </c>
      <c r="H154" s="5" t="s">
        <v>261</v>
      </c>
      <c r="I154" s="4"/>
      <c r="J154" s="4"/>
      <c r="K154" s="4"/>
      <c r="L154" s="4" t="n">
        <v>20</v>
      </c>
      <c r="M154" s="4" t="n">
        <v>20</v>
      </c>
      <c r="N154" s="4" t="n">
        <v>0</v>
      </c>
      <c r="O154" s="4" t="n">
        <v>17</v>
      </c>
      <c r="P154" s="4" t="n">
        <v>3</v>
      </c>
      <c r="Q154" s="4" t="n">
        <v>8</v>
      </c>
      <c r="R154" s="6" t="n">
        <f aca="false">IF(N(L154)=0,0,O154/L154)</f>
        <v>0.85</v>
      </c>
      <c r="S154" s="4" t="n">
        <f aca="false">IF(R154="","",IF(R154&gt;=0.8,50,IF(R154&gt;=0.5,30,IF(R154&gt;=0.01,10,0))))</f>
        <v>50</v>
      </c>
      <c r="T154" s="4" t="n">
        <f aca="false">IF(TRIM(AI154)="Yes",2.5,0)</f>
        <v>2.5</v>
      </c>
      <c r="U154" s="4" t="n">
        <f aca="false">IF(TRIM(AJ154)="Yes",10,0)</f>
        <v>10</v>
      </c>
      <c r="V154" s="4" t="n">
        <f aca="false">IF(TRIM(AK154)="Yes",5,0)</f>
        <v>5</v>
      </c>
      <c r="W154" s="4" t="n">
        <f aca="false">IF(TRIM(AM154)="Yes",5,0)</f>
        <v>5</v>
      </c>
      <c r="X154" s="4" t="n">
        <f aca="false">IF(OR(TRIM(AN154)="Fully Available",TRIM(AN154)="Not Applicable"),5,IF(TRIM(AN154)="Partially Available",2.5,0))</f>
        <v>5</v>
      </c>
      <c r="Y154" s="4" t="n">
        <f aca="false">IF(TRIM(AO154)="Yes",5,0)</f>
        <v>0</v>
      </c>
      <c r="Z154" s="4" t="n">
        <f aca="false">IF(TRIM(AP154)="Yes",2.5,0)</f>
        <v>2.5</v>
      </c>
      <c r="AA154" s="4" t="n">
        <f aca="false">IF(TRIM(AQ154)="Yes",5,0)</f>
        <v>5</v>
      </c>
      <c r="AB154" s="4" t="n">
        <f aca="false">IF(OR(TRIM(AR154)="Yes",TRIM(AR154)="Not Applicable"),5,0)</f>
        <v>5</v>
      </c>
      <c r="AC154" s="4" t="n">
        <f aca="false">IF(TRIM(AS154)="Excellent",5,IF(TRIM(AS154)="Very Good",4,IF(TRIM(AS154)="Good",3,IF(TRIM(AS154)="Average",2,0))))</f>
        <v>3</v>
      </c>
      <c r="AD154" s="7" t="n">
        <f aca="false">IF(COUNT(S154:AC154)=0,"",SUM(S154:AC154))</f>
        <v>93</v>
      </c>
      <c r="AE154" s="7" t="n">
        <f aca="false">IF(COUNTIF($F$2:F154,F154)=1,IFERROR(AVERAGEIF($F:$F,F154,$AD:$AD),""),"")</f>
        <v>93</v>
      </c>
      <c r="AF154" s="8" t="str">
        <f aca="false">IF(AH154&lt;&gt;"",AH154,IF(AE154="","",IF(AE154&gt;=80,"Excellent",IF(AE154&gt;=70,"Very Good",IF(AE154&gt;=60,"Good",IF(AE154&gt;=50,"Average","Poor"))))))</f>
        <v>Excellent</v>
      </c>
      <c r="AG154" s="5"/>
      <c r="AH154" s="4"/>
      <c r="AI154" s="4" t="s">
        <v>62</v>
      </c>
      <c r="AJ154" s="4" t="s">
        <v>62</v>
      </c>
      <c r="AK154" s="4" t="s">
        <v>62</v>
      </c>
      <c r="AL154" s="4" t="s">
        <v>63</v>
      </c>
      <c r="AM154" s="4" t="s">
        <v>62</v>
      </c>
      <c r="AN154" s="4" t="s">
        <v>64</v>
      </c>
      <c r="AO154" s="4" t="s">
        <v>82</v>
      </c>
      <c r="AP154" s="4" t="s">
        <v>62</v>
      </c>
      <c r="AQ154" s="4" t="s">
        <v>62</v>
      </c>
      <c r="AR154" s="4" t="s">
        <v>62</v>
      </c>
      <c r="AS154" s="4" t="s">
        <v>185</v>
      </c>
      <c r="AT154" s="4" t="n">
        <v>7</v>
      </c>
      <c r="AU154" s="4" t="s">
        <v>66</v>
      </c>
      <c r="AV154" s="4" t="s">
        <v>128</v>
      </c>
      <c r="AW154" s="4" t="s">
        <v>537</v>
      </c>
      <c r="AX154" s="4" t="s">
        <v>538</v>
      </c>
      <c r="AY154" s="4" t="n">
        <v>3</v>
      </c>
      <c r="AZ154" s="4" t="s">
        <v>62</v>
      </c>
      <c r="BA154" s="4" t="s">
        <v>539</v>
      </c>
      <c r="BB154" s="4" t="s">
        <v>497</v>
      </c>
      <c r="BC154" s="6" t="n">
        <v>0.4706</v>
      </c>
      <c r="BD154" s="4" t="n">
        <v>86</v>
      </c>
    </row>
    <row r="155" customFormat="false" ht="129.1" hidden="false" customHeight="false" outlineLevel="0" collapsed="false">
      <c r="A155" s="4" t="n">
        <v>59</v>
      </c>
      <c r="B155" s="4" t="s">
        <v>56</v>
      </c>
      <c r="C155" s="4" t="s">
        <v>57</v>
      </c>
      <c r="D155" s="4" t="s">
        <v>491</v>
      </c>
      <c r="E155" s="4" t="s">
        <v>500</v>
      </c>
      <c r="F155" s="4" t="n">
        <v>5904</v>
      </c>
      <c r="G155" s="5" t="s">
        <v>540</v>
      </c>
      <c r="H155" s="5" t="s">
        <v>168</v>
      </c>
      <c r="I155" s="4"/>
      <c r="J155" s="4"/>
      <c r="K155" s="4"/>
      <c r="L155" s="4" t="n">
        <v>100</v>
      </c>
      <c r="M155" s="4" t="n">
        <v>99</v>
      </c>
      <c r="N155" s="4" t="n">
        <v>1</v>
      </c>
      <c r="O155" s="4" t="n">
        <v>61</v>
      </c>
      <c r="P155" s="4" t="n">
        <v>38</v>
      </c>
      <c r="Q155" s="4" t="n">
        <v>25</v>
      </c>
      <c r="R155" s="6" t="n">
        <f aca="false">IF(N(L155)=0,0,O155/L155)</f>
        <v>0.61</v>
      </c>
      <c r="S155" s="4" t="n">
        <f aca="false">IF(R155="","",IF(R155&gt;=0.8,50,IF(R155&gt;=0.5,30,IF(R155&gt;=0.01,10,0))))</f>
        <v>30</v>
      </c>
      <c r="T155" s="4" t="n">
        <f aca="false">IF(TRIM(AI155)="Yes",2.5,0)</f>
        <v>2.5</v>
      </c>
      <c r="U155" s="4" t="n">
        <f aca="false">IF(TRIM(AJ155)="Yes",10,0)</f>
        <v>10</v>
      </c>
      <c r="V155" s="4" t="n">
        <f aca="false">IF(TRIM(AK155)="Yes",5,0)</f>
        <v>5</v>
      </c>
      <c r="W155" s="4" t="n">
        <f aca="false">IF(TRIM(AM155)="Yes",5,0)</f>
        <v>5</v>
      </c>
      <c r="X155" s="4" t="n">
        <f aca="false">IF(OR(TRIM(AN155)="Fully Available",TRIM(AN155)="Not Applicable"),5,IF(TRIM(AN155)="Partially Available",2.5,0))</f>
        <v>5</v>
      </c>
      <c r="Y155" s="4" t="n">
        <f aca="false">IF(TRIM(AO155)="Yes",5,0)</f>
        <v>5</v>
      </c>
      <c r="Z155" s="4" t="n">
        <f aca="false">IF(TRIM(AP155)="Yes",2.5,0)</f>
        <v>2.5</v>
      </c>
      <c r="AA155" s="4" t="n">
        <f aca="false">IF(TRIM(AQ155)="Yes",5,0)</f>
        <v>5</v>
      </c>
      <c r="AB155" s="4" t="n">
        <f aca="false">IF(OR(TRIM(AR155)="Yes",TRIM(AR155)="Not Applicable"),5,0)</f>
        <v>5</v>
      </c>
      <c r="AC155" s="4" t="n">
        <f aca="false">IF(TRIM(AS155)="Excellent",5,IF(TRIM(AS155)="Very Good",4,IF(TRIM(AS155)="Good",3,IF(TRIM(AS155)="Average",2,0))))</f>
        <v>5</v>
      </c>
      <c r="AD155" s="7" t="n">
        <f aca="false">IF(COUNT(S155:AC155)=0,"",SUM(S155:AC155))</f>
        <v>80</v>
      </c>
      <c r="AE155" s="7" t="n">
        <f aca="false">IF(COUNTIF($F$2:F155,F155)=1,IFERROR(AVERAGEIF($F:$F,F155,$AD:$AD),""),"")</f>
        <v>90</v>
      </c>
      <c r="AF155" s="8" t="str">
        <f aca="false">IF(AH155&lt;&gt;"",AH155,IF(AE155="","",IF(AE155&gt;=80,"Excellent",IF(AE155&gt;=70,"Very Good",IF(AE155&gt;=60,"Good",IF(AE155&gt;=50,"Average","Poor"))))))</f>
        <v>Excellent</v>
      </c>
      <c r="AG155" s="5"/>
      <c r="AH155" s="4"/>
      <c r="AI155" s="4" t="s">
        <v>62</v>
      </c>
      <c r="AJ155" s="4" t="s">
        <v>62</v>
      </c>
      <c r="AK155" s="4" t="s">
        <v>62</v>
      </c>
      <c r="AL155" s="4" t="s">
        <v>63</v>
      </c>
      <c r="AM155" s="4" t="s">
        <v>62</v>
      </c>
      <c r="AN155" s="4" t="s">
        <v>64</v>
      </c>
      <c r="AO155" s="4" t="s">
        <v>62</v>
      </c>
      <c r="AP155" s="4" t="s">
        <v>62</v>
      </c>
      <c r="AQ155" s="4" t="s">
        <v>62</v>
      </c>
      <c r="AR155" s="4" t="s">
        <v>73</v>
      </c>
      <c r="AS155" s="4" t="s">
        <v>65</v>
      </c>
      <c r="AT155" s="4" t="n">
        <v>6</v>
      </c>
      <c r="AU155" s="4" t="s">
        <v>66</v>
      </c>
      <c r="AV155" s="4" t="s">
        <v>128</v>
      </c>
      <c r="AW155" s="4" t="s">
        <v>541</v>
      </c>
      <c r="AX155" s="4" t="s">
        <v>542</v>
      </c>
      <c r="AY155" s="4" t="n">
        <v>3</v>
      </c>
      <c r="AZ155" s="4" t="s">
        <v>62</v>
      </c>
      <c r="BA155" s="4" t="s">
        <v>543</v>
      </c>
      <c r="BB155" s="4" t="s">
        <v>497</v>
      </c>
      <c r="BC155" s="6" t="n">
        <v>0.4098</v>
      </c>
      <c r="BD155" s="4" t="n">
        <v>91</v>
      </c>
    </row>
    <row r="156" customFormat="false" ht="129.1" hidden="false" customHeight="false" outlineLevel="0" collapsed="false">
      <c r="A156" s="4"/>
      <c r="B156" s="4" t="s">
        <v>56</v>
      </c>
      <c r="C156" s="4" t="s">
        <v>57</v>
      </c>
      <c r="D156" s="4" t="s">
        <v>491</v>
      </c>
      <c r="E156" s="4" t="s">
        <v>500</v>
      </c>
      <c r="F156" s="4" t="n">
        <v>5904</v>
      </c>
      <c r="G156" s="5" t="s">
        <v>540</v>
      </c>
      <c r="H156" s="5" t="s">
        <v>169</v>
      </c>
      <c r="I156" s="4"/>
      <c r="J156" s="4"/>
      <c r="K156" s="4"/>
      <c r="L156" s="4" t="n">
        <v>60</v>
      </c>
      <c r="M156" s="4" t="n">
        <v>60</v>
      </c>
      <c r="N156" s="4" t="n">
        <v>0</v>
      </c>
      <c r="O156" s="4" t="n">
        <v>44</v>
      </c>
      <c r="P156" s="4" t="n">
        <v>16</v>
      </c>
      <c r="Q156" s="4" t="n">
        <v>15</v>
      </c>
      <c r="R156" s="6" t="n">
        <f aca="false">IF(N(L156)=0,0,O156/L156)</f>
        <v>0.733333333333333</v>
      </c>
      <c r="S156" s="4" t="n">
        <f aca="false">IF(R156="","",IF(R156&gt;=0.8,50,IF(R156&gt;=0.5,30,IF(R156&gt;=0.01,10,0))))</f>
        <v>30</v>
      </c>
      <c r="T156" s="4" t="n">
        <f aca="false">IF(TRIM(AI156)="Yes",2.5,0)</f>
        <v>2.5</v>
      </c>
      <c r="U156" s="4" t="n">
        <f aca="false">IF(TRIM(AJ156)="Yes",10,0)</f>
        <v>10</v>
      </c>
      <c r="V156" s="4" t="n">
        <f aca="false">IF(TRIM(AK156)="Yes",5,0)</f>
        <v>5</v>
      </c>
      <c r="W156" s="4" t="n">
        <f aca="false">IF(TRIM(AM156)="Yes",5,0)</f>
        <v>5</v>
      </c>
      <c r="X156" s="4" t="n">
        <f aca="false">IF(OR(TRIM(AN156)="Fully Available",TRIM(AN156)="Not Applicable"),5,IF(TRIM(AN156)="Partially Available",2.5,0))</f>
        <v>5</v>
      </c>
      <c r="Y156" s="4" t="n">
        <f aca="false">IF(TRIM(AO156)="Yes",5,0)</f>
        <v>5</v>
      </c>
      <c r="Z156" s="4" t="n">
        <f aca="false">IF(TRIM(AP156)="Yes",2.5,0)</f>
        <v>2.5</v>
      </c>
      <c r="AA156" s="4" t="n">
        <f aca="false">IF(TRIM(AQ156)="Yes",5,0)</f>
        <v>5</v>
      </c>
      <c r="AB156" s="4" t="n">
        <f aca="false">IF(OR(TRIM(AR156)="Yes",TRIM(AR156)="Not Applicable"),5,0)</f>
        <v>5</v>
      </c>
      <c r="AC156" s="4" t="n">
        <f aca="false">IF(TRIM(AS156)="Excellent",5,IF(TRIM(AS156)="Very Good",4,IF(TRIM(AS156)="Good",3,IF(TRIM(AS156)="Average",2,0))))</f>
        <v>5</v>
      </c>
      <c r="AD156" s="7" t="n">
        <f aca="false">IF(COUNT(S156:AC156)=0,"",SUM(S156:AC156))</f>
        <v>80</v>
      </c>
      <c r="AE156" s="7"/>
      <c r="AF156" s="8"/>
      <c r="AG156" s="5"/>
      <c r="AH156" s="4"/>
      <c r="AI156" s="4" t="s">
        <v>62</v>
      </c>
      <c r="AJ156" s="4" t="s">
        <v>62</v>
      </c>
      <c r="AK156" s="4" t="s">
        <v>62</v>
      </c>
      <c r="AL156" s="4" t="s">
        <v>63</v>
      </c>
      <c r="AM156" s="4" t="s">
        <v>62</v>
      </c>
      <c r="AN156" s="4" t="s">
        <v>64</v>
      </c>
      <c r="AO156" s="4" t="s">
        <v>62</v>
      </c>
      <c r="AP156" s="4" t="s">
        <v>62</v>
      </c>
      <c r="AQ156" s="4" t="s">
        <v>62</v>
      </c>
      <c r="AR156" s="4" t="s">
        <v>73</v>
      </c>
      <c r="AS156" s="4" t="s">
        <v>65</v>
      </c>
      <c r="AT156" s="4" t="n">
        <v>4</v>
      </c>
      <c r="AU156" s="4" t="s">
        <v>66</v>
      </c>
      <c r="AV156" s="4" t="s">
        <v>128</v>
      </c>
      <c r="AW156" s="4" t="s">
        <v>544</v>
      </c>
      <c r="AX156" s="4" t="s">
        <v>545</v>
      </c>
      <c r="AY156" s="4" t="n">
        <v>9</v>
      </c>
      <c r="AZ156" s="4" t="s">
        <v>62</v>
      </c>
      <c r="BA156" s="4" t="s">
        <v>543</v>
      </c>
      <c r="BB156" s="4" t="s">
        <v>497</v>
      </c>
      <c r="BC156" s="6" t="n">
        <v>0.3409</v>
      </c>
      <c r="BD156" s="4" t="n">
        <v>91</v>
      </c>
    </row>
    <row r="157" customFormat="false" ht="129.1" hidden="false" customHeight="false" outlineLevel="0" collapsed="false">
      <c r="A157" s="4"/>
      <c r="B157" s="4" t="s">
        <v>56</v>
      </c>
      <c r="C157" s="4" t="s">
        <v>57</v>
      </c>
      <c r="D157" s="4" t="s">
        <v>491</v>
      </c>
      <c r="E157" s="4" t="s">
        <v>500</v>
      </c>
      <c r="F157" s="4" t="n">
        <v>5904</v>
      </c>
      <c r="G157" s="5" t="s">
        <v>540</v>
      </c>
      <c r="H157" s="5" t="s">
        <v>238</v>
      </c>
      <c r="I157" s="4"/>
      <c r="J157" s="4"/>
      <c r="K157" s="4"/>
      <c r="L157" s="4" t="n">
        <v>20</v>
      </c>
      <c r="M157" s="4" t="n">
        <v>20</v>
      </c>
      <c r="N157" s="4" t="n">
        <v>0</v>
      </c>
      <c r="O157" s="4" t="n">
        <v>20</v>
      </c>
      <c r="P157" s="4" t="n">
        <v>0</v>
      </c>
      <c r="Q157" s="4" t="n">
        <v>8</v>
      </c>
      <c r="R157" s="6" t="n">
        <f aca="false">IF(N(L157)=0,0,O157/L157)</f>
        <v>1</v>
      </c>
      <c r="S157" s="4" t="n">
        <f aca="false">IF(R157="","",IF(R157&gt;=0.8,50,IF(R157&gt;=0.5,30,IF(R157&gt;=0.01,10,0))))</f>
        <v>50</v>
      </c>
      <c r="T157" s="4" t="n">
        <f aca="false">IF(TRIM(AI157)="Yes",2.5,0)</f>
        <v>2.5</v>
      </c>
      <c r="U157" s="4" t="n">
        <f aca="false">IF(TRIM(AJ157)="Yes",10,0)</f>
        <v>10</v>
      </c>
      <c r="V157" s="4" t="n">
        <f aca="false">IF(TRIM(AK157)="Yes",5,0)</f>
        <v>5</v>
      </c>
      <c r="W157" s="4" t="n">
        <f aca="false">IF(TRIM(AM157)="Yes",5,0)</f>
        <v>5</v>
      </c>
      <c r="X157" s="4" t="n">
        <f aca="false">IF(OR(TRIM(AN157)="Fully Available",TRIM(AN157)="Not Applicable"),5,IF(TRIM(AN157)="Partially Available",2.5,0))</f>
        <v>5</v>
      </c>
      <c r="Y157" s="4" t="n">
        <f aca="false">IF(TRIM(AO157)="Yes",5,0)</f>
        <v>5</v>
      </c>
      <c r="Z157" s="4" t="n">
        <f aca="false">IF(TRIM(AP157)="Yes",2.5,0)</f>
        <v>2.5</v>
      </c>
      <c r="AA157" s="4" t="n">
        <f aca="false">IF(TRIM(AQ157)="Yes",5,0)</f>
        <v>5</v>
      </c>
      <c r="AB157" s="4" t="n">
        <f aca="false">IF(OR(TRIM(AR157)="Yes",TRIM(AR157)="Not Applicable"),5,0)</f>
        <v>5</v>
      </c>
      <c r="AC157" s="4" t="n">
        <f aca="false">IF(TRIM(AS157)="Excellent",5,IF(TRIM(AS157)="Very Good",4,IF(TRIM(AS157)="Good",3,IF(TRIM(AS157)="Average",2,0))))</f>
        <v>5</v>
      </c>
      <c r="AD157" s="7" t="n">
        <f aca="false">IF(COUNT(S157:AC157)=0,"",SUM(S157:AC157))</f>
        <v>100</v>
      </c>
      <c r="AE157" s="7"/>
      <c r="AF157" s="8"/>
      <c r="AG157" s="5"/>
      <c r="AH157" s="4"/>
      <c r="AI157" s="4" t="s">
        <v>62</v>
      </c>
      <c r="AJ157" s="4" t="s">
        <v>62</v>
      </c>
      <c r="AK157" s="4" t="s">
        <v>62</v>
      </c>
      <c r="AL157" s="4" t="s">
        <v>63</v>
      </c>
      <c r="AM157" s="4" t="s">
        <v>62</v>
      </c>
      <c r="AN157" s="4" t="s">
        <v>64</v>
      </c>
      <c r="AO157" s="4" t="s">
        <v>62</v>
      </c>
      <c r="AP157" s="4" t="s">
        <v>62</v>
      </c>
      <c r="AQ157" s="4" t="s">
        <v>62</v>
      </c>
      <c r="AR157" s="4" t="s">
        <v>62</v>
      </c>
      <c r="AS157" s="4" t="s">
        <v>65</v>
      </c>
      <c r="AT157" s="4" t="n">
        <v>5</v>
      </c>
      <c r="AU157" s="4" t="s">
        <v>66</v>
      </c>
      <c r="AV157" s="4" t="s">
        <v>128</v>
      </c>
      <c r="AW157" s="4" t="s">
        <v>546</v>
      </c>
      <c r="AX157" s="4" t="s">
        <v>547</v>
      </c>
      <c r="AY157" s="4" t="n">
        <v>15</v>
      </c>
      <c r="AZ157" s="4" t="s">
        <v>62</v>
      </c>
      <c r="BA157" s="4" t="s">
        <v>543</v>
      </c>
      <c r="BB157" s="4" t="s">
        <v>497</v>
      </c>
      <c r="BC157" s="6" t="n">
        <v>0.4</v>
      </c>
      <c r="BD157" s="4" t="n">
        <v>91</v>
      </c>
    </row>
    <row r="158" customFormat="false" ht="129.1" hidden="false" customHeight="false" outlineLevel="0" collapsed="false">
      <c r="A158" s="4"/>
      <c r="B158" s="4" t="s">
        <v>56</v>
      </c>
      <c r="C158" s="4" t="s">
        <v>57</v>
      </c>
      <c r="D158" s="4" t="s">
        <v>491</v>
      </c>
      <c r="E158" s="4" t="s">
        <v>500</v>
      </c>
      <c r="F158" s="4" t="n">
        <v>5904</v>
      </c>
      <c r="G158" s="5" t="s">
        <v>540</v>
      </c>
      <c r="H158" s="5" t="s">
        <v>100</v>
      </c>
      <c r="I158" s="4"/>
      <c r="J158" s="4"/>
      <c r="K158" s="4"/>
      <c r="L158" s="4" t="n">
        <v>20</v>
      </c>
      <c r="M158" s="4" t="n">
        <v>20</v>
      </c>
      <c r="N158" s="4" t="n">
        <v>0</v>
      </c>
      <c r="O158" s="4" t="n">
        <v>20</v>
      </c>
      <c r="P158" s="4" t="n">
        <v>0</v>
      </c>
      <c r="Q158" s="4" t="n">
        <v>8</v>
      </c>
      <c r="R158" s="6" t="n">
        <f aca="false">IF(N(L158)=0,0,O158/L158)</f>
        <v>1</v>
      </c>
      <c r="S158" s="4" t="n">
        <f aca="false">IF(R158="","",IF(R158&gt;=0.8,50,IF(R158&gt;=0.5,30,IF(R158&gt;=0.01,10,0))))</f>
        <v>50</v>
      </c>
      <c r="T158" s="4" t="n">
        <f aca="false">IF(TRIM(AI158)="Yes",2.5,0)</f>
        <v>2.5</v>
      </c>
      <c r="U158" s="4" t="n">
        <f aca="false">IF(TRIM(AJ158)="Yes",10,0)</f>
        <v>10</v>
      </c>
      <c r="V158" s="4" t="n">
        <f aca="false">IF(TRIM(AK158)="Yes",5,0)</f>
        <v>5</v>
      </c>
      <c r="W158" s="4" t="n">
        <f aca="false">IF(TRIM(AM158)="Yes",5,0)</f>
        <v>5</v>
      </c>
      <c r="X158" s="4" t="n">
        <f aca="false">IF(OR(TRIM(AN158)="Fully Available",TRIM(AN158)="Not Applicable"),5,IF(TRIM(AN158)="Partially Available",2.5,0))</f>
        <v>5</v>
      </c>
      <c r="Y158" s="4" t="n">
        <f aca="false">IF(TRIM(AO158)="Yes",5,0)</f>
        <v>5</v>
      </c>
      <c r="Z158" s="4" t="n">
        <f aca="false">IF(TRIM(AP158)="Yes",2.5,0)</f>
        <v>2.5</v>
      </c>
      <c r="AA158" s="4" t="n">
        <f aca="false">IF(TRIM(AQ158)="Yes",5,0)</f>
        <v>5</v>
      </c>
      <c r="AB158" s="4" t="n">
        <f aca="false">IF(OR(TRIM(AR158)="Yes",TRIM(AR158)="Not Applicable"),5,0)</f>
        <v>5</v>
      </c>
      <c r="AC158" s="4" t="n">
        <f aca="false">IF(TRIM(AS158)="Excellent",5,IF(TRIM(AS158)="Very Good",4,IF(TRIM(AS158)="Good",3,IF(TRIM(AS158)="Average",2,0))))</f>
        <v>5</v>
      </c>
      <c r="AD158" s="7" t="n">
        <f aca="false">IF(COUNT(S158:AC158)=0,"",SUM(S158:AC158))</f>
        <v>100</v>
      </c>
      <c r="AE158" s="7"/>
      <c r="AF158" s="8"/>
      <c r="AG158" s="5"/>
      <c r="AH158" s="4"/>
      <c r="AI158" s="4" t="s">
        <v>62</v>
      </c>
      <c r="AJ158" s="4" t="s">
        <v>62</v>
      </c>
      <c r="AK158" s="4" t="s">
        <v>62</v>
      </c>
      <c r="AL158" s="4" t="s">
        <v>63</v>
      </c>
      <c r="AM158" s="4" t="s">
        <v>62</v>
      </c>
      <c r="AN158" s="4" t="s">
        <v>64</v>
      </c>
      <c r="AO158" s="4" t="s">
        <v>62</v>
      </c>
      <c r="AP158" s="4" t="s">
        <v>62</v>
      </c>
      <c r="AQ158" s="4" t="s">
        <v>62</v>
      </c>
      <c r="AR158" s="4" t="s">
        <v>73</v>
      </c>
      <c r="AS158" s="4" t="s">
        <v>65</v>
      </c>
      <c r="AT158" s="4" t="n">
        <v>10</v>
      </c>
      <c r="AU158" s="4" t="s">
        <v>66</v>
      </c>
      <c r="AV158" s="4" t="s">
        <v>128</v>
      </c>
      <c r="AW158" s="4" t="s">
        <v>541</v>
      </c>
      <c r="AX158" s="4" t="s">
        <v>548</v>
      </c>
      <c r="AY158" s="4" t="n">
        <v>3</v>
      </c>
      <c r="AZ158" s="4" t="s">
        <v>62</v>
      </c>
      <c r="BA158" s="4" t="s">
        <v>543</v>
      </c>
      <c r="BB158" s="4" t="s">
        <v>497</v>
      </c>
      <c r="BC158" s="6" t="n">
        <v>0.4</v>
      </c>
      <c r="BD158" s="4" t="n">
        <v>91</v>
      </c>
    </row>
    <row r="159" customFormat="false" ht="29.85" hidden="false" customHeight="false" outlineLevel="0" collapsed="false">
      <c r="A159" s="4" t="n">
        <v>60</v>
      </c>
      <c r="B159" s="4" t="s">
        <v>56</v>
      </c>
      <c r="C159" s="4" t="s">
        <v>57</v>
      </c>
      <c r="D159" s="4" t="s">
        <v>491</v>
      </c>
      <c r="E159" s="4" t="s">
        <v>500</v>
      </c>
      <c r="F159" s="4" t="n">
        <v>1517</v>
      </c>
      <c r="G159" s="5" t="s">
        <v>549</v>
      </c>
      <c r="H159" s="5" t="s">
        <v>90</v>
      </c>
      <c r="I159" s="4"/>
      <c r="J159" s="4"/>
      <c r="K159" s="4"/>
      <c r="L159" s="4" t="n">
        <v>15</v>
      </c>
      <c r="M159" s="4" t="n">
        <v>15</v>
      </c>
      <c r="N159" s="4" t="n">
        <v>0</v>
      </c>
      <c r="O159" s="4" t="n">
        <v>13</v>
      </c>
      <c r="P159" s="4" t="n">
        <v>2</v>
      </c>
      <c r="Q159" s="4" t="n">
        <v>5</v>
      </c>
      <c r="R159" s="6" t="n">
        <f aca="false">IF(N(L159)=0,0,O159/L159)</f>
        <v>0.866666666666667</v>
      </c>
      <c r="S159" s="4" t="n">
        <f aca="false">IF(R159="","",IF(R159&gt;=0.8,50,IF(R159&gt;=0.5,30,IF(R159&gt;=0.01,10,0))))</f>
        <v>50</v>
      </c>
      <c r="T159" s="4" t="n">
        <f aca="false">IF(TRIM(AI159)="Yes",2.5,0)</f>
        <v>2.5</v>
      </c>
      <c r="U159" s="4" t="n">
        <f aca="false">IF(TRIM(AJ159)="Yes",10,0)</f>
        <v>10</v>
      </c>
      <c r="V159" s="4" t="n">
        <f aca="false">IF(TRIM(AK159)="Yes",5,0)</f>
        <v>5</v>
      </c>
      <c r="W159" s="4" t="n">
        <f aca="false">IF(TRIM(AM159)="Yes",5,0)</f>
        <v>5</v>
      </c>
      <c r="X159" s="4" t="n">
        <f aca="false">IF(OR(TRIM(AN159)="Fully Available",TRIM(AN159)="Not Applicable"),5,IF(TRIM(AN159)="Partially Available",2.5,0))</f>
        <v>5</v>
      </c>
      <c r="Y159" s="4" t="n">
        <f aca="false">IF(TRIM(AO159)="Yes",5,0)</f>
        <v>5</v>
      </c>
      <c r="Z159" s="4" t="n">
        <f aca="false">IF(TRIM(AP159)="Yes",2.5,0)</f>
        <v>2.5</v>
      </c>
      <c r="AA159" s="4" t="n">
        <f aca="false">IF(TRIM(AQ159)="Yes",5,0)</f>
        <v>5</v>
      </c>
      <c r="AB159" s="4" t="n">
        <f aca="false">IF(OR(TRIM(AR159)="Yes",TRIM(AR159)="Not Applicable"),5,0)</f>
        <v>5</v>
      </c>
      <c r="AC159" s="4" t="n">
        <f aca="false">IF(TRIM(AS159)="Excellent",5,IF(TRIM(AS159)="Very Good",4,IF(TRIM(AS159)="Good",3,IF(TRIM(AS159)="Average",2,0))))</f>
        <v>3</v>
      </c>
      <c r="AD159" s="7" t="n">
        <f aca="false">IF(COUNT(S159:AC159)=0,"",SUM(S159:AC159))</f>
        <v>98</v>
      </c>
      <c r="AE159" s="7" t="n">
        <f aca="false">IF(COUNTIF($F$2:F159,F159)=1,IFERROR(AVERAGEIF($F:$F,F159,$AD:$AD),""),"")</f>
        <v>98</v>
      </c>
      <c r="AF159" s="8" t="str">
        <f aca="false">IF(AH159&lt;&gt;"",AH159,IF(AE159="","",IF(AE159&gt;=80,"Excellent",IF(AE159&gt;=70,"Very Good",IF(AE159&gt;=60,"Good",IF(AE159&gt;=50,"Average","Poor"))))))</f>
        <v>Excellent</v>
      </c>
      <c r="AG159" s="5"/>
      <c r="AH159" s="4"/>
      <c r="AI159" s="4" t="s">
        <v>62</v>
      </c>
      <c r="AJ159" s="4" t="s">
        <v>62</v>
      </c>
      <c r="AK159" s="4" t="s">
        <v>62</v>
      </c>
      <c r="AL159" s="4" t="s">
        <v>63</v>
      </c>
      <c r="AM159" s="4" t="s">
        <v>62</v>
      </c>
      <c r="AN159" s="4" t="s">
        <v>64</v>
      </c>
      <c r="AO159" s="4" t="s">
        <v>62</v>
      </c>
      <c r="AP159" s="4" t="s">
        <v>62</v>
      </c>
      <c r="AQ159" s="4" t="s">
        <v>62</v>
      </c>
      <c r="AR159" s="4" t="s">
        <v>62</v>
      </c>
      <c r="AS159" s="4" t="s">
        <v>185</v>
      </c>
      <c r="AT159" s="4" t="n">
        <v>6</v>
      </c>
      <c r="AU159" s="4" t="s">
        <v>66</v>
      </c>
      <c r="AV159" s="4" t="s">
        <v>91</v>
      </c>
      <c r="AW159" s="4" t="s">
        <v>550</v>
      </c>
      <c r="AX159" s="4" t="s">
        <v>551</v>
      </c>
      <c r="AY159" s="4" t="n">
        <v>3</v>
      </c>
      <c r="AZ159" s="4" t="s">
        <v>62</v>
      </c>
      <c r="BA159" s="4" t="s">
        <v>552</v>
      </c>
      <c r="BB159" s="4" t="s">
        <v>497</v>
      </c>
      <c r="BC159" s="6" t="n">
        <v>0.3846</v>
      </c>
      <c r="BD159" s="4" t="n">
        <v>96</v>
      </c>
    </row>
    <row r="160" customFormat="false" ht="29.85" hidden="false" customHeight="false" outlineLevel="0" collapsed="false">
      <c r="A160" s="4" t="n">
        <v>61</v>
      </c>
      <c r="B160" s="4" t="s">
        <v>56</v>
      </c>
      <c r="C160" s="4" t="s">
        <v>57</v>
      </c>
      <c r="D160" s="4" t="s">
        <v>491</v>
      </c>
      <c r="E160" s="4" t="s">
        <v>500</v>
      </c>
      <c r="F160" s="4" t="n">
        <v>1408</v>
      </c>
      <c r="G160" s="5" t="s">
        <v>553</v>
      </c>
      <c r="H160" s="5" t="s">
        <v>111</v>
      </c>
      <c r="I160" s="4"/>
      <c r="J160" s="4"/>
      <c r="K160" s="4"/>
      <c r="L160" s="4" t="n">
        <v>20</v>
      </c>
      <c r="M160" s="4" t="n">
        <v>19</v>
      </c>
      <c r="N160" s="4" t="n">
        <v>1</v>
      </c>
      <c r="O160" s="4" t="n">
        <v>14</v>
      </c>
      <c r="P160" s="4" t="n">
        <v>5</v>
      </c>
      <c r="Q160" s="4" t="n">
        <v>5</v>
      </c>
      <c r="R160" s="6" t="n">
        <f aca="false">IF(N(L160)=0,0,O160/L160)</f>
        <v>0.7</v>
      </c>
      <c r="S160" s="4" t="n">
        <f aca="false">IF(R160="","",IF(R160&gt;=0.8,50,IF(R160&gt;=0.5,30,IF(R160&gt;=0.01,10,0))))</f>
        <v>30</v>
      </c>
      <c r="T160" s="4" t="n">
        <f aca="false">IF(TRIM(AI160)="Yes",2.5,0)</f>
        <v>2.5</v>
      </c>
      <c r="U160" s="4" t="n">
        <f aca="false">IF(TRIM(AJ160)="Yes",10,0)</f>
        <v>10</v>
      </c>
      <c r="V160" s="4" t="n">
        <f aca="false">IF(TRIM(AK160)="Yes",5,0)</f>
        <v>5</v>
      </c>
      <c r="W160" s="4" t="n">
        <f aca="false">IF(TRIM(AM160)="Yes",5,0)</f>
        <v>5</v>
      </c>
      <c r="X160" s="4" t="n">
        <f aca="false">IF(OR(TRIM(AN160)="Fully Available",TRIM(AN160)="Not Applicable"),5,IF(TRIM(AN160)="Partially Available",2.5,0))</f>
        <v>5</v>
      </c>
      <c r="Y160" s="4" t="n">
        <f aca="false">IF(TRIM(AO160)="Yes",5,0)</f>
        <v>5</v>
      </c>
      <c r="Z160" s="4" t="n">
        <f aca="false">IF(TRIM(AP160)="Yes",2.5,0)</f>
        <v>2.5</v>
      </c>
      <c r="AA160" s="4" t="n">
        <f aca="false">IF(TRIM(AQ160)="Yes",5,0)</f>
        <v>5</v>
      </c>
      <c r="AB160" s="4" t="n">
        <f aca="false">IF(OR(TRIM(AR160)="Yes",TRIM(AR160)="Not Applicable"),5,0)</f>
        <v>5</v>
      </c>
      <c r="AC160" s="4" t="n">
        <f aca="false">IF(TRIM(AS160)="Excellent",5,IF(TRIM(AS160)="Very Good",4,IF(TRIM(AS160)="Good",3,IF(TRIM(AS160)="Average",2,0))))</f>
        <v>4</v>
      </c>
      <c r="AD160" s="7" t="n">
        <f aca="false">IF(COUNT(S160:AC160)=0,"",SUM(S160:AC160))</f>
        <v>79</v>
      </c>
      <c r="AE160" s="7" t="n">
        <f aca="false">IF(COUNTIF($F$2:F160,F160)=1,IFERROR(AVERAGEIF($F:$F,F160,$AD:$AD),""),"")</f>
        <v>89</v>
      </c>
      <c r="AF160" s="8" t="str">
        <f aca="false">IF(AH160&lt;&gt;"",AH160,IF(AE160="","",IF(AE160&gt;=80,"Excellent",IF(AE160&gt;=70,"Very Good",IF(AE160&gt;=60,"Good",IF(AE160&gt;=50,"Average","Poor"))))))</f>
        <v>Excellent</v>
      </c>
      <c r="AG160" s="5"/>
      <c r="AH160" s="4"/>
      <c r="AI160" s="4" t="s">
        <v>62</v>
      </c>
      <c r="AJ160" s="4" t="s">
        <v>62</v>
      </c>
      <c r="AK160" s="4" t="s">
        <v>62</v>
      </c>
      <c r="AL160" s="4" t="s">
        <v>63</v>
      </c>
      <c r="AM160" s="4" t="s">
        <v>62</v>
      </c>
      <c r="AN160" s="4" t="s">
        <v>64</v>
      </c>
      <c r="AO160" s="4" t="s">
        <v>62</v>
      </c>
      <c r="AP160" s="4" t="s">
        <v>62</v>
      </c>
      <c r="AQ160" s="4" t="s">
        <v>62</v>
      </c>
      <c r="AR160" s="4" t="s">
        <v>62</v>
      </c>
      <c r="AS160" s="4" t="s">
        <v>74</v>
      </c>
      <c r="AT160" s="4" t="n">
        <v>3</v>
      </c>
      <c r="AU160" s="4" t="s">
        <v>112</v>
      </c>
      <c r="AV160" s="4" t="s">
        <v>128</v>
      </c>
      <c r="AW160" s="4" t="s">
        <v>554</v>
      </c>
      <c r="AX160" s="4" t="s">
        <v>320</v>
      </c>
      <c r="AY160" s="4" t="n">
        <v>10</v>
      </c>
      <c r="AZ160" s="4" t="s">
        <v>62</v>
      </c>
      <c r="BA160" s="4" t="s">
        <v>555</v>
      </c>
      <c r="BB160" s="4" t="s">
        <v>497</v>
      </c>
      <c r="BC160" s="6" t="n">
        <v>0.3571</v>
      </c>
      <c r="BD160" s="4" t="n">
        <v>92</v>
      </c>
    </row>
    <row r="161" customFormat="false" ht="44" hidden="false" customHeight="false" outlineLevel="0" collapsed="false">
      <c r="A161" s="4"/>
      <c r="B161" s="4" t="s">
        <v>56</v>
      </c>
      <c r="C161" s="4" t="s">
        <v>57</v>
      </c>
      <c r="D161" s="4" t="s">
        <v>491</v>
      </c>
      <c r="E161" s="4" t="s">
        <v>500</v>
      </c>
      <c r="F161" s="4" t="n">
        <v>1408</v>
      </c>
      <c r="G161" s="5" t="s">
        <v>553</v>
      </c>
      <c r="H161" s="5" t="s">
        <v>78</v>
      </c>
      <c r="I161" s="4"/>
      <c r="J161" s="4"/>
      <c r="K161" s="4"/>
      <c r="L161" s="4" t="n">
        <v>15</v>
      </c>
      <c r="M161" s="4" t="n">
        <v>15</v>
      </c>
      <c r="N161" s="4" t="n">
        <v>0</v>
      </c>
      <c r="O161" s="4" t="n">
        <v>15</v>
      </c>
      <c r="P161" s="4" t="n">
        <v>0</v>
      </c>
      <c r="Q161" s="4" t="n">
        <v>5</v>
      </c>
      <c r="R161" s="6" t="n">
        <f aca="false">IF(N(L161)=0,0,O161/L161)</f>
        <v>1</v>
      </c>
      <c r="S161" s="4" t="n">
        <f aca="false">IF(R161="","",IF(R161&gt;=0.8,50,IF(R161&gt;=0.5,30,IF(R161&gt;=0.01,10,0))))</f>
        <v>50</v>
      </c>
      <c r="T161" s="4" t="n">
        <f aca="false">IF(TRIM(AI161)="Yes",2.5,0)</f>
        <v>2.5</v>
      </c>
      <c r="U161" s="4" t="n">
        <f aca="false">IF(TRIM(AJ161)="Yes",10,0)</f>
        <v>10</v>
      </c>
      <c r="V161" s="4" t="n">
        <f aca="false">IF(TRIM(AK161)="Yes",5,0)</f>
        <v>5</v>
      </c>
      <c r="W161" s="4" t="n">
        <f aca="false">IF(TRIM(AM161)="Yes",5,0)</f>
        <v>5</v>
      </c>
      <c r="X161" s="4" t="n">
        <f aca="false">IF(OR(TRIM(AN161)="Fully Available",TRIM(AN161)="Not Applicable"),5,IF(TRIM(AN161)="Partially Available",2.5,0))</f>
        <v>5</v>
      </c>
      <c r="Y161" s="4" t="n">
        <f aca="false">IF(TRIM(AO161)="Yes",5,0)</f>
        <v>5</v>
      </c>
      <c r="Z161" s="4" t="n">
        <f aca="false">IF(TRIM(AP161)="Yes",2.5,0)</f>
        <v>2.5</v>
      </c>
      <c r="AA161" s="4" t="n">
        <f aca="false">IF(TRIM(AQ161)="Yes",5,0)</f>
        <v>5</v>
      </c>
      <c r="AB161" s="4" t="n">
        <f aca="false">IF(OR(TRIM(AR161)="Yes",TRIM(AR161)="Not Applicable"),5,0)</f>
        <v>5</v>
      </c>
      <c r="AC161" s="4" t="n">
        <f aca="false">IF(TRIM(AS161)="Excellent",5,IF(TRIM(AS161)="Very Good",4,IF(TRIM(AS161)="Good",3,IF(TRIM(AS161)="Average",2,0))))</f>
        <v>4</v>
      </c>
      <c r="AD161" s="7" t="n">
        <f aca="false">IF(COUNT(S161:AC161)=0,"",SUM(S161:AC161))</f>
        <v>99</v>
      </c>
      <c r="AE161" s="7"/>
      <c r="AF161" s="8"/>
      <c r="AG161" s="5"/>
      <c r="AH161" s="4"/>
      <c r="AI161" s="4" t="s">
        <v>62</v>
      </c>
      <c r="AJ161" s="4" t="s">
        <v>62</v>
      </c>
      <c r="AK161" s="4" t="s">
        <v>62</v>
      </c>
      <c r="AL161" s="4" t="s">
        <v>63</v>
      </c>
      <c r="AM161" s="4" t="s">
        <v>62</v>
      </c>
      <c r="AN161" s="4" t="s">
        <v>64</v>
      </c>
      <c r="AO161" s="4" t="s">
        <v>62</v>
      </c>
      <c r="AP161" s="4" t="s">
        <v>62</v>
      </c>
      <c r="AQ161" s="4" t="s">
        <v>62</v>
      </c>
      <c r="AR161" s="4" t="s">
        <v>62</v>
      </c>
      <c r="AS161" s="4" t="s">
        <v>74</v>
      </c>
      <c r="AT161" s="4" t="n">
        <v>3</v>
      </c>
      <c r="AU161" s="4" t="s">
        <v>66</v>
      </c>
      <c r="AV161" s="4" t="s">
        <v>128</v>
      </c>
      <c r="AW161" s="4" t="s">
        <v>556</v>
      </c>
      <c r="AX161" s="4" t="s">
        <v>557</v>
      </c>
      <c r="AY161" s="4" t="n">
        <v>8</v>
      </c>
      <c r="AZ161" s="4" t="s">
        <v>62</v>
      </c>
      <c r="BA161" s="4" t="s">
        <v>555</v>
      </c>
      <c r="BB161" s="4" t="s">
        <v>497</v>
      </c>
      <c r="BC161" s="6" t="n">
        <v>0.3333</v>
      </c>
      <c r="BD161" s="4" t="n">
        <v>92</v>
      </c>
    </row>
    <row r="162" customFormat="false" ht="72.35" hidden="false" customHeight="false" outlineLevel="0" collapsed="false">
      <c r="A162" s="4" t="n">
        <v>62</v>
      </c>
      <c r="B162" s="4" t="s">
        <v>56</v>
      </c>
      <c r="C162" s="4" t="s">
        <v>57</v>
      </c>
      <c r="D162" s="4" t="s">
        <v>491</v>
      </c>
      <c r="E162" s="4" t="s">
        <v>492</v>
      </c>
      <c r="F162" s="4" t="n">
        <v>191</v>
      </c>
      <c r="G162" s="5" t="s">
        <v>558</v>
      </c>
      <c r="H162" s="5" t="s">
        <v>265</v>
      </c>
      <c r="I162" s="4"/>
      <c r="J162" s="4"/>
      <c r="K162" s="4"/>
      <c r="L162" s="4" t="n">
        <v>80</v>
      </c>
      <c r="M162" s="4" t="n">
        <v>80</v>
      </c>
      <c r="N162" s="4" t="n">
        <v>0</v>
      </c>
      <c r="O162" s="4" t="n">
        <v>20</v>
      </c>
      <c r="P162" s="4" t="n">
        <v>60</v>
      </c>
      <c r="Q162" s="4" t="n">
        <v>10</v>
      </c>
      <c r="R162" s="6" t="n">
        <f aca="false">IF(N(L162)=0,0,O162/L162)</f>
        <v>0.25</v>
      </c>
      <c r="S162" s="4" t="n">
        <f aca="false">IF(R162="","",IF(R162&gt;=0.8,50,IF(R162&gt;=0.5,30,IF(R162&gt;=0.01,10,0))))</f>
        <v>10</v>
      </c>
      <c r="T162" s="4" t="n">
        <f aca="false">IF(TRIM(AI162)="Yes",2.5,0)</f>
        <v>0</v>
      </c>
      <c r="U162" s="4" t="n">
        <f aca="false">IF(TRIM(AJ162)="Yes",10,0)</f>
        <v>10</v>
      </c>
      <c r="V162" s="4" t="n">
        <f aca="false">IF(TRIM(AK162)="Yes",5,0)</f>
        <v>5</v>
      </c>
      <c r="W162" s="4" t="n">
        <f aca="false">IF(TRIM(AM162)="Yes",5,0)</f>
        <v>5</v>
      </c>
      <c r="X162" s="4" t="n">
        <f aca="false">IF(OR(TRIM(AN162)="Fully Available",TRIM(AN162)="Not Applicable"),5,IF(TRIM(AN162)="Partially Available",2.5,0))</f>
        <v>5</v>
      </c>
      <c r="Y162" s="4" t="n">
        <f aca="false">IF(TRIM(AO162)="Yes",5,0)</f>
        <v>0</v>
      </c>
      <c r="Z162" s="4" t="n">
        <f aca="false">IF(TRIM(AP162)="Yes",2.5,0)</f>
        <v>0</v>
      </c>
      <c r="AA162" s="4" t="n">
        <f aca="false">IF(TRIM(AQ162)="Yes",5,0)</f>
        <v>5</v>
      </c>
      <c r="AB162" s="4" t="n">
        <f aca="false">IF(OR(TRIM(AR162)="Yes",TRIM(AR162)="Not Applicable"),5,0)</f>
        <v>5</v>
      </c>
      <c r="AC162" s="4" t="n">
        <f aca="false">IF(TRIM(AS162)="Excellent",5,IF(TRIM(AS162)="Very Good",4,IF(TRIM(AS162)="Good",3,IF(TRIM(AS162)="Average",2,0))))</f>
        <v>3</v>
      </c>
      <c r="AD162" s="7" t="n">
        <f aca="false">IF(COUNT(S162:AC162)=0,"",SUM(S162:AC162))</f>
        <v>48</v>
      </c>
      <c r="AE162" s="7" t="n">
        <f aca="false">IF(COUNTIF($F$2:F162,F162)=1,IFERROR(AVERAGEIF($F:$F,F162,$AD:$AD),""),"")</f>
        <v>48</v>
      </c>
      <c r="AF162" s="8" t="str">
        <f aca="false">IF(AH162&lt;&gt;"",AH162,IF(AE162="","",IF(AE162&gt;=80,"Excellent",IF(AE162&gt;=70,"Very Good",IF(AE162&gt;=60,"Good",IF(AE162&gt;=50,"Average","Poor"))))))</f>
        <v>Poor</v>
      </c>
      <c r="AG162" s="5"/>
      <c r="AH162" s="4"/>
      <c r="AI162" s="4" t="s">
        <v>82</v>
      </c>
      <c r="AJ162" s="4" t="s">
        <v>62</v>
      </c>
      <c r="AK162" s="4" t="s">
        <v>62</v>
      </c>
      <c r="AL162" s="4" t="s">
        <v>63</v>
      </c>
      <c r="AM162" s="4" t="s">
        <v>62</v>
      </c>
      <c r="AN162" s="4" t="s">
        <v>64</v>
      </c>
      <c r="AO162" s="4" t="s">
        <v>82</v>
      </c>
      <c r="AP162" s="4" t="s">
        <v>82</v>
      </c>
      <c r="AQ162" s="4" t="s">
        <v>62</v>
      </c>
      <c r="AR162" s="4" t="s">
        <v>73</v>
      </c>
      <c r="AS162" s="4" t="s">
        <v>185</v>
      </c>
      <c r="AT162" s="4" t="n">
        <v>2</v>
      </c>
      <c r="AU162" s="4" t="s">
        <v>66</v>
      </c>
      <c r="AV162" s="4" t="s">
        <v>128</v>
      </c>
      <c r="AW162" s="4" t="s">
        <v>559</v>
      </c>
      <c r="AX162" s="4" t="s">
        <v>560</v>
      </c>
      <c r="AY162" s="4" t="n">
        <v>3</v>
      </c>
      <c r="AZ162" s="4" t="s">
        <v>62</v>
      </c>
      <c r="BA162" s="4" t="s">
        <v>561</v>
      </c>
      <c r="BB162" s="4" t="s">
        <v>497</v>
      </c>
      <c r="BC162" s="6" t="n">
        <v>0.5</v>
      </c>
      <c r="BD162" s="4" t="n">
        <v>59</v>
      </c>
    </row>
    <row r="163" customFormat="false" ht="72.35" hidden="false" customHeight="false" outlineLevel="0" collapsed="false">
      <c r="A163" s="4"/>
      <c r="B163" s="4" t="s">
        <v>56</v>
      </c>
      <c r="C163" s="4" t="s">
        <v>57</v>
      </c>
      <c r="D163" s="4" t="s">
        <v>491</v>
      </c>
      <c r="E163" s="4" t="s">
        <v>492</v>
      </c>
      <c r="F163" s="4" t="n">
        <v>191</v>
      </c>
      <c r="G163" s="5" t="s">
        <v>558</v>
      </c>
      <c r="H163" s="5" t="s">
        <v>177</v>
      </c>
      <c r="I163" s="4"/>
      <c r="J163" s="4"/>
      <c r="K163" s="4"/>
      <c r="L163" s="4" t="n">
        <v>80</v>
      </c>
      <c r="M163" s="4" t="n">
        <v>80</v>
      </c>
      <c r="N163" s="4" t="n">
        <v>0</v>
      </c>
      <c r="O163" s="4" t="n">
        <v>29</v>
      </c>
      <c r="P163" s="4" t="n">
        <v>51</v>
      </c>
      <c r="Q163" s="4" t="n">
        <v>11</v>
      </c>
      <c r="R163" s="6" t="n">
        <f aca="false">IF(N(L163)=0,0,O163/L163)</f>
        <v>0.3625</v>
      </c>
      <c r="S163" s="4" t="n">
        <f aca="false">IF(R163="","",IF(R163&gt;=0.8,50,IF(R163&gt;=0.5,30,IF(R163&gt;=0.01,10,0))))</f>
        <v>10</v>
      </c>
      <c r="T163" s="4" t="n">
        <f aca="false">IF(TRIM(AI163)="Yes",2.5,0)</f>
        <v>0</v>
      </c>
      <c r="U163" s="4" t="n">
        <f aca="false">IF(TRIM(AJ163)="Yes",10,0)</f>
        <v>10</v>
      </c>
      <c r="V163" s="4" t="n">
        <f aca="false">IF(TRIM(AK163)="Yes",5,0)</f>
        <v>5</v>
      </c>
      <c r="W163" s="4" t="n">
        <f aca="false">IF(TRIM(AM163)="Yes",5,0)</f>
        <v>5</v>
      </c>
      <c r="X163" s="4" t="n">
        <f aca="false">IF(OR(TRIM(AN163)="Fully Available",TRIM(AN163)="Not Applicable"),5,IF(TRIM(AN163)="Partially Available",2.5,0))</f>
        <v>5</v>
      </c>
      <c r="Y163" s="4" t="n">
        <f aca="false">IF(TRIM(AO163)="Yes",5,0)</f>
        <v>0</v>
      </c>
      <c r="Z163" s="4" t="n">
        <f aca="false">IF(TRIM(AP163)="Yes",2.5,0)</f>
        <v>0</v>
      </c>
      <c r="AA163" s="4" t="n">
        <f aca="false">IF(TRIM(AQ163)="Yes",5,0)</f>
        <v>5</v>
      </c>
      <c r="AB163" s="4" t="n">
        <f aca="false">IF(OR(TRIM(AR163)="Yes",TRIM(AR163)="Not Applicable"),5,0)</f>
        <v>5</v>
      </c>
      <c r="AC163" s="4" t="n">
        <f aca="false">IF(TRIM(AS163)="Excellent",5,IF(TRIM(AS163)="Very Good",4,IF(TRIM(AS163)="Good",3,IF(TRIM(AS163)="Average",2,0))))</f>
        <v>3</v>
      </c>
      <c r="AD163" s="7" t="n">
        <f aca="false">IF(COUNT(S163:AC163)=0,"",SUM(S163:AC163))</f>
        <v>48</v>
      </c>
      <c r="AE163" s="7"/>
      <c r="AF163" s="8"/>
      <c r="AG163" s="5"/>
      <c r="AH163" s="4"/>
      <c r="AI163" s="4" t="s">
        <v>82</v>
      </c>
      <c r="AJ163" s="4" t="s">
        <v>62</v>
      </c>
      <c r="AK163" s="4" t="s">
        <v>62</v>
      </c>
      <c r="AL163" s="4" t="s">
        <v>63</v>
      </c>
      <c r="AM163" s="4" t="s">
        <v>62</v>
      </c>
      <c r="AN163" s="4" t="s">
        <v>64</v>
      </c>
      <c r="AO163" s="4" t="s">
        <v>82</v>
      </c>
      <c r="AP163" s="4" t="s">
        <v>82</v>
      </c>
      <c r="AQ163" s="4" t="s">
        <v>62</v>
      </c>
      <c r="AR163" s="4" t="s">
        <v>73</v>
      </c>
      <c r="AS163" s="4" t="s">
        <v>185</v>
      </c>
      <c r="AT163" s="4" t="n">
        <v>3</v>
      </c>
      <c r="AU163" s="4" t="s">
        <v>66</v>
      </c>
      <c r="AV163" s="4" t="s">
        <v>128</v>
      </c>
      <c r="AW163" s="4" t="s">
        <v>562</v>
      </c>
      <c r="AX163" s="4" t="s">
        <v>563</v>
      </c>
      <c r="AY163" s="4" t="n">
        <v>3</v>
      </c>
      <c r="AZ163" s="4" t="s">
        <v>62</v>
      </c>
      <c r="BA163" s="4" t="s">
        <v>561</v>
      </c>
      <c r="BB163" s="4" t="s">
        <v>497</v>
      </c>
      <c r="BC163" s="6" t="n">
        <v>0.3793</v>
      </c>
      <c r="BD163" s="4" t="n">
        <v>59</v>
      </c>
    </row>
    <row r="164" customFormat="false" ht="86.55" hidden="false" customHeight="false" outlineLevel="0" collapsed="false">
      <c r="A164" s="4" t="n">
        <v>63</v>
      </c>
      <c r="B164" s="4" t="s">
        <v>56</v>
      </c>
      <c r="C164" s="4" t="s">
        <v>57</v>
      </c>
      <c r="D164" s="4" t="s">
        <v>491</v>
      </c>
      <c r="E164" s="4" t="s">
        <v>492</v>
      </c>
      <c r="F164" s="4" t="n">
        <v>4184</v>
      </c>
      <c r="G164" s="5" t="s">
        <v>564</v>
      </c>
      <c r="H164" s="5" t="s">
        <v>238</v>
      </c>
      <c r="I164" s="4"/>
      <c r="J164" s="4"/>
      <c r="K164" s="4"/>
      <c r="L164" s="4" t="n">
        <v>15</v>
      </c>
      <c r="M164" s="4" t="n">
        <v>15</v>
      </c>
      <c r="N164" s="4" t="n">
        <v>0</v>
      </c>
      <c r="O164" s="4" t="n">
        <v>10</v>
      </c>
      <c r="P164" s="4" t="n">
        <v>5</v>
      </c>
      <c r="Q164" s="4" t="n">
        <v>5</v>
      </c>
      <c r="R164" s="6" t="n">
        <f aca="false">IF(N(L164)=0,0,O164/L164)</f>
        <v>0.666666666666667</v>
      </c>
      <c r="S164" s="4" t="n">
        <f aca="false">IF(R164="","",IF(R164&gt;=0.8,50,IF(R164&gt;=0.5,30,IF(R164&gt;=0.01,10,0))))</f>
        <v>30</v>
      </c>
      <c r="T164" s="4" t="n">
        <f aca="false">IF(TRIM(AI164)="Yes",2.5,0)</f>
        <v>0</v>
      </c>
      <c r="U164" s="4" t="n">
        <f aca="false">IF(TRIM(AJ164)="Yes",10,0)</f>
        <v>10</v>
      </c>
      <c r="V164" s="4" t="n">
        <f aca="false">IF(TRIM(AK164)="Yes",5,0)</f>
        <v>5</v>
      </c>
      <c r="W164" s="4" t="n">
        <f aca="false">IF(TRIM(AM164)="Yes",5,0)</f>
        <v>5</v>
      </c>
      <c r="X164" s="4" t="n">
        <f aca="false">IF(OR(TRIM(AN164)="Fully Available",TRIM(AN164)="Not Applicable"),5,IF(TRIM(AN164)="Partially Available",2.5,0))</f>
        <v>5</v>
      </c>
      <c r="Y164" s="4" t="n">
        <f aca="false">IF(TRIM(AO164)="Yes",5,0)</f>
        <v>0</v>
      </c>
      <c r="Z164" s="4" t="n">
        <f aca="false">IF(TRIM(AP164)="Yes",2.5,0)</f>
        <v>0</v>
      </c>
      <c r="AA164" s="4" t="n">
        <f aca="false">IF(TRIM(AQ164)="Yes",5,0)</f>
        <v>5</v>
      </c>
      <c r="AB164" s="4" t="n">
        <f aca="false">IF(OR(TRIM(AR164)="Yes",TRIM(AR164)="Not Applicable"),5,0)</f>
        <v>5</v>
      </c>
      <c r="AC164" s="4" t="n">
        <f aca="false">IF(TRIM(AS164)="Excellent",5,IF(TRIM(AS164)="Very Good",4,IF(TRIM(AS164)="Good",3,IF(TRIM(AS164)="Average",2,0))))</f>
        <v>3</v>
      </c>
      <c r="AD164" s="7" t="n">
        <f aca="false">IF(COUNT(S164:AC164)=0,"",SUM(S164:AC164))</f>
        <v>68</v>
      </c>
      <c r="AE164" s="7" t="n">
        <f aca="false">IF(COUNTIF($F$2:F164,F164)=1,IFERROR(AVERAGEIF($F:$F,F164,$AD:$AD),""),"")</f>
        <v>68</v>
      </c>
      <c r="AF164" s="8" t="str">
        <f aca="false">IF(AH164&lt;&gt;"",AH164,IF(AE164="","",IF(AE164&gt;=80,"Excellent",IF(AE164&gt;=70,"Very Good",IF(AE164&gt;=60,"Good",IF(AE164&gt;=50,"Average","Poor"))))))</f>
        <v>Good</v>
      </c>
      <c r="AG164" s="5"/>
      <c r="AH164" s="4"/>
      <c r="AI164" s="4" t="s">
        <v>82</v>
      </c>
      <c r="AJ164" s="4" t="s">
        <v>62</v>
      </c>
      <c r="AK164" s="4" t="s">
        <v>62</v>
      </c>
      <c r="AL164" s="4" t="s">
        <v>63</v>
      </c>
      <c r="AM164" s="4" t="s">
        <v>62</v>
      </c>
      <c r="AN164" s="4" t="s">
        <v>64</v>
      </c>
      <c r="AO164" s="4" t="s">
        <v>82</v>
      </c>
      <c r="AP164" s="4" t="s">
        <v>82</v>
      </c>
      <c r="AQ164" s="4" t="s">
        <v>62</v>
      </c>
      <c r="AR164" s="4" t="s">
        <v>73</v>
      </c>
      <c r="AS164" s="4" t="s">
        <v>185</v>
      </c>
      <c r="AT164" s="4" t="n">
        <v>18</v>
      </c>
      <c r="AU164" s="4" t="s">
        <v>66</v>
      </c>
      <c r="AV164" s="4" t="s">
        <v>186</v>
      </c>
      <c r="AW164" s="4" t="s">
        <v>565</v>
      </c>
      <c r="AX164" s="4" t="s">
        <v>563</v>
      </c>
      <c r="AY164" s="4" t="n">
        <v>4</v>
      </c>
      <c r="AZ164" s="4" t="s">
        <v>62</v>
      </c>
      <c r="BA164" s="4" t="s">
        <v>566</v>
      </c>
      <c r="BB164" s="4" t="s">
        <v>497</v>
      </c>
      <c r="BC164" s="6" t="n">
        <v>0.5</v>
      </c>
      <c r="BD164" s="4" t="n">
        <v>69</v>
      </c>
    </row>
    <row r="165" customFormat="false" ht="86.55" hidden="false" customHeight="false" outlineLevel="0" collapsed="false">
      <c r="A165" s="4"/>
      <c r="B165" s="4" t="s">
        <v>56</v>
      </c>
      <c r="C165" s="4" t="s">
        <v>57</v>
      </c>
      <c r="D165" s="4" t="s">
        <v>491</v>
      </c>
      <c r="E165" s="4" t="s">
        <v>492</v>
      </c>
      <c r="F165" s="4" t="n">
        <v>4184</v>
      </c>
      <c r="G165" s="5" t="s">
        <v>564</v>
      </c>
      <c r="H165" s="5" t="s">
        <v>261</v>
      </c>
      <c r="I165" s="4"/>
      <c r="J165" s="4"/>
      <c r="K165" s="4"/>
      <c r="L165" s="4" t="n">
        <v>20</v>
      </c>
      <c r="M165" s="4" t="n">
        <v>20</v>
      </c>
      <c r="N165" s="4" t="n">
        <v>0</v>
      </c>
      <c r="O165" s="4" t="n">
        <v>12</v>
      </c>
      <c r="P165" s="4" t="n">
        <v>8</v>
      </c>
      <c r="Q165" s="4" t="n">
        <v>5</v>
      </c>
      <c r="R165" s="6" t="n">
        <f aca="false">IF(N(L165)=0,0,O165/L165)</f>
        <v>0.6</v>
      </c>
      <c r="S165" s="4" t="n">
        <f aca="false">IF(R165="","",IF(R165&gt;=0.8,50,IF(R165&gt;=0.5,30,IF(R165&gt;=0.01,10,0))))</f>
        <v>30</v>
      </c>
      <c r="T165" s="4" t="n">
        <f aca="false">IF(TRIM(AI165)="Yes",2.5,0)</f>
        <v>0</v>
      </c>
      <c r="U165" s="4" t="n">
        <f aca="false">IF(TRIM(AJ165)="Yes",10,0)</f>
        <v>10</v>
      </c>
      <c r="V165" s="4" t="n">
        <f aca="false">IF(TRIM(AK165)="Yes",5,0)</f>
        <v>5</v>
      </c>
      <c r="W165" s="4" t="n">
        <f aca="false">IF(TRIM(AM165)="Yes",5,0)</f>
        <v>5</v>
      </c>
      <c r="X165" s="4" t="n">
        <f aca="false">IF(OR(TRIM(AN165)="Fully Available",TRIM(AN165)="Not Applicable"),5,IF(TRIM(AN165)="Partially Available",2.5,0))</f>
        <v>5</v>
      </c>
      <c r="Y165" s="4" t="n">
        <f aca="false">IF(TRIM(AO165)="Yes",5,0)</f>
        <v>0</v>
      </c>
      <c r="Z165" s="4" t="n">
        <f aca="false">IF(TRIM(AP165)="Yes",2.5,0)</f>
        <v>0</v>
      </c>
      <c r="AA165" s="4" t="n">
        <f aca="false">IF(TRIM(AQ165)="Yes",5,0)</f>
        <v>5</v>
      </c>
      <c r="AB165" s="4" t="n">
        <f aca="false">IF(OR(TRIM(AR165)="Yes",TRIM(AR165)="Not Applicable"),5,0)</f>
        <v>5</v>
      </c>
      <c r="AC165" s="4" t="n">
        <f aca="false">IF(TRIM(AS165)="Excellent",5,IF(TRIM(AS165)="Very Good",4,IF(TRIM(AS165)="Good",3,IF(TRIM(AS165)="Average",2,0))))</f>
        <v>3</v>
      </c>
      <c r="AD165" s="7" t="n">
        <f aca="false">IF(COUNT(S165:AC165)=0,"",SUM(S165:AC165))</f>
        <v>68</v>
      </c>
      <c r="AE165" s="7"/>
      <c r="AF165" s="8"/>
      <c r="AG165" s="5"/>
      <c r="AH165" s="4"/>
      <c r="AI165" s="4" t="s">
        <v>82</v>
      </c>
      <c r="AJ165" s="4" t="s">
        <v>62</v>
      </c>
      <c r="AK165" s="4" t="s">
        <v>62</v>
      </c>
      <c r="AL165" s="4" t="s">
        <v>63</v>
      </c>
      <c r="AM165" s="4" t="s">
        <v>62</v>
      </c>
      <c r="AN165" s="4" t="s">
        <v>64</v>
      </c>
      <c r="AO165" s="4" t="s">
        <v>82</v>
      </c>
      <c r="AP165" s="4" t="s">
        <v>82</v>
      </c>
      <c r="AQ165" s="4" t="s">
        <v>62</v>
      </c>
      <c r="AR165" s="4" t="s">
        <v>73</v>
      </c>
      <c r="AS165" s="4" t="s">
        <v>185</v>
      </c>
      <c r="AT165" s="4" t="n">
        <v>11</v>
      </c>
      <c r="AU165" s="4" t="s">
        <v>66</v>
      </c>
      <c r="AV165" s="4" t="s">
        <v>186</v>
      </c>
      <c r="AW165" s="4" t="s">
        <v>567</v>
      </c>
      <c r="AX165" s="4" t="s">
        <v>568</v>
      </c>
      <c r="AY165" s="4" t="n">
        <v>10</v>
      </c>
      <c r="AZ165" s="4" t="s">
        <v>62</v>
      </c>
      <c r="BA165" s="4" t="s">
        <v>566</v>
      </c>
      <c r="BB165" s="4" t="s">
        <v>497</v>
      </c>
      <c r="BC165" s="6" t="n">
        <v>0.4167</v>
      </c>
      <c r="BD165" s="4" t="n">
        <v>69</v>
      </c>
    </row>
    <row r="166" customFormat="false" ht="29.85" hidden="false" customHeight="false" outlineLevel="0" collapsed="false">
      <c r="A166" s="4" t="n">
        <v>64</v>
      </c>
      <c r="B166" s="4" t="s">
        <v>56</v>
      </c>
      <c r="C166" s="4" t="s">
        <v>57</v>
      </c>
      <c r="D166" s="4" t="s">
        <v>491</v>
      </c>
      <c r="E166" s="4" t="s">
        <v>500</v>
      </c>
      <c r="F166" s="4" t="n">
        <v>129</v>
      </c>
      <c r="G166" s="5" t="s">
        <v>569</v>
      </c>
      <c r="H166" s="5" t="s">
        <v>425</v>
      </c>
      <c r="I166" s="4"/>
      <c r="J166" s="4"/>
      <c r="K166" s="4"/>
      <c r="L166" s="4" t="n">
        <v>20</v>
      </c>
      <c r="M166" s="4" t="n">
        <v>17</v>
      </c>
      <c r="N166" s="4" t="n">
        <v>3</v>
      </c>
      <c r="O166" s="4" t="n">
        <v>13</v>
      </c>
      <c r="P166" s="4" t="n">
        <v>4</v>
      </c>
      <c r="Q166" s="4" t="n">
        <v>5</v>
      </c>
      <c r="R166" s="6" t="n">
        <f aca="false">IF(N(L166)=0,0,O166/L166)</f>
        <v>0.65</v>
      </c>
      <c r="S166" s="4" t="n">
        <f aca="false">IF(R166="","",IF(R166&gt;=0.8,50,IF(R166&gt;=0.5,30,IF(R166&gt;=0.01,10,0))))</f>
        <v>30</v>
      </c>
      <c r="T166" s="4" t="n">
        <f aca="false">IF(TRIM(AI166)="Yes",2.5,0)</f>
        <v>2.5</v>
      </c>
      <c r="U166" s="4" t="n">
        <f aca="false">IF(TRIM(AJ166)="Yes",10,0)</f>
        <v>10</v>
      </c>
      <c r="V166" s="4" t="n">
        <f aca="false">IF(TRIM(AK166)="Yes",5,0)</f>
        <v>5</v>
      </c>
      <c r="W166" s="4" t="n">
        <f aca="false">IF(TRIM(AM166)="Yes",5,0)</f>
        <v>5</v>
      </c>
      <c r="X166" s="4" t="n">
        <f aca="false">IF(OR(TRIM(AN166)="Fully Available",TRIM(AN166)="Not Applicable"),5,IF(TRIM(AN166)="Partially Available",2.5,0))</f>
        <v>5</v>
      </c>
      <c r="Y166" s="4" t="n">
        <f aca="false">IF(TRIM(AO166)="Yes",5,0)</f>
        <v>5</v>
      </c>
      <c r="Z166" s="4" t="n">
        <f aca="false">IF(TRIM(AP166)="Yes",2.5,0)</f>
        <v>2.5</v>
      </c>
      <c r="AA166" s="4" t="n">
        <f aca="false">IF(TRIM(AQ166)="Yes",5,0)</f>
        <v>5</v>
      </c>
      <c r="AB166" s="4" t="n">
        <f aca="false">IF(OR(TRIM(AR166)="Yes",TRIM(AR166)="Not Applicable"),5,0)</f>
        <v>5</v>
      </c>
      <c r="AC166" s="4" t="n">
        <f aca="false">IF(TRIM(AS166)="Excellent",5,IF(TRIM(AS166)="Very Good",4,IF(TRIM(AS166)="Good",3,IF(TRIM(AS166)="Average",2,0))))</f>
        <v>5</v>
      </c>
      <c r="AD166" s="7" t="n">
        <f aca="false">IF(COUNT(S166:AC166)=0,"",SUM(S166:AC166))</f>
        <v>80</v>
      </c>
      <c r="AE166" s="7" t="n">
        <f aca="false">IF(COUNTIF($F$2:F166,F166)=1,IFERROR(AVERAGEIF($F:$F,F166,$AD:$AD),""),"")</f>
        <v>80</v>
      </c>
      <c r="AF166" s="8" t="str">
        <f aca="false">IF(AH166&lt;&gt;"",AH166,IF(AE166="","",IF(AE166&gt;=80,"Excellent",IF(AE166&gt;=70,"Very Good",IF(AE166&gt;=60,"Good",IF(AE166&gt;=50,"Average","Poor"))))))</f>
        <v>Excellent</v>
      </c>
      <c r="AG166" s="5"/>
      <c r="AH166" s="4"/>
      <c r="AI166" s="4" t="s">
        <v>62</v>
      </c>
      <c r="AJ166" s="4" t="s">
        <v>62</v>
      </c>
      <c r="AK166" s="4" t="s">
        <v>62</v>
      </c>
      <c r="AL166" s="4" t="s">
        <v>63</v>
      </c>
      <c r="AM166" s="4" t="s">
        <v>62</v>
      </c>
      <c r="AN166" s="4" t="s">
        <v>64</v>
      </c>
      <c r="AO166" s="4" t="s">
        <v>62</v>
      </c>
      <c r="AP166" s="4" t="s">
        <v>62</v>
      </c>
      <c r="AQ166" s="4" t="s">
        <v>62</v>
      </c>
      <c r="AR166" s="4" t="s">
        <v>62</v>
      </c>
      <c r="AS166" s="4" t="s">
        <v>65</v>
      </c>
      <c r="AT166" s="4" t="n">
        <v>11</v>
      </c>
      <c r="AU166" s="4" t="s">
        <v>66</v>
      </c>
      <c r="AV166" s="4" t="s">
        <v>128</v>
      </c>
      <c r="AW166" s="4" t="s">
        <v>570</v>
      </c>
      <c r="AX166" s="4" t="s">
        <v>571</v>
      </c>
      <c r="AY166" s="4" t="n">
        <v>15</v>
      </c>
      <c r="AZ166" s="4" t="s">
        <v>62</v>
      </c>
      <c r="BA166" s="4" t="s">
        <v>555</v>
      </c>
      <c r="BB166" s="4" t="s">
        <v>497</v>
      </c>
      <c r="BC166" s="6" t="n">
        <v>0.3846</v>
      </c>
      <c r="BD166" s="4" t="n">
        <v>90</v>
      </c>
    </row>
    <row r="167" customFormat="false" ht="86.55" hidden="false" customHeight="false" outlineLevel="0" collapsed="false">
      <c r="A167" s="4" t="n">
        <v>65</v>
      </c>
      <c r="B167" s="4" t="s">
        <v>56</v>
      </c>
      <c r="C167" s="4" t="s">
        <v>57</v>
      </c>
      <c r="D167" s="4" t="s">
        <v>491</v>
      </c>
      <c r="E167" s="4" t="s">
        <v>572</v>
      </c>
      <c r="F167" s="4" t="n">
        <v>2366</v>
      </c>
      <c r="G167" s="5" t="s">
        <v>573</v>
      </c>
      <c r="H167" s="5" t="s">
        <v>298</v>
      </c>
      <c r="I167" s="4"/>
      <c r="J167" s="4"/>
      <c r="K167" s="4"/>
      <c r="L167" s="4" t="n">
        <v>20</v>
      </c>
      <c r="M167" s="4" t="n">
        <v>20</v>
      </c>
      <c r="N167" s="4" t="n">
        <v>0</v>
      </c>
      <c r="O167" s="4" t="n">
        <v>16</v>
      </c>
      <c r="P167" s="4" t="n">
        <v>4</v>
      </c>
      <c r="Q167" s="4" t="n">
        <v>5</v>
      </c>
      <c r="R167" s="6" t="n">
        <f aca="false">IF(N(L167)=0,0,O167/L167)</f>
        <v>0.8</v>
      </c>
      <c r="S167" s="4" t="n">
        <f aca="false">IF(R167="","",IF(R167&gt;=0.8,50,IF(R167&gt;=0.5,30,IF(R167&gt;=0.01,10,0))))</f>
        <v>50</v>
      </c>
      <c r="T167" s="4" t="n">
        <f aca="false">IF(TRIM(AI167)="Yes",2.5,0)</f>
        <v>0</v>
      </c>
      <c r="U167" s="4" t="n">
        <f aca="false">IF(TRIM(AJ167)="Yes",10,0)</f>
        <v>10</v>
      </c>
      <c r="V167" s="4" t="n">
        <f aca="false">IF(TRIM(AK167)="Yes",5,0)</f>
        <v>5</v>
      </c>
      <c r="W167" s="4" t="n">
        <f aca="false">IF(TRIM(AM167)="Yes",5,0)</f>
        <v>5</v>
      </c>
      <c r="X167" s="4" t="n">
        <f aca="false">IF(OR(TRIM(AN167)="Fully Available",TRIM(AN167)="Not Applicable"),5,IF(TRIM(AN167)="Partially Available",2.5,0))</f>
        <v>5</v>
      </c>
      <c r="Y167" s="4" t="n">
        <f aca="false">IF(TRIM(AO167)="Yes",5,0)</f>
        <v>0</v>
      </c>
      <c r="Z167" s="4" t="n">
        <f aca="false">IF(TRIM(AP167)="Yes",2.5,0)</f>
        <v>0</v>
      </c>
      <c r="AA167" s="4" t="n">
        <f aca="false">IF(TRIM(AQ167)="Yes",5,0)</f>
        <v>5</v>
      </c>
      <c r="AB167" s="4" t="n">
        <f aca="false">IF(OR(TRIM(AR167)="Yes",TRIM(AR167)="Not Applicable"),5,0)</f>
        <v>5</v>
      </c>
      <c r="AC167" s="4" t="n">
        <f aca="false">IF(TRIM(AS167)="Excellent",5,IF(TRIM(AS167)="Very Good",4,IF(TRIM(AS167)="Good",3,IF(TRIM(AS167)="Average",2,0))))</f>
        <v>3</v>
      </c>
      <c r="AD167" s="7" t="n">
        <f aca="false">IF(COUNT(S167:AC167)=0,"",SUM(S167:AC167))</f>
        <v>88</v>
      </c>
      <c r="AE167" s="7" t="n">
        <f aca="false">IF(COUNTIF($F$2:F167,F167)=1,IFERROR(AVERAGEIF($F:$F,F167,$AD:$AD),""),"")</f>
        <v>88</v>
      </c>
      <c r="AF167" s="8" t="str">
        <f aca="false">IF(AH167&lt;&gt;"",AH167,IF(AE167="","",IF(AE167&gt;=80,"Excellent",IF(AE167&gt;=70,"Very Good",IF(AE167&gt;=60,"Good",IF(AE167&gt;=50,"Average","Poor"))))))</f>
        <v>Excellent</v>
      </c>
      <c r="AG167" s="5"/>
      <c r="AH167" s="4"/>
      <c r="AI167" s="4" t="s">
        <v>82</v>
      </c>
      <c r="AJ167" s="4" t="s">
        <v>62</v>
      </c>
      <c r="AK167" s="4" t="s">
        <v>62</v>
      </c>
      <c r="AL167" s="4" t="s">
        <v>63</v>
      </c>
      <c r="AM167" s="4" t="s">
        <v>62</v>
      </c>
      <c r="AN167" s="4" t="s">
        <v>64</v>
      </c>
      <c r="AO167" s="4" t="s">
        <v>82</v>
      </c>
      <c r="AP167" s="4" t="s">
        <v>82</v>
      </c>
      <c r="AQ167" s="4" t="s">
        <v>62</v>
      </c>
      <c r="AR167" s="4" t="s">
        <v>73</v>
      </c>
      <c r="AS167" s="4" t="s">
        <v>185</v>
      </c>
      <c r="AT167" s="4" t="n">
        <v>4</v>
      </c>
      <c r="AU167" s="4" t="s">
        <v>66</v>
      </c>
      <c r="AV167" s="4" t="s">
        <v>151</v>
      </c>
      <c r="AW167" s="4" t="s">
        <v>574</v>
      </c>
      <c r="AX167" s="4" t="s">
        <v>368</v>
      </c>
      <c r="AY167" s="4" t="n">
        <v>1</v>
      </c>
      <c r="AZ167" s="4" t="s">
        <v>62</v>
      </c>
      <c r="BA167" s="4" t="s">
        <v>575</v>
      </c>
      <c r="BB167" s="4" t="s">
        <v>497</v>
      </c>
      <c r="BC167" s="6" t="n">
        <v>0.3125</v>
      </c>
      <c r="BD167" s="4" t="n">
        <v>64</v>
      </c>
    </row>
    <row r="168" customFormat="false" ht="86.55" hidden="false" customHeight="false" outlineLevel="0" collapsed="false">
      <c r="A168" s="4" t="n">
        <v>66</v>
      </c>
      <c r="B168" s="4" t="s">
        <v>56</v>
      </c>
      <c r="C168" s="4" t="s">
        <v>57</v>
      </c>
      <c r="D168" s="4" t="s">
        <v>491</v>
      </c>
      <c r="E168" s="4" t="s">
        <v>500</v>
      </c>
      <c r="F168" s="4" t="n">
        <v>2343</v>
      </c>
      <c r="G168" s="5" t="s">
        <v>576</v>
      </c>
      <c r="H168" s="5" t="s">
        <v>78</v>
      </c>
      <c r="I168" s="4"/>
      <c r="J168" s="4"/>
      <c r="K168" s="4"/>
      <c r="L168" s="4" t="n">
        <v>20</v>
      </c>
      <c r="M168" s="4" t="n">
        <v>20</v>
      </c>
      <c r="N168" s="4" t="n">
        <v>0</v>
      </c>
      <c r="O168" s="4" t="n">
        <v>12</v>
      </c>
      <c r="P168" s="4" t="n">
        <v>8</v>
      </c>
      <c r="Q168" s="4" t="n">
        <v>5</v>
      </c>
      <c r="R168" s="6" t="n">
        <f aca="false">IF(N(L168)=0,0,O168/L168)</f>
        <v>0.6</v>
      </c>
      <c r="S168" s="4" t="n">
        <f aca="false">IF(R168="","",IF(R168&gt;=0.8,50,IF(R168&gt;=0.5,30,IF(R168&gt;=0.01,10,0))))</f>
        <v>30</v>
      </c>
      <c r="T168" s="4" t="n">
        <f aca="false">IF(TRIM(AI168)="Yes",2.5,0)</f>
        <v>2.5</v>
      </c>
      <c r="U168" s="4" t="n">
        <f aca="false">IF(TRIM(AJ168)="Yes",10,0)</f>
        <v>10</v>
      </c>
      <c r="V168" s="4" t="n">
        <f aca="false">IF(TRIM(AK168)="Yes",5,0)</f>
        <v>5</v>
      </c>
      <c r="W168" s="4" t="n">
        <f aca="false">IF(TRIM(AM168)="Yes",5,0)</f>
        <v>5</v>
      </c>
      <c r="X168" s="4" t="n">
        <f aca="false">IF(OR(TRIM(AN168)="Fully Available",TRIM(AN168)="Not Applicable"),5,IF(TRIM(AN168)="Partially Available",2.5,0))</f>
        <v>5</v>
      </c>
      <c r="Y168" s="4" t="n">
        <f aca="false">IF(TRIM(AO168)="Yes",5,0)</f>
        <v>5</v>
      </c>
      <c r="Z168" s="4" t="n">
        <f aca="false">IF(TRIM(AP168)="Yes",2.5,0)</f>
        <v>2.5</v>
      </c>
      <c r="AA168" s="4" t="n">
        <f aca="false">IF(TRIM(AQ168)="Yes",5,0)</f>
        <v>5</v>
      </c>
      <c r="AB168" s="4" t="n">
        <f aca="false">IF(OR(TRIM(AR168)="Yes",TRIM(AR168)="Not Applicable"),5,0)</f>
        <v>5</v>
      </c>
      <c r="AC168" s="4" t="n">
        <f aca="false">IF(TRIM(AS168)="Excellent",5,IF(TRIM(AS168)="Very Good",4,IF(TRIM(AS168)="Good",3,IF(TRIM(AS168)="Average",2,0))))</f>
        <v>4</v>
      </c>
      <c r="AD168" s="7" t="n">
        <f aca="false">IF(COUNT(S168:AC168)=0,"",SUM(S168:AC168))</f>
        <v>79</v>
      </c>
      <c r="AE168" s="7" t="n">
        <f aca="false">IF(COUNTIF($F$2:F168,F168)=1,IFERROR(AVERAGEIF($F:$F,F168,$AD:$AD),""),"")</f>
        <v>69</v>
      </c>
      <c r="AF168" s="8" t="str">
        <f aca="false">IF(AH168&lt;&gt;"",AH168,IF(AE168="","",IF(AE168&gt;=80,"Excellent",IF(AE168&gt;=70,"Very Good",IF(AE168&gt;=60,"Good",IF(AE168&gt;=50,"Average","Poor"))))))</f>
        <v>Good</v>
      </c>
      <c r="AG168" s="5"/>
      <c r="AH168" s="4"/>
      <c r="AI168" s="4" t="s">
        <v>62</v>
      </c>
      <c r="AJ168" s="4" t="s">
        <v>62</v>
      </c>
      <c r="AK168" s="4" t="s">
        <v>62</v>
      </c>
      <c r="AL168" s="4" t="s">
        <v>63</v>
      </c>
      <c r="AM168" s="4" t="s">
        <v>62</v>
      </c>
      <c r="AN168" s="4" t="s">
        <v>64</v>
      </c>
      <c r="AO168" s="4" t="s">
        <v>62</v>
      </c>
      <c r="AP168" s="4" t="s">
        <v>62</v>
      </c>
      <c r="AQ168" s="4" t="s">
        <v>62</v>
      </c>
      <c r="AR168" s="4" t="s">
        <v>73</v>
      </c>
      <c r="AS168" s="4" t="s">
        <v>74</v>
      </c>
      <c r="AT168" s="4" t="n">
        <v>3</v>
      </c>
      <c r="AU168" s="4" t="s">
        <v>66</v>
      </c>
      <c r="AV168" s="4" t="s">
        <v>151</v>
      </c>
      <c r="AW168" s="4" t="s">
        <v>577</v>
      </c>
      <c r="AX168" s="4" t="s">
        <v>578</v>
      </c>
      <c r="AY168" s="4" t="n">
        <v>7</v>
      </c>
      <c r="AZ168" s="4" t="s">
        <v>62</v>
      </c>
      <c r="BA168" s="4" t="s">
        <v>579</v>
      </c>
      <c r="BB168" s="4" t="s">
        <v>497</v>
      </c>
      <c r="BC168" s="6" t="n">
        <v>0.4167</v>
      </c>
      <c r="BD168" s="4" t="n">
        <v>76</v>
      </c>
    </row>
    <row r="169" customFormat="false" ht="100.7" hidden="false" customHeight="false" outlineLevel="0" collapsed="false">
      <c r="A169" s="4"/>
      <c r="B169" s="4" t="s">
        <v>56</v>
      </c>
      <c r="C169" s="4" t="s">
        <v>57</v>
      </c>
      <c r="D169" s="4" t="s">
        <v>491</v>
      </c>
      <c r="E169" s="4" t="s">
        <v>500</v>
      </c>
      <c r="F169" s="4" t="n">
        <v>2343</v>
      </c>
      <c r="G169" s="5" t="s">
        <v>576</v>
      </c>
      <c r="H169" s="5" t="s">
        <v>261</v>
      </c>
      <c r="I169" s="4"/>
      <c r="J169" s="4"/>
      <c r="K169" s="4"/>
      <c r="L169" s="4" t="n">
        <v>15</v>
      </c>
      <c r="M169" s="4" t="n">
        <v>15</v>
      </c>
      <c r="N169" s="4" t="n">
        <v>0</v>
      </c>
      <c r="O169" s="4" t="n">
        <v>7</v>
      </c>
      <c r="P169" s="4" t="n">
        <v>8</v>
      </c>
      <c r="Q169" s="4" t="n">
        <v>5</v>
      </c>
      <c r="R169" s="6" t="n">
        <f aca="false">IF(N(L169)=0,0,O169/L169)</f>
        <v>0.466666666666667</v>
      </c>
      <c r="S169" s="4" t="n">
        <f aca="false">IF(R169="","",IF(R169&gt;=0.8,50,IF(R169&gt;=0.5,30,IF(R169&gt;=0.01,10,0))))</f>
        <v>10</v>
      </c>
      <c r="T169" s="4" t="n">
        <f aca="false">IF(TRIM(AI169)="Yes",2.5,0)</f>
        <v>2.5</v>
      </c>
      <c r="U169" s="4" t="n">
        <f aca="false">IF(TRIM(AJ169)="Yes",10,0)</f>
        <v>10</v>
      </c>
      <c r="V169" s="4" t="n">
        <f aca="false">IF(TRIM(AK169)="Yes",5,0)</f>
        <v>5</v>
      </c>
      <c r="W169" s="4" t="n">
        <f aca="false">IF(TRIM(AM169)="Yes",5,0)</f>
        <v>5</v>
      </c>
      <c r="X169" s="4" t="n">
        <f aca="false">IF(OR(TRIM(AN169)="Fully Available",TRIM(AN169)="Not Applicable"),5,IF(TRIM(AN169)="Partially Available",2.5,0))</f>
        <v>5</v>
      </c>
      <c r="Y169" s="4" t="n">
        <f aca="false">IF(TRIM(AO169)="Yes",5,0)</f>
        <v>5</v>
      </c>
      <c r="Z169" s="4" t="n">
        <f aca="false">IF(TRIM(AP169)="Yes",2.5,0)</f>
        <v>2.5</v>
      </c>
      <c r="AA169" s="4" t="n">
        <f aca="false">IF(TRIM(AQ169)="Yes",5,0)</f>
        <v>5</v>
      </c>
      <c r="AB169" s="4" t="n">
        <f aca="false">IF(OR(TRIM(AR169)="Yes",TRIM(AR169)="Not Applicable"),5,0)</f>
        <v>5</v>
      </c>
      <c r="AC169" s="4" t="n">
        <f aca="false">IF(TRIM(AS169)="Excellent",5,IF(TRIM(AS169)="Very Good",4,IF(TRIM(AS169)="Good",3,IF(TRIM(AS169)="Average",2,0))))</f>
        <v>4</v>
      </c>
      <c r="AD169" s="7" t="n">
        <f aca="false">IF(COUNT(S169:AC169)=0,"",SUM(S169:AC169))</f>
        <v>59</v>
      </c>
      <c r="AE169" s="7"/>
      <c r="AF169" s="8"/>
      <c r="AG169" s="5"/>
      <c r="AH169" s="4"/>
      <c r="AI169" s="4" t="s">
        <v>62</v>
      </c>
      <c r="AJ169" s="4" t="s">
        <v>62</v>
      </c>
      <c r="AK169" s="4" t="s">
        <v>62</v>
      </c>
      <c r="AL169" s="4" t="s">
        <v>63</v>
      </c>
      <c r="AM169" s="4" t="s">
        <v>62</v>
      </c>
      <c r="AN169" s="4" t="s">
        <v>64</v>
      </c>
      <c r="AO169" s="4" t="s">
        <v>62</v>
      </c>
      <c r="AP169" s="4" t="s">
        <v>62</v>
      </c>
      <c r="AQ169" s="4" t="s">
        <v>62</v>
      </c>
      <c r="AR169" s="4" t="s">
        <v>73</v>
      </c>
      <c r="AS169" s="4" t="s">
        <v>74</v>
      </c>
      <c r="AT169" s="4" t="n">
        <v>9</v>
      </c>
      <c r="AU169" s="4" t="s">
        <v>66</v>
      </c>
      <c r="AV169" s="4" t="s">
        <v>151</v>
      </c>
      <c r="AW169" s="4" t="s">
        <v>580</v>
      </c>
      <c r="AX169" s="4" t="s">
        <v>581</v>
      </c>
      <c r="AY169" s="4" t="n">
        <v>6</v>
      </c>
      <c r="AZ169" s="4" t="s">
        <v>62</v>
      </c>
      <c r="BA169" s="4" t="s">
        <v>579</v>
      </c>
      <c r="BB169" s="4" t="s">
        <v>497</v>
      </c>
      <c r="BC169" s="6" t="n">
        <v>0.7143</v>
      </c>
      <c r="BD169" s="4" t="n">
        <v>76</v>
      </c>
    </row>
    <row r="170" customFormat="false" ht="29.85" hidden="false" customHeight="false" outlineLevel="0" collapsed="false">
      <c r="A170" s="4" t="n">
        <v>67</v>
      </c>
      <c r="B170" s="4" t="s">
        <v>56</v>
      </c>
      <c r="C170" s="4" t="s">
        <v>57</v>
      </c>
      <c r="D170" s="4" t="s">
        <v>491</v>
      </c>
      <c r="E170" s="4" t="s">
        <v>505</v>
      </c>
      <c r="F170" s="4" t="n">
        <v>5995</v>
      </c>
      <c r="G170" s="5" t="s">
        <v>582</v>
      </c>
      <c r="H170" s="5" t="s">
        <v>78</v>
      </c>
      <c r="I170" s="4"/>
      <c r="J170" s="4"/>
      <c r="K170" s="4"/>
      <c r="L170" s="4" t="n">
        <v>20</v>
      </c>
      <c r="M170" s="4" t="n">
        <v>20</v>
      </c>
      <c r="N170" s="4" t="n">
        <v>0</v>
      </c>
      <c r="O170" s="4" t="n">
        <v>19</v>
      </c>
      <c r="P170" s="4" t="n">
        <v>1</v>
      </c>
      <c r="Q170" s="4" t="n">
        <v>6</v>
      </c>
      <c r="R170" s="6" t="n">
        <f aca="false">IF(N(L170)=0,0,O170/L170)</f>
        <v>0.95</v>
      </c>
      <c r="S170" s="4" t="n">
        <f aca="false">IF(R170="","",IF(R170&gt;=0.8,50,IF(R170&gt;=0.5,30,IF(R170&gt;=0.01,10,0))))</f>
        <v>50</v>
      </c>
      <c r="T170" s="4" t="n">
        <f aca="false">IF(TRIM(AI170)="Yes",2.5,0)</f>
        <v>2.5</v>
      </c>
      <c r="U170" s="4" t="n">
        <f aca="false">IF(TRIM(AJ170)="Yes",10,0)</f>
        <v>10</v>
      </c>
      <c r="V170" s="4" t="n">
        <f aca="false">IF(TRIM(AK170)="Yes",5,0)</f>
        <v>5</v>
      </c>
      <c r="W170" s="4" t="n">
        <f aca="false">IF(TRIM(AM170)="Yes",5,0)</f>
        <v>5</v>
      </c>
      <c r="X170" s="4" t="n">
        <f aca="false">IF(OR(TRIM(AN170)="Fully Available",TRIM(AN170)="Not Applicable"),5,IF(TRIM(AN170)="Partially Available",2.5,0))</f>
        <v>5</v>
      </c>
      <c r="Y170" s="4" t="n">
        <f aca="false">IF(TRIM(AO170)="Yes",5,0)</f>
        <v>5</v>
      </c>
      <c r="Z170" s="4" t="n">
        <f aca="false">IF(TRIM(AP170)="Yes",2.5,0)</f>
        <v>2.5</v>
      </c>
      <c r="AA170" s="4" t="n">
        <f aca="false">IF(TRIM(AQ170)="Yes",5,0)</f>
        <v>5</v>
      </c>
      <c r="AB170" s="4" t="n">
        <f aca="false">IF(OR(TRIM(AR170)="Yes",TRIM(AR170)="Not Applicable"),5,0)</f>
        <v>5</v>
      </c>
      <c r="AC170" s="4" t="n">
        <f aca="false">IF(TRIM(AS170)="Excellent",5,IF(TRIM(AS170)="Very Good",4,IF(TRIM(AS170)="Good",3,IF(TRIM(AS170)="Average",2,0))))</f>
        <v>3</v>
      </c>
      <c r="AD170" s="7" t="n">
        <f aca="false">IF(COUNT(S170:AC170)=0,"",SUM(S170:AC170))</f>
        <v>98</v>
      </c>
      <c r="AE170" s="7" t="n">
        <f aca="false">IF(COUNTIF($F$2:F170,F170)=1,IFERROR(AVERAGEIF($F:$F,F170,$AD:$AD),""),"")</f>
        <v>98</v>
      </c>
      <c r="AF170" s="8" t="str">
        <f aca="false">IF(AH170&lt;&gt;"",AH170,IF(AE170="","",IF(AE170&gt;=80,"Excellent",IF(AE170&gt;=70,"Very Good",IF(AE170&gt;=60,"Good",IF(AE170&gt;=50,"Average","Poor"))))))</f>
        <v>Excellent</v>
      </c>
      <c r="AG170" s="5"/>
      <c r="AH170" s="4"/>
      <c r="AI170" s="4" t="s">
        <v>62</v>
      </c>
      <c r="AJ170" s="4" t="s">
        <v>62</v>
      </c>
      <c r="AK170" s="4" t="s">
        <v>62</v>
      </c>
      <c r="AL170" s="4" t="s">
        <v>63</v>
      </c>
      <c r="AM170" s="4" t="s">
        <v>62</v>
      </c>
      <c r="AN170" s="4" t="s">
        <v>64</v>
      </c>
      <c r="AO170" s="4" t="s">
        <v>62</v>
      </c>
      <c r="AP170" s="4" t="s">
        <v>62</v>
      </c>
      <c r="AQ170" s="4" t="s">
        <v>62</v>
      </c>
      <c r="AR170" s="4" t="s">
        <v>62</v>
      </c>
      <c r="AS170" s="4" t="s">
        <v>185</v>
      </c>
      <c r="AT170" s="4" t="n">
        <v>7</v>
      </c>
      <c r="AU170" s="4" t="s">
        <v>66</v>
      </c>
      <c r="AV170" s="4" t="s">
        <v>151</v>
      </c>
      <c r="AW170" s="4" t="s">
        <v>583</v>
      </c>
      <c r="AX170" s="4" t="s">
        <v>584</v>
      </c>
      <c r="AY170" s="4" t="n">
        <v>8</v>
      </c>
      <c r="AZ170" s="4" t="s">
        <v>62</v>
      </c>
      <c r="BA170" s="4" t="s">
        <v>585</v>
      </c>
      <c r="BB170" s="4" t="s">
        <v>497</v>
      </c>
      <c r="BC170" s="6" t="n">
        <v>0.3158</v>
      </c>
      <c r="BD170" s="4" t="n">
        <v>99</v>
      </c>
    </row>
    <row r="171" customFormat="false" ht="44" hidden="false" customHeight="false" outlineLevel="0" collapsed="false">
      <c r="A171" s="4" t="n">
        <v>68</v>
      </c>
      <c r="B171" s="4" t="s">
        <v>56</v>
      </c>
      <c r="C171" s="4" t="s">
        <v>57</v>
      </c>
      <c r="D171" s="4" t="s">
        <v>491</v>
      </c>
      <c r="E171" s="4" t="s">
        <v>500</v>
      </c>
      <c r="F171" s="4" t="n">
        <v>563</v>
      </c>
      <c r="G171" s="5" t="s">
        <v>586</v>
      </c>
      <c r="H171" s="5" t="s">
        <v>587</v>
      </c>
      <c r="I171" s="4"/>
      <c r="J171" s="4"/>
      <c r="K171" s="4"/>
      <c r="L171" s="4" t="n">
        <v>20</v>
      </c>
      <c r="M171" s="4" t="n">
        <v>20</v>
      </c>
      <c r="N171" s="4" t="n">
        <v>0</v>
      </c>
      <c r="O171" s="4" t="n">
        <v>19</v>
      </c>
      <c r="P171" s="4" t="n">
        <v>1</v>
      </c>
      <c r="Q171" s="4" t="n">
        <v>5</v>
      </c>
      <c r="R171" s="6" t="n">
        <f aca="false">IF(N(L171)=0,0,O171/L171)</f>
        <v>0.95</v>
      </c>
      <c r="S171" s="4" t="n">
        <f aca="false">IF(R171="","",IF(R171&gt;=0.8,50,IF(R171&gt;=0.5,30,IF(R171&gt;=0.01,10,0))))</f>
        <v>50</v>
      </c>
      <c r="T171" s="4" t="n">
        <f aca="false">IF(TRIM(AI171)="Yes",2.5,0)</f>
        <v>2.5</v>
      </c>
      <c r="U171" s="4" t="n">
        <f aca="false">IF(TRIM(AJ171)="Yes",10,0)</f>
        <v>10</v>
      </c>
      <c r="V171" s="4" t="n">
        <f aca="false">IF(TRIM(AK171)="Yes",5,0)</f>
        <v>5</v>
      </c>
      <c r="W171" s="4" t="n">
        <f aca="false">IF(TRIM(AM171)="Yes",5,0)</f>
        <v>5</v>
      </c>
      <c r="X171" s="4" t="n">
        <f aca="false">IF(OR(TRIM(AN171)="Fully Available",TRIM(AN171)="Not Applicable"),5,IF(TRIM(AN171)="Partially Available",2.5,0))</f>
        <v>5</v>
      </c>
      <c r="Y171" s="4" t="n">
        <f aca="false">IF(TRIM(AO171)="Yes",5,0)</f>
        <v>5</v>
      </c>
      <c r="Z171" s="4" t="n">
        <f aca="false">IF(TRIM(AP171)="Yes",2.5,0)</f>
        <v>2.5</v>
      </c>
      <c r="AA171" s="4" t="n">
        <f aca="false">IF(TRIM(AQ171)="Yes",5,0)</f>
        <v>5</v>
      </c>
      <c r="AB171" s="4" t="n">
        <f aca="false">IF(OR(TRIM(AR171)="Yes",TRIM(AR171)="Not Applicable"),5,0)</f>
        <v>5</v>
      </c>
      <c r="AC171" s="4" t="n">
        <f aca="false">IF(TRIM(AS171)="Excellent",5,IF(TRIM(AS171)="Very Good",4,IF(TRIM(AS171)="Good",3,IF(TRIM(AS171)="Average",2,0))))</f>
        <v>4</v>
      </c>
      <c r="AD171" s="7" t="n">
        <f aca="false">IF(COUNT(S171:AC171)=0,"",SUM(S171:AC171))</f>
        <v>99</v>
      </c>
      <c r="AE171" s="7" t="n">
        <f aca="false">IF(COUNTIF($F$2:F171,F171)=1,IFERROR(AVERAGEIF($F:$F,F171,$AD:$AD),""),"")</f>
        <v>99</v>
      </c>
      <c r="AF171" s="8" t="str">
        <f aca="false">IF(AH171&lt;&gt;"",AH171,IF(AE171="","",IF(AE171&gt;=80,"Excellent",IF(AE171&gt;=70,"Very Good",IF(AE171&gt;=60,"Good",IF(AE171&gt;=50,"Average","Poor"))))))</f>
        <v>Excellent</v>
      </c>
      <c r="AG171" s="5"/>
      <c r="AH171" s="4"/>
      <c r="AI171" s="4" t="s">
        <v>62</v>
      </c>
      <c r="AJ171" s="4" t="s">
        <v>62</v>
      </c>
      <c r="AK171" s="4" t="s">
        <v>62</v>
      </c>
      <c r="AL171" s="4" t="s">
        <v>63</v>
      </c>
      <c r="AM171" s="4" t="s">
        <v>62</v>
      </c>
      <c r="AN171" s="4" t="s">
        <v>64</v>
      </c>
      <c r="AO171" s="4" t="s">
        <v>62</v>
      </c>
      <c r="AP171" s="4" t="s">
        <v>62</v>
      </c>
      <c r="AQ171" s="4" t="s">
        <v>62</v>
      </c>
      <c r="AR171" s="4" t="s">
        <v>62</v>
      </c>
      <c r="AS171" s="4" t="s">
        <v>74</v>
      </c>
      <c r="AT171" s="4" t="n">
        <v>4</v>
      </c>
      <c r="AU171" s="4" t="s">
        <v>66</v>
      </c>
      <c r="AV171" s="4" t="s">
        <v>151</v>
      </c>
      <c r="AW171" s="4" t="s">
        <v>588</v>
      </c>
      <c r="AX171" s="4" t="s">
        <v>192</v>
      </c>
      <c r="AY171" s="4" t="n">
        <v>40</v>
      </c>
      <c r="AZ171" s="4" t="s">
        <v>62</v>
      </c>
      <c r="BA171" s="4" t="s">
        <v>589</v>
      </c>
      <c r="BB171" s="4" t="s">
        <v>497</v>
      </c>
      <c r="BC171" s="6" t="n">
        <v>0.2632</v>
      </c>
      <c r="BD171" s="4" t="n">
        <v>99</v>
      </c>
    </row>
    <row r="172" customFormat="false" ht="100.7" hidden="false" customHeight="false" outlineLevel="0" collapsed="false">
      <c r="A172" s="4" t="n">
        <v>69</v>
      </c>
      <c r="B172" s="4" t="s">
        <v>56</v>
      </c>
      <c r="C172" s="4" t="s">
        <v>57</v>
      </c>
      <c r="D172" s="4" t="s">
        <v>491</v>
      </c>
      <c r="E172" s="4" t="s">
        <v>572</v>
      </c>
      <c r="F172" s="4" t="n">
        <v>953</v>
      </c>
      <c r="G172" s="5" t="s">
        <v>590</v>
      </c>
      <c r="H172" s="5" t="s">
        <v>61</v>
      </c>
      <c r="I172" s="4"/>
      <c r="J172" s="4"/>
      <c r="K172" s="4"/>
      <c r="L172" s="4" t="n">
        <v>15</v>
      </c>
      <c r="M172" s="4" t="n">
        <v>15</v>
      </c>
      <c r="N172" s="4" t="n">
        <v>0</v>
      </c>
      <c r="O172" s="4" t="n">
        <v>15</v>
      </c>
      <c r="P172" s="4" t="n">
        <v>0</v>
      </c>
      <c r="Q172" s="4" t="n">
        <v>6</v>
      </c>
      <c r="R172" s="6" t="n">
        <f aca="false">IF(N(L172)=0,0,O172/L172)</f>
        <v>1</v>
      </c>
      <c r="S172" s="4" t="n">
        <f aca="false">IF(R172="","",IF(R172&gt;=0.8,50,IF(R172&gt;=0.5,30,IF(R172&gt;=0.01,10,0))))</f>
        <v>50</v>
      </c>
      <c r="T172" s="4" t="n">
        <f aca="false">IF(TRIM(AI172)="Yes",2.5,0)</f>
        <v>2.5</v>
      </c>
      <c r="U172" s="4" t="n">
        <f aca="false">IF(TRIM(AJ172)="Yes",10,0)</f>
        <v>10</v>
      </c>
      <c r="V172" s="4" t="n">
        <f aca="false">IF(TRIM(AK172)="Yes",5,0)</f>
        <v>5</v>
      </c>
      <c r="W172" s="4" t="n">
        <f aca="false">IF(TRIM(AM172)="Yes",5,0)</f>
        <v>5</v>
      </c>
      <c r="X172" s="4" t="n">
        <f aca="false">IF(OR(TRIM(AN172)="Fully Available",TRIM(AN172)="Not Applicable"),5,IF(TRIM(AN172)="Partially Available",2.5,0))</f>
        <v>5</v>
      </c>
      <c r="Y172" s="4" t="n">
        <f aca="false">IF(TRIM(AO172)="Yes",5,0)</f>
        <v>0</v>
      </c>
      <c r="Z172" s="4" t="n">
        <f aca="false">IF(TRIM(AP172)="Yes",2.5,0)</f>
        <v>0</v>
      </c>
      <c r="AA172" s="4" t="n">
        <f aca="false">IF(TRIM(AQ172)="Yes",5,0)</f>
        <v>5</v>
      </c>
      <c r="AB172" s="4" t="n">
        <f aca="false">IF(OR(TRIM(AR172)="Yes",TRIM(AR172)="Not Applicable"),5,0)</f>
        <v>5</v>
      </c>
      <c r="AC172" s="4" t="n">
        <f aca="false">IF(TRIM(AS172)="Excellent",5,IF(TRIM(AS172)="Very Good",4,IF(TRIM(AS172)="Good",3,IF(TRIM(AS172)="Average",2,0))))</f>
        <v>4</v>
      </c>
      <c r="AD172" s="7" t="n">
        <f aca="false">IF(COUNT(S172:AC172)=0,"",SUM(S172:AC172))</f>
        <v>91.5</v>
      </c>
      <c r="AE172" s="7" t="n">
        <f aca="false">IF(COUNTIF($F$2:F172,F172)=1,IFERROR(AVERAGEIF($F:$F,F172,$AD:$AD),""),"")</f>
        <v>87.5</v>
      </c>
      <c r="AF172" s="8" t="str">
        <f aca="false">IF(AH172&lt;&gt;"",AH172,IF(AE172="","",IF(AE172&gt;=80,"Excellent",IF(AE172&gt;=70,"Very Good",IF(AE172&gt;=60,"Good",IF(AE172&gt;=50,"Average","Poor"))))))</f>
        <v>Excellent</v>
      </c>
      <c r="AG172" s="5"/>
      <c r="AH172" s="4"/>
      <c r="AI172" s="4" t="s">
        <v>62</v>
      </c>
      <c r="AJ172" s="4" t="s">
        <v>62</v>
      </c>
      <c r="AK172" s="4" t="s">
        <v>62</v>
      </c>
      <c r="AL172" s="4" t="s">
        <v>63</v>
      </c>
      <c r="AM172" s="4" t="s">
        <v>62</v>
      </c>
      <c r="AN172" s="4" t="s">
        <v>64</v>
      </c>
      <c r="AO172" s="4" t="s">
        <v>82</v>
      </c>
      <c r="AP172" s="4" t="s">
        <v>82</v>
      </c>
      <c r="AQ172" s="4" t="s">
        <v>62</v>
      </c>
      <c r="AR172" s="4" t="s">
        <v>73</v>
      </c>
      <c r="AS172" s="4" t="s">
        <v>74</v>
      </c>
      <c r="AT172" s="4" t="n">
        <v>7</v>
      </c>
      <c r="AU172" s="4" t="s">
        <v>66</v>
      </c>
      <c r="AV172" s="4" t="s">
        <v>208</v>
      </c>
      <c r="AW172" s="4" t="s">
        <v>591</v>
      </c>
      <c r="AX172" s="4" t="s">
        <v>592</v>
      </c>
      <c r="AY172" s="4" t="n">
        <v>1</v>
      </c>
      <c r="AZ172" s="4" t="s">
        <v>62</v>
      </c>
      <c r="BA172" s="4" t="s">
        <v>593</v>
      </c>
      <c r="BB172" s="4" t="s">
        <v>497</v>
      </c>
      <c r="BC172" s="6" t="n">
        <v>0.4</v>
      </c>
      <c r="BD172" s="4" t="n">
        <v>75</v>
      </c>
    </row>
    <row r="173" customFormat="false" ht="100.7" hidden="false" customHeight="false" outlineLevel="0" collapsed="false">
      <c r="A173" s="4"/>
      <c r="B173" s="4" t="s">
        <v>56</v>
      </c>
      <c r="C173" s="4" t="s">
        <v>57</v>
      </c>
      <c r="D173" s="4" t="s">
        <v>491</v>
      </c>
      <c r="E173" s="4" t="s">
        <v>572</v>
      </c>
      <c r="F173" s="4" t="n">
        <v>953</v>
      </c>
      <c r="G173" s="5" t="s">
        <v>590</v>
      </c>
      <c r="H173" s="5" t="s">
        <v>238</v>
      </c>
      <c r="I173" s="4"/>
      <c r="J173" s="4"/>
      <c r="K173" s="4"/>
      <c r="L173" s="4" t="n">
        <v>15</v>
      </c>
      <c r="M173" s="4" t="n">
        <v>15</v>
      </c>
      <c r="N173" s="4" t="n">
        <v>0</v>
      </c>
      <c r="O173" s="4" t="n">
        <v>15</v>
      </c>
      <c r="P173" s="4" t="n">
        <v>0</v>
      </c>
      <c r="Q173" s="4" t="n">
        <v>5</v>
      </c>
      <c r="R173" s="6" t="n">
        <f aca="false">IF(N(L173)=0,0,O173/L173)</f>
        <v>1</v>
      </c>
      <c r="S173" s="4" t="n">
        <f aca="false">IF(R173="","",IF(R173&gt;=0.8,50,IF(R173&gt;=0.5,30,IF(R173&gt;=0.01,10,0))))</f>
        <v>50</v>
      </c>
      <c r="T173" s="4" t="n">
        <f aca="false">IF(TRIM(AI173)="Yes",2.5,0)</f>
        <v>2.5</v>
      </c>
      <c r="U173" s="4" t="n">
        <f aca="false">IF(TRIM(AJ173)="Yes",10,0)</f>
        <v>10</v>
      </c>
      <c r="V173" s="4" t="n">
        <f aca="false">IF(TRIM(AK173)="Yes",5,0)</f>
        <v>5</v>
      </c>
      <c r="W173" s="4" t="n">
        <f aca="false">IF(TRIM(AM173)="Yes",5,0)</f>
        <v>5</v>
      </c>
      <c r="X173" s="4" t="n">
        <f aca="false">IF(OR(TRIM(AN173)="Fully Available",TRIM(AN173)="Not Applicable"),5,IF(TRIM(AN173)="Partially Available",2.5,0))</f>
        <v>5</v>
      </c>
      <c r="Y173" s="4" t="n">
        <f aca="false">IF(TRIM(AO173)="Yes",5,0)</f>
        <v>0</v>
      </c>
      <c r="Z173" s="4" t="n">
        <f aca="false">IF(TRIM(AP173)="Yes",2.5,0)</f>
        <v>0</v>
      </c>
      <c r="AA173" s="4" t="n">
        <f aca="false">IF(TRIM(AQ173)="Yes",5,0)</f>
        <v>5</v>
      </c>
      <c r="AB173" s="4" t="n">
        <f aca="false">IF(OR(TRIM(AR173)="Yes",TRIM(AR173)="Not Applicable"),5,0)</f>
        <v>5</v>
      </c>
      <c r="AC173" s="4" t="n">
        <f aca="false">IF(TRIM(AS173)="Excellent",5,IF(TRIM(AS173)="Very Good",4,IF(TRIM(AS173)="Good",3,IF(TRIM(AS173)="Average",2,0))))</f>
        <v>4</v>
      </c>
      <c r="AD173" s="7" t="n">
        <f aca="false">IF(COUNT(S173:AC173)=0,"",SUM(S173:AC173))</f>
        <v>91.5</v>
      </c>
      <c r="AE173" s="7"/>
      <c r="AF173" s="8"/>
      <c r="AG173" s="5"/>
      <c r="AH173" s="4"/>
      <c r="AI173" s="4" t="s">
        <v>62</v>
      </c>
      <c r="AJ173" s="4" t="s">
        <v>62</v>
      </c>
      <c r="AK173" s="4" t="s">
        <v>62</v>
      </c>
      <c r="AL173" s="4" t="s">
        <v>63</v>
      </c>
      <c r="AM173" s="4" t="s">
        <v>62</v>
      </c>
      <c r="AN173" s="4" t="s">
        <v>64</v>
      </c>
      <c r="AO173" s="4" t="s">
        <v>82</v>
      </c>
      <c r="AP173" s="4" t="s">
        <v>82</v>
      </c>
      <c r="AQ173" s="4" t="s">
        <v>62</v>
      </c>
      <c r="AR173" s="4" t="s">
        <v>73</v>
      </c>
      <c r="AS173" s="4" t="s">
        <v>74</v>
      </c>
      <c r="AT173" s="4" t="n">
        <v>3</v>
      </c>
      <c r="AU173" s="4" t="s">
        <v>66</v>
      </c>
      <c r="AV173" s="4" t="s">
        <v>208</v>
      </c>
      <c r="AW173" s="4" t="s">
        <v>594</v>
      </c>
      <c r="AX173" s="4" t="s">
        <v>595</v>
      </c>
      <c r="AY173" s="4" t="n">
        <v>5</v>
      </c>
      <c r="AZ173" s="4" t="s">
        <v>62</v>
      </c>
      <c r="BA173" s="4" t="s">
        <v>593</v>
      </c>
      <c r="BB173" s="4" t="s">
        <v>497</v>
      </c>
      <c r="BC173" s="6" t="n">
        <v>0.3333</v>
      </c>
      <c r="BD173" s="4" t="n">
        <v>75</v>
      </c>
    </row>
    <row r="174" customFormat="false" ht="100.7" hidden="false" customHeight="false" outlineLevel="0" collapsed="false">
      <c r="A174" s="4"/>
      <c r="B174" s="4" t="s">
        <v>56</v>
      </c>
      <c r="C174" s="4" t="s">
        <v>57</v>
      </c>
      <c r="D174" s="4" t="s">
        <v>491</v>
      </c>
      <c r="E174" s="4" t="s">
        <v>572</v>
      </c>
      <c r="F174" s="4" t="n">
        <v>953</v>
      </c>
      <c r="G174" s="5" t="s">
        <v>590</v>
      </c>
      <c r="H174" s="5" t="s">
        <v>90</v>
      </c>
      <c r="I174" s="4"/>
      <c r="J174" s="4"/>
      <c r="K174" s="4"/>
      <c r="L174" s="4" t="n">
        <v>15</v>
      </c>
      <c r="M174" s="4" t="n">
        <v>15</v>
      </c>
      <c r="N174" s="4" t="n">
        <v>0</v>
      </c>
      <c r="O174" s="4" t="n">
        <v>11</v>
      </c>
      <c r="P174" s="4" t="n">
        <v>4</v>
      </c>
      <c r="Q174" s="4" t="n">
        <v>5</v>
      </c>
      <c r="R174" s="6" t="n">
        <f aca="false">IF(N(L174)=0,0,O174/L174)</f>
        <v>0.733333333333333</v>
      </c>
      <c r="S174" s="4" t="n">
        <f aca="false">IF(R174="","",IF(R174&gt;=0.8,50,IF(R174&gt;=0.5,30,IF(R174&gt;=0.01,10,0))))</f>
        <v>30</v>
      </c>
      <c r="T174" s="4" t="n">
        <f aca="false">IF(TRIM(AI174)="Yes",2.5,0)</f>
        <v>2.5</v>
      </c>
      <c r="U174" s="4" t="n">
        <f aca="false">IF(TRIM(AJ174)="Yes",10,0)</f>
        <v>10</v>
      </c>
      <c r="V174" s="4" t="n">
        <f aca="false">IF(TRIM(AK174)="Yes",5,0)</f>
        <v>5</v>
      </c>
      <c r="W174" s="4" t="n">
        <f aca="false">IF(TRIM(AM174)="Yes",5,0)</f>
        <v>5</v>
      </c>
      <c r="X174" s="4" t="n">
        <f aca="false">IF(OR(TRIM(AN174)="Fully Available",TRIM(AN174)="Not Applicable"),5,IF(TRIM(AN174)="Partially Available",2.5,0))</f>
        <v>5</v>
      </c>
      <c r="Y174" s="4" t="n">
        <f aca="false">IF(TRIM(AO174)="Yes",5,0)</f>
        <v>0</v>
      </c>
      <c r="Z174" s="4" t="n">
        <f aca="false">IF(TRIM(AP174)="Yes",2.5,0)</f>
        <v>0</v>
      </c>
      <c r="AA174" s="4" t="n">
        <f aca="false">IF(TRIM(AQ174)="Yes",5,0)</f>
        <v>5</v>
      </c>
      <c r="AB174" s="4" t="n">
        <f aca="false">IF(OR(TRIM(AR174)="Yes",TRIM(AR174)="Not Applicable"),5,0)</f>
        <v>5</v>
      </c>
      <c r="AC174" s="4" t="n">
        <f aca="false">IF(TRIM(AS174)="Excellent",5,IF(TRIM(AS174)="Very Good",4,IF(TRIM(AS174)="Good",3,IF(TRIM(AS174)="Average",2,0))))</f>
        <v>4</v>
      </c>
      <c r="AD174" s="7" t="n">
        <f aca="false">IF(COUNT(S174:AC174)=0,"",SUM(S174:AC174))</f>
        <v>71.5</v>
      </c>
      <c r="AE174" s="7"/>
      <c r="AF174" s="8"/>
      <c r="AG174" s="5"/>
      <c r="AH174" s="4"/>
      <c r="AI174" s="4" t="s">
        <v>62</v>
      </c>
      <c r="AJ174" s="4" t="s">
        <v>62</v>
      </c>
      <c r="AK174" s="4" t="s">
        <v>62</v>
      </c>
      <c r="AL174" s="4" t="s">
        <v>63</v>
      </c>
      <c r="AM174" s="4" t="s">
        <v>62</v>
      </c>
      <c r="AN174" s="4" t="s">
        <v>64</v>
      </c>
      <c r="AO174" s="4" t="s">
        <v>82</v>
      </c>
      <c r="AP174" s="4" t="s">
        <v>82</v>
      </c>
      <c r="AQ174" s="4" t="s">
        <v>62</v>
      </c>
      <c r="AR174" s="4" t="s">
        <v>73</v>
      </c>
      <c r="AS174" s="4" t="s">
        <v>74</v>
      </c>
      <c r="AT174" s="4" t="n">
        <v>2</v>
      </c>
      <c r="AU174" s="4" t="s">
        <v>66</v>
      </c>
      <c r="AV174" s="4" t="s">
        <v>208</v>
      </c>
      <c r="AW174" s="4" t="s">
        <v>596</v>
      </c>
      <c r="AX174" s="4" t="s">
        <v>597</v>
      </c>
      <c r="AY174" s="4" t="n">
        <v>1</v>
      </c>
      <c r="AZ174" s="4" t="s">
        <v>62</v>
      </c>
      <c r="BA174" s="4" t="s">
        <v>593</v>
      </c>
      <c r="BB174" s="4" t="s">
        <v>497</v>
      </c>
      <c r="BC174" s="6" t="n">
        <v>0.4545</v>
      </c>
      <c r="BD174" s="4" t="n">
        <v>75</v>
      </c>
    </row>
    <row r="175" customFormat="false" ht="100.7" hidden="false" customHeight="false" outlineLevel="0" collapsed="false">
      <c r="A175" s="4"/>
      <c r="B175" s="4" t="s">
        <v>56</v>
      </c>
      <c r="C175" s="4" t="s">
        <v>57</v>
      </c>
      <c r="D175" s="4" t="s">
        <v>491</v>
      </c>
      <c r="E175" s="4" t="s">
        <v>572</v>
      </c>
      <c r="F175" s="4" t="n">
        <v>953</v>
      </c>
      <c r="G175" s="5" t="s">
        <v>590</v>
      </c>
      <c r="H175" s="5" t="s">
        <v>118</v>
      </c>
      <c r="I175" s="4"/>
      <c r="J175" s="4"/>
      <c r="K175" s="4"/>
      <c r="L175" s="4" t="n">
        <v>20</v>
      </c>
      <c r="M175" s="4" t="n">
        <v>20</v>
      </c>
      <c r="N175" s="4" t="n">
        <v>0</v>
      </c>
      <c r="O175" s="4" t="n">
        <v>18</v>
      </c>
      <c r="P175" s="4" t="n">
        <v>2</v>
      </c>
      <c r="Q175" s="4" t="n">
        <v>5</v>
      </c>
      <c r="R175" s="6" t="n">
        <f aca="false">IF(N(L175)=0,0,O175/L175)</f>
        <v>0.9</v>
      </c>
      <c r="S175" s="4" t="n">
        <f aca="false">IF(R175="","",IF(R175&gt;=0.8,50,IF(R175&gt;=0.5,30,IF(R175&gt;=0.01,10,0))))</f>
        <v>50</v>
      </c>
      <c r="T175" s="4" t="n">
        <f aca="false">IF(TRIM(AI175)="Yes",2.5,0)</f>
        <v>2.5</v>
      </c>
      <c r="U175" s="4" t="n">
        <f aca="false">IF(TRIM(AJ175)="Yes",10,0)</f>
        <v>10</v>
      </c>
      <c r="V175" s="4" t="n">
        <f aca="false">IF(TRIM(AK175)="Yes",5,0)</f>
        <v>5</v>
      </c>
      <c r="W175" s="4" t="n">
        <f aca="false">IF(TRIM(AM175)="Yes",5,0)</f>
        <v>5</v>
      </c>
      <c r="X175" s="4" t="n">
        <f aca="false">IF(OR(TRIM(AN175)="Fully Available",TRIM(AN175)="Not Applicable"),5,IF(TRIM(AN175)="Partially Available",2.5,0))</f>
        <v>5</v>
      </c>
      <c r="Y175" s="4" t="n">
        <f aca="false">IF(TRIM(AO175)="Yes",5,0)</f>
        <v>0</v>
      </c>
      <c r="Z175" s="4" t="n">
        <f aca="false">IF(TRIM(AP175)="Yes",2.5,0)</f>
        <v>0</v>
      </c>
      <c r="AA175" s="4" t="n">
        <f aca="false">IF(TRIM(AQ175)="Yes",5,0)</f>
        <v>5</v>
      </c>
      <c r="AB175" s="4" t="n">
        <f aca="false">IF(OR(TRIM(AR175)="Yes",TRIM(AR175)="Not Applicable"),5,0)</f>
        <v>5</v>
      </c>
      <c r="AC175" s="4" t="n">
        <f aca="false">IF(TRIM(AS175)="Excellent",5,IF(TRIM(AS175)="Very Good",4,IF(TRIM(AS175)="Good",3,IF(TRIM(AS175)="Average",2,0))))</f>
        <v>4</v>
      </c>
      <c r="AD175" s="7" t="n">
        <f aca="false">IF(COUNT(S175:AC175)=0,"",SUM(S175:AC175))</f>
        <v>91.5</v>
      </c>
      <c r="AE175" s="7"/>
      <c r="AF175" s="8"/>
      <c r="AG175" s="5"/>
      <c r="AH175" s="4"/>
      <c r="AI175" s="4" t="s">
        <v>62</v>
      </c>
      <c r="AJ175" s="4" t="s">
        <v>62</v>
      </c>
      <c r="AK175" s="4" t="s">
        <v>62</v>
      </c>
      <c r="AL175" s="4" t="s">
        <v>63</v>
      </c>
      <c r="AM175" s="4" t="s">
        <v>62</v>
      </c>
      <c r="AN175" s="4" t="s">
        <v>64</v>
      </c>
      <c r="AO175" s="4" t="s">
        <v>82</v>
      </c>
      <c r="AP175" s="4" t="s">
        <v>82</v>
      </c>
      <c r="AQ175" s="4" t="s">
        <v>62</v>
      </c>
      <c r="AR175" s="4" t="s">
        <v>73</v>
      </c>
      <c r="AS175" s="4" t="s">
        <v>74</v>
      </c>
      <c r="AT175" s="4" t="n">
        <v>8</v>
      </c>
      <c r="AU175" s="4" t="s">
        <v>66</v>
      </c>
      <c r="AV175" s="4" t="s">
        <v>208</v>
      </c>
      <c r="AW175" s="4" t="s">
        <v>598</v>
      </c>
      <c r="AX175" s="4" t="s">
        <v>188</v>
      </c>
      <c r="AY175" s="4" t="n">
        <v>13</v>
      </c>
      <c r="AZ175" s="4" t="s">
        <v>62</v>
      </c>
      <c r="BA175" s="4" t="s">
        <v>593</v>
      </c>
      <c r="BB175" s="4" t="s">
        <v>497</v>
      </c>
      <c r="BC175" s="6" t="n">
        <v>0.2778</v>
      </c>
      <c r="BD175" s="4" t="n">
        <v>75</v>
      </c>
    </row>
    <row r="176" customFormat="false" ht="100.7" hidden="false" customHeight="false" outlineLevel="0" collapsed="false">
      <c r="A176" s="4"/>
      <c r="B176" s="4" t="s">
        <v>56</v>
      </c>
      <c r="C176" s="4" t="s">
        <v>57</v>
      </c>
      <c r="D176" s="4" t="s">
        <v>491</v>
      </c>
      <c r="E176" s="4" t="s">
        <v>572</v>
      </c>
      <c r="F176" s="4" t="n">
        <v>953</v>
      </c>
      <c r="G176" s="5" t="s">
        <v>590</v>
      </c>
      <c r="H176" s="5" t="s">
        <v>397</v>
      </c>
      <c r="I176" s="4"/>
      <c r="J176" s="4"/>
      <c r="K176" s="4"/>
      <c r="L176" s="4" t="n">
        <v>15</v>
      </c>
      <c r="M176" s="4" t="n">
        <v>15</v>
      </c>
      <c r="N176" s="4" t="n">
        <v>0</v>
      </c>
      <c r="O176" s="4" t="n">
        <v>14</v>
      </c>
      <c r="P176" s="4" t="n">
        <v>1</v>
      </c>
      <c r="Q176" s="4" t="n">
        <v>5</v>
      </c>
      <c r="R176" s="6" t="n">
        <f aca="false">IF(N(L176)=0,0,O176/L176)</f>
        <v>0.933333333333333</v>
      </c>
      <c r="S176" s="4" t="n">
        <f aca="false">IF(R176="","",IF(R176&gt;=0.8,50,IF(R176&gt;=0.5,30,IF(R176&gt;=0.01,10,0))))</f>
        <v>50</v>
      </c>
      <c r="T176" s="4" t="n">
        <f aca="false">IF(TRIM(AI176)="Yes",2.5,0)</f>
        <v>2.5</v>
      </c>
      <c r="U176" s="4" t="n">
        <f aca="false">IF(TRIM(AJ176)="Yes",10,0)</f>
        <v>10</v>
      </c>
      <c r="V176" s="4" t="n">
        <f aca="false">IF(TRIM(AK176)="Yes",5,0)</f>
        <v>5</v>
      </c>
      <c r="W176" s="4" t="n">
        <f aca="false">IF(TRIM(AM176)="Yes",5,0)</f>
        <v>5</v>
      </c>
      <c r="X176" s="4" t="n">
        <f aca="false">IF(OR(TRIM(AN176)="Fully Available",TRIM(AN176)="Not Applicable"),5,IF(TRIM(AN176)="Partially Available",2.5,0))</f>
        <v>5</v>
      </c>
      <c r="Y176" s="4" t="n">
        <f aca="false">IF(TRIM(AO176)="Yes",5,0)</f>
        <v>0</v>
      </c>
      <c r="Z176" s="4" t="n">
        <f aca="false">IF(TRIM(AP176)="Yes",2.5,0)</f>
        <v>0</v>
      </c>
      <c r="AA176" s="4" t="n">
        <f aca="false">IF(TRIM(AQ176)="Yes",5,0)</f>
        <v>5</v>
      </c>
      <c r="AB176" s="4" t="n">
        <f aca="false">IF(OR(TRIM(AR176)="Yes",TRIM(AR176)="Not Applicable"),5,0)</f>
        <v>5</v>
      </c>
      <c r="AC176" s="4" t="n">
        <f aca="false">IF(TRIM(AS176)="Excellent",5,IF(TRIM(AS176)="Very Good",4,IF(TRIM(AS176)="Good",3,IF(TRIM(AS176)="Average",2,0))))</f>
        <v>4</v>
      </c>
      <c r="AD176" s="7" t="n">
        <f aca="false">IF(COUNT(S176:AC176)=0,"",SUM(S176:AC176))</f>
        <v>91.5</v>
      </c>
      <c r="AE176" s="7"/>
      <c r="AF176" s="8"/>
      <c r="AG176" s="5"/>
      <c r="AH176" s="4"/>
      <c r="AI176" s="4" t="s">
        <v>62</v>
      </c>
      <c r="AJ176" s="4" t="s">
        <v>62</v>
      </c>
      <c r="AK176" s="4" t="s">
        <v>62</v>
      </c>
      <c r="AL176" s="4" t="s">
        <v>63</v>
      </c>
      <c r="AM176" s="4" t="s">
        <v>62</v>
      </c>
      <c r="AN176" s="4" t="s">
        <v>64</v>
      </c>
      <c r="AO176" s="4" t="s">
        <v>82</v>
      </c>
      <c r="AP176" s="4" t="s">
        <v>82</v>
      </c>
      <c r="AQ176" s="4" t="s">
        <v>62</v>
      </c>
      <c r="AR176" s="4" t="s">
        <v>73</v>
      </c>
      <c r="AS176" s="4" t="s">
        <v>74</v>
      </c>
      <c r="AT176" s="4" t="n">
        <v>12</v>
      </c>
      <c r="AU176" s="4" t="s">
        <v>66</v>
      </c>
      <c r="AV176" s="4" t="s">
        <v>208</v>
      </c>
      <c r="AW176" s="4" t="s">
        <v>599</v>
      </c>
      <c r="AX176" s="4" t="s">
        <v>600</v>
      </c>
      <c r="AY176" s="4" t="n">
        <v>22</v>
      </c>
      <c r="AZ176" s="4" t="s">
        <v>62</v>
      </c>
      <c r="BA176" s="4" t="s">
        <v>593</v>
      </c>
      <c r="BB176" s="4" t="s">
        <v>497</v>
      </c>
      <c r="BC176" s="6" t="n">
        <v>0.3571</v>
      </c>
      <c r="BD176" s="4" t="n">
        <v>75</v>
      </c>
    </row>
    <row r="177" customFormat="false" ht="114.9" hidden="false" customHeight="false" outlineLevel="0" collapsed="false">
      <c r="A177" s="4" t="n">
        <v>70</v>
      </c>
      <c r="B177" s="4" t="s">
        <v>56</v>
      </c>
      <c r="C177" s="4" t="s">
        <v>57</v>
      </c>
      <c r="D177" s="4" t="s">
        <v>491</v>
      </c>
      <c r="E177" s="4" t="s">
        <v>500</v>
      </c>
      <c r="F177" s="4" t="n">
        <v>642</v>
      </c>
      <c r="G177" s="5" t="s">
        <v>601</v>
      </c>
      <c r="H177" s="5" t="s">
        <v>238</v>
      </c>
      <c r="I177" s="4"/>
      <c r="J177" s="4"/>
      <c r="K177" s="4"/>
      <c r="L177" s="4" t="n">
        <v>15</v>
      </c>
      <c r="M177" s="4" t="n">
        <v>15</v>
      </c>
      <c r="N177" s="4" t="n">
        <v>0</v>
      </c>
      <c r="O177" s="4" t="n">
        <v>10</v>
      </c>
      <c r="P177" s="4" t="n">
        <v>5</v>
      </c>
      <c r="Q177" s="4" t="n">
        <v>5</v>
      </c>
      <c r="R177" s="6" t="n">
        <f aca="false">IF(N(L177)=0,0,O177/L177)</f>
        <v>0.666666666666667</v>
      </c>
      <c r="S177" s="4" t="n">
        <f aca="false">IF(R177="","",IF(R177&gt;=0.8,50,IF(R177&gt;=0.5,30,IF(R177&gt;=0.01,10,0))))</f>
        <v>30</v>
      </c>
      <c r="T177" s="4" t="n">
        <f aca="false">IF(TRIM(AI177)="Yes",2.5,0)</f>
        <v>2.5</v>
      </c>
      <c r="U177" s="4" t="n">
        <f aca="false">IF(TRIM(AJ177)="Yes",10,0)</f>
        <v>10</v>
      </c>
      <c r="V177" s="4" t="n">
        <f aca="false">IF(TRIM(AK177)="Yes",5,0)</f>
        <v>5</v>
      </c>
      <c r="W177" s="4" t="n">
        <f aca="false">IF(TRIM(AM177)="Yes",5,0)</f>
        <v>5</v>
      </c>
      <c r="X177" s="4" t="n">
        <f aca="false">IF(OR(TRIM(AN177)="Fully Available",TRIM(AN177)="Not Applicable"),5,IF(TRIM(AN177)="Partially Available",2.5,0))</f>
        <v>5</v>
      </c>
      <c r="Y177" s="4" t="n">
        <f aca="false">IF(TRIM(AO177)="Yes",5,0)</f>
        <v>5</v>
      </c>
      <c r="Z177" s="4" t="n">
        <f aca="false">IF(TRIM(AP177)="Yes",2.5,0)</f>
        <v>2.5</v>
      </c>
      <c r="AA177" s="4" t="n">
        <f aca="false">IF(TRIM(AQ177)="Yes",5,0)</f>
        <v>5</v>
      </c>
      <c r="AB177" s="4" t="n">
        <f aca="false">IF(OR(TRIM(AR177)="Yes",TRIM(AR177)="Not Applicable"),5,0)</f>
        <v>5</v>
      </c>
      <c r="AC177" s="4" t="n">
        <f aca="false">IF(TRIM(AS177)="Excellent",5,IF(TRIM(AS177)="Very Good",4,IF(TRIM(AS177)="Good",3,IF(TRIM(AS177)="Average",2,0))))</f>
        <v>5</v>
      </c>
      <c r="AD177" s="7" t="n">
        <f aca="false">IF(COUNT(S177:AC177)=0,"",SUM(S177:AC177))</f>
        <v>80</v>
      </c>
      <c r="AE177" s="7" t="n">
        <f aca="false">IF(COUNTIF($F$2:F177,F177)=1,IFERROR(AVERAGEIF($F:$F,F177,$AD:$AD),""),"")</f>
        <v>80</v>
      </c>
      <c r="AF177" s="8" t="str">
        <f aca="false">IF(AH177&lt;&gt;"",AH177,IF(AE177="","",IF(AE177&gt;=80,"Excellent",IF(AE177&gt;=70,"Very Good",IF(AE177&gt;=60,"Good",IF(AE177&gt;=50,"Average","Poor"))))))</f>
        <v>Excellent</v>
      </c>
      <c r="AG177" s="5"/>
      <c r="AH177" s="4"/>
      <c r="AI177" s="4" t="s">
        <v>62</v>
      </c>
      <c r="AJ177" s="4" t="s">
        <v>62</v>
      </c>
      <c r="AK177" s="4" t="s">
        <v>62</v>
      </c>
      <c r="AL177" s="4" t="s">
        <v>63</v>
      </c>
      <c r="AM177" s="4" t="s">
        <v>62</v>
      </c>
      <c r="AN177" s="4" t="s">
        <v>64</v>
      </c>
      <c r="AO177" s="4" t="s">
        <v>62</v>
      </c>
      <c r="AP177" s="4" t="s">
        <v>62</v>
      </c>
      <c r="AQ177" s="4" t="s">
        <v>62</v>
      </c>
      <c r="AR177" s="4" t="s">
        <v>73</v>
      </c>
      <c r="AS177" s="4" t="s">
        <v>65</v>
      </c>
      <c r="AT177" s="4" t="n">
        <v>12</v>
      </c>
      <c r="AU177" s="4" t="s">
        <v>66</v>
      </c>
      <c r="AV177" s="4" t="s">
        <v>208</v>
      </c>
      <c r="AW177" s="4" t="s">
        <v>602</v>
      </c>
      <c r="AX177" s="4" t="s">
        <v>603</v>
      </c>
      <c r="AY177" s="4" t="n">
        <v>23</v>
      </c>
      <c r="AZ177" s="4" t="s">
        <v>62</v>
      </c>
      <c r="BA177" s="4" t="s">
        <v>604</v>
      </c>
      <c r="BB177" s="4" t="s">
        <v>497</v>
      </c>
      <c r="BC177" s="6" t="n">
        <v>0.5</v>
      </c>
      <c r="BD177" s="4" t="n">
        <v>80</v>
      </c>
    </row>
    <row r="178" customFormat="false" ht="44" hidden="false" customHeight="false" outlineLevel="0" collapsed="false">
      <c r="A178" s="4" t="n">
        <v>71</v>
      </c>
      <c r="B178" s="4" t="s">
        <v>56</v>
      </c>
      <c r="C178" s="4" t="s">
        <v>57</v>
      </c>
      <c r="D178" s="4" t="s">
        <v>491</v>
      </c>
      <c r="E178" s="4" t="s">
        <v>500</v>
      </c>
      <c r="F178" s="4" t="n">
        <v>2732</v>
      </c>
      <c r="G178" s="5" t="s">
        <v>605</v>
      </c>
      <c r="H178" s="5" t="s">
        <v>238</v>
      </c>
      <c r="I178" s="4"/>
      <c r="J178" s="4"/>
      <c r="K178" s="4"/>
      <c r="L178" s="4" t="n">
        <v>15</v>
      </c>
      <c r="M178" s="4" t="n">
        <v>15</v>
      </c>
      <c r="N178" s="4" t="n">
        <v>0</v>
      </c>
      <c r="O178" s="4" t="n">
        <v>15</v>
      </c>
      <c r="P178" s="4" t="n">
        <v>0</v>
      </c>
      <c r="Q178" s="4" t="n">
        <v>5</v>
      </c>
      <c r="R178" s="6" t="n">
        <f aca="false">IF(N(L178)=0,0,O178/L178)</f>
        <v>1</v>
      </c>
      <c r="S178" s="4" t="n">
        <f aca="false">IF(R178="","",IF(R178&gt;=0.8,50,IF(R178&gt;=0.5,30,IF(R178&gt;=0.01,10,0))))</f>
        <v>50</v>
      </c>
      <c r="T178" s="4" t="n">
        <f aca="false">IF(TRIM(AI178)="Yes",2.5,0)</f>
        <v>2.5</v>
      </c>
      <c r="U178" s="4" t="n">
        <f aca="false">IF(TRIM(AJ178)="Yes",10,0)</f>
        <v>10</v>
      </c>
      <c r="V178" s="4" t="n">
        <f aca="false">IF(TRIM(AK178)="Yes",5,0)</f>
        <v>5</v>
      </c>
      <c r="W178" s="4" t="n">
        <f aca="false">IF(TRIM(AM178)="Yes",5,0)</f>
        <v>5</v>
      </c>
      <c r="X178" s="4" t="n">
        <f aca="false">IF(OR(TRIM(AN178)="Fully Available",TRIM(AN178)="Not Applicable"),5,IF(TRIM(AN178)="Partially Available",2.5,0))</f>
        <v>5</v>
      </c>
      <c r="Y178" s="4" t="n">
        <f aca="false">IF(TRIM(AO178)="Yes",5,0)</f>
        <v>5</v>
      </c>
      <c r="Z178" s="4" t="n">
        <f aca="false">IF(TRIM(AP178)="Yes",2.5,0)</f>
        <v>2.5</v>
      </c>
      <c r="AA178" s="4" t="n">
        <f aca="false">IF(TRIM(AQ178)="Yes",5,0)</f>
        <v>5</v>
      </c>
      <c r="AB178" s="4" t="n">
        <f aca="false">IF(OR(TRIM(AR178)="Yes",TRIM(AR178)="Not Applicable"),5,0)</f>
        <v>5</v>
      </c>
      <c r="AC178" s="4" t="n">
        <f aca="false">IF(TRIM(AS178)="Excellent",5,IF(TRIM(AS178)="Very Good",4,IF(TRIM(AS178)="Good",3,IF(TRIM(AS178)="Average",2,0))))</f>
        <v>4</v>
      </c>
      <c r="AD178" s="7" t="n">
        <f aca="false">IF(COUNT(S178:AC178)=0,"",SUM(S178:AC178))</f>
        <v>99</v>
      </c>
      <c r="AE178" s="7" t="n">
        <f aca="false">IF(COUNTIF($F$2:F178,F178)=1,IFERROR(AVERAGEIF($F:$F,F178,$AD:$AD),""),"")</f>
        <v>99</v>
      </c>
      <c r="AF178" s="8" t="str">
        <f aca="false">IF(AH178&lt;&gt;"",AH178,IF(AE178="","",IF(AE178&gt;=80,"Excellent",IF(AE178&gt;=70,"Very Good",IF(AE178&gt;=60,"Good",IF(AE178&gt;=50,"Average","Poor"))))))</f>
        <v>Excellent</v>
      </c>
      <c r="AG178" s="5"/>
      <c r="AH178" s="4"/>
      <c r="AI178" s="4" t="s">
        <v>62</v>
      </c>
      <c r="AJ178" s="4" t="s">
        <v>62</v>
      </c>
      <c r="AK178" s="4" t="s">
        <v>62</v>
      </c>
      <c r="AL178" s="4" t="s">
        <v>63</v>
      </c>
      <c r="AM178" s="4" t="s">
        <v>62</v>
      </c>
      <c r="AN178" s="4" t="s">
        <v>64</v>
      </c>
      <c r="AO178" s="4" t="s">
        <v>62</v>
      </c>
      <c r="AP178" s="4" t="s">
        <v>62</v>
      </c>
      <c r="AQ178" s="4" t="s">
        <v>62</v>
      </c>
      <c r="AR178" s="4" t="s">
        <v>73</v>
      </c>
      <c r="AS178" s="4" t="s">
        <v>74</v>
      </c>
      <c r="AT178" s="4" t="n">
        <v>2</v>
      </c>
      <c r="AU178" s="4" t="s">
        <v>66</v>
      </c>
      <c r="AV178" s="4" t="s">
        <v>208</v>
      </c>
      <c r="AW178" s="4" t="s">
        <v>606</v>
      </c>
      <c r="AX178" s="4" t="s">
        <v>607</v>
      </c>
      <c r="AY178" s="4" t="n">
        <v>2</v>
      </c>
      <c r="AZ178" s="4" t="s">
        <v>62</v>
      </c>
      <c r="BA178" s="4" t="s">
        <v>608</v>
      </c>
      <c r="BB178" s="4" t="s">
        <v>497</v>
      </c>
      <c r="BC178" s="6" t="n">
        <v>0.3333</v>
      </c>
      <c r="BD178" s="4" t="n">
        <v>84</v>
      </c>
    </row>
    <row r="179" customFormat="false" ht="100.7" hidden="false" customHeight="false" outlineLevel="0" collapsed="false">
      <c r="A179" s="4"/>
      <c r="B179" s="4" t="s">
        <v>56</v>
      </c>
      <c r="C179" s="4" t="s">
        <v>57</v>
      </c>
      <c r="D179" s="4" t="s">
        <v>491</v>
      </c>
      <c r="E179" s="4" t="s">
        <v>500</v>
      </c>
      <c r="F179" s="4" t="n">
        <v>2732</v>
      </c>
      <c r="G179" s="5" t="s">
        <v>605</v>
      </c>
      <c r="H179" s="5" t="s">
        <v>90</v>
      </c>
      <c r="I179" s="4"/>
      <c r="J179" s="4"/>
      <c r="K179" s="4"/>
      <c r="L179" s="4" t="n">
        <v>15</v>
      </c>
      <c r="M179" s="4" t="n">
        <v>15</v>
      </c>
      <c r="N179" s="4" t="n">
        <v>0</v>
      </c>
      <c r="O179" s="4" t="n">
        <v>14</v>
      </c>
      <c r="P179" s="4" t="n">
        <v>1</v>
      </c>
      <c r="Q179" s="4" t="n">
        <v>5</v>
      </c>
      <c r="R179" s="6" t="n">
        <f aca="false">IF(N(L179)=0,0,O179/L179)</f>
        <v>0.933333333333333</v>
      </c>
      <c r="S179" s="4" t="n">
        <f aca="false">IF(R179="","",IF(R179&gt;=0.8,50,IF(R179&gt;=0.5,30,IF(R179&gt;=0.01,10,0))))</f>
        <v>50</v>
      </c>
      <c r="T179" s="4" t="n">
        <f aca="false">IF(TRIM(AI179)="Yes",2.5,0)</f>
        <v>2.5</v>
      </c>
      <c r="U179" s="4" t="n">
        <f aca="false">IF(TRIM(AJ179)="Yes",10,0)</f>
        <v>10</v>
      </c>
      <c r="V179" s="4" t="n">
        <f aca="false">IF(TRIM(AK179)="Yes",5,0)</f>
        <v>5</v>
      </c>
      <c r="W179" s="4" t="n">
        <f aca="false">IF(TRIM(AM179)="Yes",5,0)</f>
        <v>5</v>
      </c>
      <c r="X179" s="4" t="n">
        <f aca="false">IF(OR(TRIM(AN179)="Fully Available",TRIM(AN179)="Not Applicable"),5,IF(TRIM(AN179)="Partially Available",2.5,0))</f>
        <v>5</v>
      </c>
      <c r="Y179" s="4" t="n">
        <f aca="false">IF(TRIM(AO179)="Yes",5,0)</f>
        <v>5</v>
      </c>
      <c r="Z179" s="4" t="n">
        <f aca="false">IF(TRIM(AP179)="Yes",2.5,0)</f>
        <v>2.5</v>
      </c>
      <c r="AA179" s="4" t="n">
        <f aca="false">IF(TRIM(AQ179)="Yes",5,0)</f>
        <v>5</v>
      </c>
      <c r="AB179" s="4" t="n">
        <f aca="false">IF(OR(TRIM(AR179)="Yes",TRIM(AR179)="Not Applicable"),5,0)</f>
        <v>5</v>
      </c>
      <c r="AC179" s="4" t="n">
        <f aca="false">IF(TRIM(AS179)="Excellent",5,IF(TRIM(AS179)="Very Good",4,IF(TRIM(AS179)="Good",3,IF(TRIM(AS179)="Average",2,0))))</f>
        <v>4</v>
      </c>
      <c r="AD179" s="7" t="n">
        <f aca="false">IF(COUNT(S179:AC179)=0,"",SUM(S179:AC179))</f>
        <v>99</v>
      </c>
      <c r="AE179" s="7"/>
      <c r="AF179" s="8"/>
      <c r="AG179" s="5"/>
      <c r="AH179" s="4"/>
      <c r="AI179" s="4" t="s">
        <v>62</v>
      </c>
      <c r="AJ179" s="4" t="s">
        <v>62</v>
      </c>
      <c r="AK179" s="4" t="s">
        <v>62</v>
      </c>
      <c r="AL179" s="4" t="s">
        <v>63</v>
      </c>
      <c r="AM179" s="4" t="s">
        <v>62</v>
      </c>
      <c r="AN179" s="4" t="s">
        <v>64</v>
      </c>
      <c r="AO179" s="4" t="s">
        <v>62</v>
      </c>
      <c r="AP179" s="4" t="s">
        <v>62</v>
      </c>
      <c r="AQ179" s="4" t="s">
        <v>62</v>
      </c>
      <c r="AR179" s="4" t="s">
        <v>73</v>
      </c>
      <c r="AS179" s="4" t="s">
        <v>74</v>
      </c>
      <c r="AT179" s="4" t="n">
        <v>2</v>
      </c>
      <c r="AU179" s="4" t="s">
        <v>66</v>
      </c>
      <c r="AV179" s="4" t="s">
        <v>208</v>
      </c>
      <c r="AW179" s="4" t="s">
        <v>609</v>
      </c>
      <c r="AX179" s="4" t="s">
        <v>610</v>
      </c>
      <c r="AY179" s="4" t="n">
        <v>9</v>
      </c>
      <c r="AZ179" s="4" t="s">
        <v>62</v>
      </c>
      <c r="BA179" s="4" t="s">
        <v>608</v>
      </c>
      <c r="BB179" s="4" t="s">
        <v>497</v>
      </c>
      <c r="BC179" s="6" t="n">
        <v>0.3571</v>
      </c>
      <c r="BD179" s="4" t="n">
        <v>84</v>
      </c>
    </row>
    <row r="180" customFormat="false" ht="29.85" hidden="false" customHeight="false" outlineLevel="0" collapsed="false">
      <c r="A180" s="4" t="n">
        <v>72</v>
      </c>
      <c r="B180" s="4" t="s">
        <v>56</v>
      </c>
      <c r="C180" s="4" t="s">
        <v>57</v>
      </c>
      <c r="D180" s="4" t="s">
        <v>491</v>
      </c>
      <c r="E180" s="4" t="s">
        <v>500</v>
      </c>
      <c r="F180" s="4" t="n">
        <v>1549</v>
      </c>
      <c r="G180" s="5" t="s">
        <v>611</v>
      </c>
      <c r="H180" s="5" t="s">
        <v>61</v>
      </c>
      <c r="I180" s="4"/>
      <c r="J180" s="4"/>
      <c r="K180" s="4"/>
      <c r="L180" s="4" t="n">
        <v>15</v>
      </c>
      <c r="M180" s="4" t="n">
        <v>15</v>
      </c>
      <c r="N180" s="4" t="n">
        <v>0</v>
      </c>
      <c r="O180" s="4" t="n">
        <v>14</v>
      </c>
      <c r="P180" s="4" t="n">
        <v>1</v>
      </c>
      <c r="Q180" s="4" t="n">
        <v>5</v>
      </c>
      <c r="R180" s="6" t="n">
        <f aca="false">IF(N(L180)=0,0,O180/L180)</f>
        <v>0.933333333333333</v>
      </c>
      <c r="S180" s="4" t="n">
        <f aca="false">IF(R180="","",IF(R180&gt;=0.8,50,IF(R180&gt;=0.5,30,IF(R180&gt;=0.01,10,0))))</f>
        <v>50</v>
      </c>
      <c r="T180" s="4" t="n">
        <f aca="false">IF(TRIM(AI180)="Yes",2.5,0)</f>
        <v>2.5</v>
      </c>
      <c r="U180" s="4" t="n">
        <f aca="false">IF(TRIM(AJ180)="Yes",10,0)</f>
        <v>10</v>
      </c>
      <c r="V180" s="4" t="n">
        <f aca="false">IF(TRIM(AK180)="Yes",5,0)</f>
        <v>0</v>
      </c>
      <c r="W180" s="4" t="n">
        <f aca="false">IF(TRIM(AM180)="Yes",5,0)</f>
        <v>5</v>
      </c>
      <c r="X180" s="4" t="n">
        <f aca="false">IF(OR(TRIM(AN180)="Fully Available",TRIM(AN180)="Not Applicable"),5,IF(TRIM(AN180)="Partially Available",2.5,0))</f>
        <v>5</v>
      </c>
      <c r="Y180" s="4" t="n">
        <f aca="false">IF(TRIM(AO180)="Yes",5,0)</f>
        <v>5</v>
      </c>
      <c r="Z180" s="4" t="n">
        <f aca="false">IF(TRIM(AP180)="Yes",2.5,0)</f>
        <v>2.5</v>
      </c>
      <c r="AA180" s="4" t="n">
        <f aca="false">IF(TRIM(AQ180)="Yes",5,0)</f>
        <v>5</v>
      </c>
      <c r="AB180" s="4" t="n">
        <f aca="false">IF(OR(TRIM(AR180)="Yes",TRIM(AR180)="Not Applicable"),5,0)</f>
        <v>5</v>
      </c>
      <c r="AC180" s="4" t="n">
        <f aca="false">IF(TRIM(AS180)="Excellent",5,IF(TRIM(AS180)="Very Good",4,IF(TRIM(AS180)="Good",3,IF(TRIM(AS180)="Average",2,0))))</f>
        <v>5</v>
      </c>
      <c r="AD180" s="7" t="n">
        <f aca="false">IF(COUNT(S180:AC180)=0,"",SUM(S180:AC180))</f>
        <v>95</v>
      </c>
      <c r="AE180" s="7" t="n">
        <f aca="false">IF(COUNTIF($F$2:F180,F180)=1,IFERROR(AVERAGEIF($F:$F,F180,$AD:$AD),""),"")</f>
        <v>95</v>
      </c>
      <c r="AF180" s="8" t="str">
        <f aca="false">IF(AH180&lt;&gt;"",AH180,IF(AE180="","",IF(AE180&gt;=80,"Excellent",IF(AE180&gt;=70,"Very Good",IF(AE180&gt;=60,"Good",IF(AE180&gt;=50,"Average","Poor"))))))</f>
        <v>Excellent</v>
      </c>
      <c r="AG180" s="5"/>
      <c r="AH180" s="4"/>
      <c r="AI180" s="4" t="s">
        <v>62</v>
      </c>
      <c r="AJ180" s="4" t="s">
        <v>62</v>
      </c>
      <c r="AK180" s="4" t="s">
        <v>82</v>
      </c>
      <c r="AL180" s="4" t="s">
        <v>379</v>
      </c>
      <c r="AM180" s="4" t="s">
        <v>62</v>
      </c>
      <c r="AN180" s="4" t="s">
        <v>64</v>
      </c>
      <c r="AO180" s="4" t="s">
        <v>62</v>
      </c>
      <c r="AP180" s="4" t="s">
        <v>62</v>
      </c>
      <c r="AQ180" s="4" t="s">
        <v>62</v>
      </c>
      <c r="AR180" s="4" t="s">
        <v>62</v>
      </c>
      <c r="AS180" s="4" t="s">
        <v>65</v>
      </c>
      <c r="AT180" s="4" t="n">
        <v>2</v>
      </c>
      <c r="AU180" s="4" t="s">
        <v>66</v>
      </c>
      <c r="AV180" s="4" t="s">
        <v>208</v>
      </c>
      <c r="AW180" s="4" t="s">
        <v>612</v>
      </c>
      <c r="AX180" s="4" t="s">
        <v>290</v>
      </c>
      <c r="AY180" s="4" t="n">
        <v>20</v>
      </c>
      <c r="AZ180" s="4" t="s">
        <v>62</v>
      </c>
      <c r="BA180" s="4" t="s">
        <v>613</v>
      </c>
      <c r="BB180" s="4" t="s">
        <v>497</v>
      </c>
      <c r="BC180" s="6" t="n">
        <v>0.3571</v>
      </c>
      <c r="BD180" s="4" t="n">
        <v>91</v>
      </c>
    </row>
    <row r="181" customFormat="false" ht="29.85" hidden="false" customHeight="false" outlineLevel="0" collapsed="false">
      <c r="A181" s="4" t="n">
        <v>73</v>
      </c>
      <c r="B181" s="4" t="s">
        <v>56</v>
      </c>
      <c r="C181" s="4" t="s">
        <v>57</v>
      </c>
      <c r="D181" s="4" t="s">
        <v>491</v>
      </c>
      <c r="E181" s="4" t="s">
        <v>500</v>
      </c>
      <c r="F181" s="4" t="n">
        <v>760</v>
      </c>
      <c r="G181" s="5" t="s">
        <v>614</v>
      </c>
      <c r="H181" s="5" t="s">
        <v>61</v>
      </c>
      <c r="I181" s="4"/>
      <c r="J181" s="4"/>
      <c r="K181" s="4"/>
      <c r="L181" s="4" t="n">
        <v>15</v>
      </c>
      <c r="M181" s="4" t="n">
        <v>15</v>
      </c>
      <c r="N181" s="4" t="n">
        <v>0</v>
      </c>
      <c r="O181" s="4" t="n">
        <v>13</v>
      </c>
      <c r="P181" s="4" t="n">
        <v>2</v>
      </c>
      <c r="Q181" s="4" t="n">
        <v>5</v>
      </c>
      <c r="R181" s="6" t="n">
        <f aca="false">IF(N(L181)=0,0,O181/L181)</f>
        <v>0.866666666666667</v>
      </c>
      <c r="S181" s="4" t="n">
        <f aca="false">IF(R181="","",IF(R181&gt;=0.8,50,IF(R181&gt;=0.5,30,IF(R181&gt;=0.01,10,0))))</f>
        <v>50</v>
      </c>
      <c r="T181" s="4" t="n">
        <f aca="false">IF(TRIM(AI181)="Yes",2.5,0)</f>
        <v>2.5</v>
      </c>
      <c r="U181" s="4" t="n">
        <f aca="false">IF(TRIM(AJ181)="Yes",10,0)</f>
        <v>10</v>
      </c>
      <c r="V181" s="4" t="n">
        <f aca="false">IF(TRIM(AK181)="Yes",5,0)</f>
        <v>5</v>
      </c>
      <c r="W181" s="4" t="n">
        <f aca="false">IF(TRIM(AM181)="Yes",5,0)</f>
        <v>5</v>
      </c>
      <c r="X181" s="4" t="n">
        <f aca="false">IF(OR(TRIM(AN181)="Fully Available",TRIM(AN181)="Not Applicable"),5,IF(TRIM(AN181)="Partially Available",2.5,0))</f>
        <v>5</v>
      </c>
      <c r="Y181" s="4" t="n">
        <f aca="false">IF(TRIM(AO181)="Yes",5,0)</f>
        <v>5</v>
      </c>
      <c r="Z181" s="4" t="n">
        <f aca="false">IF(TRIM(AP181)="Yes",2.5,0)</f>
        <v>2.5</v>
      </c>
      <c r="AA181" s="4" t="n">
        <f aca="false">IF(TRIM(AQ181)="Yes",5,0)</f>
        <v>5</v>
      </c>
      <c r="AB181" s="4" t="n">
        <f aca="false">IF(OR(TRIM(AR181)="Yes",TRIM(AR181)="Not Applicable"),5,0)</f>
        <v>5</v>
      </c>
      <c r="AC181" s="4" t="n">
        <f aca="false">IF(TRIM(AS181)="Excellent",5,IF(TRIM(AS181)="Very Good",4,IF(TRIM(AS181)="Good",3,IF(TRIM(AS181)="Average",2,0))))</f>
        <v>4</v>
      </c>
      <c r="AD181" s="7" t="n">
        <f aca="false">IF(COUNT(S181:AC181)=0,"",SUM(S181:AC181))</f>
        <v>99</v>
      </c>
      <c r="AE181" s="7" t="n">
        <f aca="false">IF(COUNTIF($F$2:F181,F181)=1,IFERROR(AVERAGEIF($F:$F,F181,$AD:$AD),""),"")</f>
        <v>99</v>
      </c>
      <c r="AF181" s="8" t="str">
        <f aca="false">IF(AH181&lt;&gt;"",AH181,IF(AE181="","",IF(AE181&gt;=80,"Excellent",IF(AE181&gt;=70,"Very Good",IF(AE181&gt;=60,"Good",IF(AE181&gt;=50,"Average","Poor"))))))</f>
        <v>Excellent</v>
      </c>
      <c r="AG181" s="5"/>
      <c r="AH181" s="4"/>
      <c r="AI181" s="4" t="s">
        <v>62</v>
      </c>
      <c r="AJ181" s="4" t="s">
        <v>62</v>
      </c>
      <c r="AK181" s="4" t="s">
        <v>62</v>
      </c>
      <c r="AL181" s="4" t="s">
        <v>63</v>
      </c>
      <c r="AM181" s="4" t="s">
        <v>62</v>
      </c>
      <c r="AN181" s="4" t="s">
        <v>64</v>
      </c>
      <c r="AO181" s="4" t="s">
        <v>62</v>
      </c>
      <c r="AP181" s="4" t="s">
        <v>62</v>
      </c>
      <c r="AQ181" s="4" t="s">
        <v>62</v>
      </c>
      <c r="AR181" s="4" t="s">
        <v>62</v>
      </c>
      <c r="AS181" s="4" t="s">
        <v>74</v>
      </c>
      <c r="AT181" s="4" t="n">
        <v>12</v>
      </c>
      <c r="AU181" s="4" t="s">
        <v>66</v>
      </c>
      <c r="AV181" s="4" t="s">
        <v>244</v>
      </c>
      <c r="AW181" s="4" t="s">
        <v>615</v>
      </c>
      <c r="AX181" s="4" t="s">
        <v>301</v>
      </c>
      <c r="AY181" s="4" t="n">
        <v>6</v>
      </c>
      <c r="AZ181" s="4" t="s">
        <v>62</v>
      </c>
      <c r="BA181" s="4" t="s">
        <v>613</v>
      </c>
      <c r="BB181" s="4" t="s">
        <v>497</v>
      </c>
      <c r="BC181" s="6" t="n">
        <v>0.3846</v>
      </c>
      <c r="BD181" s="4" t="n">
        <v>96</v>
      </c>
    </row>
    <row r="182" customFormat="false" ht="44" hidden="false" customHeight="false" outlineLevel="0" collapsed="false">
      <c r="A182" s="4" t="n">
        <v>74</v>
      </c>
      <c r="B182" s="4" t="s">
        <v>56</v>
      </c>
      <c r="C182" s="4" t="s">
        <v>57</v>
      </c>
      <c r="D182" s="4" t="s">
        <v>491</v>
      </c>
      <c r="E182" s="4" t="s">
        <v>500</v>
      </c>
      <c r="F182" s="4" t="n">
        <v>1273</v>
      </c>
      <c r="G182" s="5" t="s">
        <v>616</v>
      </c>
      <c r="H182" s="5" t="s">
        <v>197</v>
      </c>
      <c r="I182" s="4"/>
      <c r="J182" s="4"/>
      <c r="K182" s="4"/>
      <c r="L182" s="4" t="n">
        <v>20</v>
      </c>
      <c r="M182" s="4" t="n">
        <v>20</v>
      </c>
      <c r="N182" s="4" t="n">
        <v>0</v>
      </c>
      <c r="O182" s="4" t="n">
        <v>16</v>
      </c>
      <c r="P182" s="4" t="n">
        <v>4</v>
      </c>
      <c r="Q182" s="4" t="n">
        <v>5</v>
      </c>
      <c r="R182" s="6" t="n">
        <f aca="false">IF(N(L182)=0,0,O182/L182)</f>
        <v>0.8</v>
      </c>
      <c r="S182" s="4" t="n">
        <f aca="false">IF(R182="","",IF(R182&gt;=0.8,50,IF(R182&gt;=0.5,30,IF(R182&gt;=0.01,10,0))))</f>
        <v>50</v>
      </c>
      <c r="T182" s="4" t="n">
        <f aca="false">IF(TRIM(AI182)="Yes",2.5,0)</f>
        <v>2.5</v>
      </c>
      <c r="U182" s="4" t="n">
        <f aca="false">IF(TRIM(AJ182)="Yes",10,0)</f>
        <v>10</v>
      </c>
      <c r="V182" s="4" t="n">
        <f aca="false">IF(TRIM(AK182)="Yes",5,0)</f>
        <v>5</v>
      </c>
      <c r="W182" s="4" t="n">
        <f aca="false">IF(TRIM(AM182)="Yes",5,0)</f>
        <v>5</v>
      </c>
      <c r="X182" s="4" t="n">
        <f aca="false">IF(OR(TRIM(AN182)="Fully Available",TRIM(AN182)="Not Applicable"),5,IF(TRIM(AN182)="Partially Available",2.5,0))</f>
        <v>5</v>
      </c>
      <c r="Y182" s="4" t="n">
        <f aca="false">IF(TRIM(AO182)="Yes",5,0)</f>
        <v>5</v>
      </c>
      <c r="Z182" s="4" t="n">
        <f aca="false">IF(TRIM(AP182)="Yes",2.5,0)</f>
        <v>2.5</v>
      </c>
      <c r="AA182" s="4" t="n">
        <f aca="false">IF(TRIM(AQ182)="Yes",5,0)</f>
        <v>5</v>
      </c>
      <c r="AB182" s="4" t="n">
        <f aca="false">IF(OR(TRIM(AR182)="Yes",TRIM(AR182)="Not Applicable"),5,0)</f>
        <v>5</v>
      </c>
      <c r="AC182" s="4" t="n">
        <f aca="false">IF(TRIM(AS182)="Excellent",5,IF(TRIM(AS182)="Very Good",4,IF(TRIM(AS182)="Good",3,IF(TRIM(AS182)="Average",2,0))))</f>
        <v>4</v>
      </c>
      <c r="AD182" s="7" t="n">
        <f aca="false">IF(COUNT(S182:AC182)=0,"",SUM(S182:AC182))</f>
        <v>99</v>
      </c>
      <c r="AE182" s="7" t="n">
        <f aca="false">IF(COUNTIF($F$2:F182,F182)=1,IFERROR(AVERAGEIF($F:$F,F182,$AD:$AD),""),"")</f>
        <v>99</v>
      </c>
      <c r="AF182" s="8" t="str">
        <f aca="false">IF(AH182&lt;&gt;"",AH182,IF(AE182="","",IF(AE182&gt;=80,"Excellent",IF(AE182&gt;=70,"Very Good",IF(AE182&gt;=60,"Good",IF(AE182&gt;=50,"Average","Poor"))))))</f>
        <v>Excellent</v>
      </c>
      <c r="AG182" s="5"/>
      <c r="AH182" s="4"/>
      <c r="AI182" s="4" t="s">
        <v>62</v>
      </c>
      <c r="AJ182" s="4" t="s">
        <v>62</v>
      </c>
      <c r="AK182" s="4" t="s">
        <v>62</v>
      </c>
      <c r="AL182" s="4" t="s">
        <v>63</v>
      </c>
      <c r="AM182" s="4" t="s">
        <v>62</v>
      </c>
      <c r="AN182" s="4" t="s">
        <v>64</v>
      </c>
      <c r="AO182" s="4" t="s">
        <v>62</v>
      </c>
      <c r="AP182" s="4" t="s">
        <v>62</v>
      </c>
      <c r="AQ182" s="4" t="s">
        <v>62</v>
      </c>
      <c r="AR182" s="4" t="s">
        <v>62</v>
      </c>
      <c r="AS182" s="4" t="s">
        <v>74</v>
      </c>
      <c r="AT182" s="4" t="n">
        <v>8</v>
      </c>
      <c r="AU182" s="4" t="s">
        <v>66</v>
      </c>
      <c r="AV182" s="4" t="s">
        <v>288</v>
      </c>
      <c r="AW182" s="4" t="s">
        <v>617</v>
      </c>
      <c r="AX182" s="4" t="s">
        <v>618</v>
      </c>
      <c r="AY182" s="4" t="n">
        <v>3</v>
      </c>
      <c r="AZ182" s="4" t="s">
        <v>62</v>
      </c>
      <c r="BA182" s="4" t="s">
        <v>619</v>
      </c>
      <c r="BB182" s="4" t="s">
        <v>497</v>
      </c>
      <c r="BC182" s="6" t="n">
        <v>0.3125</v>
      </c>
      <c r="BD182" s="4" t="n">
        <v>96</v>
      </c>
    </row>
    <row r="183" customFormat="false" ht="29.85" hidden="false" customHeight="false" outlineLevel="0" collapsed="false">
      <c r="A183" s="4"/>
      <c r="B183" s="4" t="s">
        <v>56</v>
      </c>
      <c r="C183" s="4" t="s">
        <v>57</v>
      </c>
      <c r="D183" s="4" t="s">
        <v>491</v>
      </c>
      <c r="E183" s="4" t="s">
        <v>500</v>
      </c>
      <c r="F183" s="4" t="n">
        <v>1273</v>
      </c>
      <c r="G183" s="5" t="s">
        <v>616</v>
      </c>
      <c r="H183" s="5" t="s">
        <v>118</v>
      </c>
      <c r="I183" s="4"/>
      <c r="J183" s="4"/>
      <c r="K183" s="4"/>
      <c r="L183" s="4" t="n">
        <v>20</v>
      </c>
      <c r="M183" s="4" t="n">
        <v>20</v>
      </c>
      <c r="N183" s="4" t="n">
        <v>0</v>
      </c>
      <c r="O183" s="4" t="n">
        <v>18</v>
      </c>
      <c r="P183" s="4" t="n">
        <v>2</v>
      </c>
      <c r="Q183" s="4" t="n">
        <v>5</v>
      </c>
      <c r="R183" s="6" t="n">
        <f aca="false">IF(N(L183)=0,0,O183/L183)</f>
        <v>0.9</v>
      </c>
      <c r="S183" s="4" t="n">
        <f aca="false">IF(R183="","",IF(R183&gt;=0.8,50,IF(R183&gt;=0.5,30,IF(R183&gt;=0.01,10,0))))</f>
        <v>50</v>
      </c>
      <c r="T183" s="4" t="n">
        <f aca="false">IF(TRIM(AI183)="Yes",2.5,0)</f>
        <v>2.5</v>
      </c>
      <c r="U183" s="4" t="n">
        <f aca="false">IF(TRIM(AJ183)="Yes",10,0)</f>
        <v>10</v>
      </c>
      <c r="V183" s="4" t="n">
        <f aca="false">IF(TRIM(AK183)="Yes",5,0)</f>
        <v>5</v>
      </c>
      <c r="W183" s="4" t="n">
        <f aca="false">IF(TRIM(AM183)="Yes",5,0)</f>
        <v>5</v>
      </c>
      <c r="X183" s="4" t="n">
        <f aca="false">IF(OR(TRIM(AN183)="Fully Available",TRIM(AN183)="Not Applicable"),5,IF(TRIM(AN183)="Partially Available",2.5,0))</f>
        <v>5</v>
      </c>
      <c r="Y183" s="4" t="n">
        <f aca="false">IF(TRIM(AO183)="Yes",5,0)</f>
        <v>5</v>
      </c>
      <c r="Z183" s="4" t="n">
        <f aca="false">IF(TRIM(AP183)="Yes",2.5,0)</f>
        <v>2.5</v>
      </c>
      <c r="AA183" s="4" t="n">
        <f aca="false">IF(TRIM(AQ183)="Yes",5,0)</f>
        <v>5</v>
      </c>
      <c r="AB183" s="4" t="n">
        <f aca="false">IF(OR(TRIM(AR183)="Yes",TRIM(AR183)="Not Applicable"),5,0)</f>
        <v>5</v>
      </c>
      <c r="AC183" s="4" t="n">
        <f aca="false">IF(TRIM(AS183)="Excellent",5,IF(TRIM(AS183)="Very Good",4,IF(TRIM(AS183)="Good",3,IF(TRIM(AS183)="Average",2,0))))</f>
        <v>4</v>
      </c>
      <c r="AD183" s="7" t="n">
        <f aca="false">IF(COUNT(S183:AC183)=0,"",SUM(S183:AC183))</f>
        <v>99</v>
      </c>
      <c r="AE183" s="7"/>
      <c r="AF183" s="8"/>
      <c r="AG183" s="5"/>
      <c r="AH183" s="4"/>
      <c r="AI183" s="4" t="s">
        <v>62</v>
      </c>
      <c r="AJ183" s="4" t="s">
        <v>62</v>
      </c>
      <c r="AK183" s="4" t="s">
        <v>62</v>
      </c>
      <c r="AL183" s="4" t="s">
        <v>63</v>
      </c>
      <c r="AM183" s="4" t="s">
        <v>62</v>
      </c>
      <c r="AN183" s="4" t="s">
        <v>64</v>
      </c>
      <c r="AO183" s="4" t="s">
        <v>62</v>
      </c>
      <c r="AP183" s="4" t="s">
        <v>62</v>
      </c>
      <c r="AQ183" s="4" t="s">
        <v>62</v>
      </c>
      <c r="AR183" s="4" t="s">
        <v>62</v>
      </c>
      <c r="AS183" s="4" t="s">
        <v>74</v>
      </c>
      <c r="AT183" s="4" t="n">
        <v>8</v>
      </c>
      <c r="AU183" s="4" t="s">
        <v>112</v>
      </c>
      <c r="AV183" s="4" t="s">
        <v>288</v>
      </c>
      <c r="AW183" s="4" t="s">
        <v>620</v>
      </c>
      <c r="AX183" s="4" t="s">
        <v>621</v>
      </c>
      <c r="AY183" s="4" t="n">
        <v>15</v>
      </c>
      <c r="AZ183" s="4" t="s">
        <v>62</v>
      </c>
      <c r="BA183" s="4" t="s">
        <v>619</v>
      </c>
      <c r="BB183" s="4" t="s">
        <v>497</v>
      </c>
      <c r="BC183" s="6" t="n">
        <v>0.2778</v>
      </c>
      <c r="BD183" s="4" t="n">
        <v>96</v>
      </c>
    </row>
    <row r="184" customFormat="false" ht="44" hidden="false" customHeight="false" outlineLevel="0" collapsed="false">
      <c r="A184" s="4" t="n">
        <v>75</v>
      </c>
      <c r="B184" s="4" t="s">
        <v>56</v>
      </c>
      <c r="C184" s="4" t="s">
        <v>57</v>
      </c>
      <c r="D184" s="4" t="s">
        <v>491</v>
      </c>
      <c r="E184" s="4" t="s">
        <v>505</v>
      </c>
      <c r="F184" s="4" t="n">
        <v>5429</v>
      </c>
      <c r="G184" s="5" t="s">
        <v>622</v>
      </c>
      <c r="H184" s="5" t="s">
        <v>238</v>
      </c>
      <c r="I184" s="4"/>
      <c r="J184" s="4"/>
      <c r="K184" s="4"/>
      <c r="L184" s="4" t="n">
        <v>20</v>
      </c>
      <c r="M184" s="4" t="n">
        <v>16</v>
      </c>
      <c r="N184" s="4" t="n">
        <v>4</v>
      </c>
      <c r="O184" s="4" t="n">
        <v>16</v>
      </c>
      <c r="P184" s="4" t="n">
        <v>0</v>
      </c>
      <c r="Q184" s="4" t="n">
        <v>6</v>
      </c>
      <c r="R184" s="6" t="n">
        <f aca="false">IF(N(L184)=0,0,O184/L184)</f>
        <v>0.8</v>
      </c>
      <c r="S184" s="4" t="n">
        <f aca="false">IF(R184="","",IF(R184&gt;=0.8,50,IF(R184&gt;=0.5,30,IF(R184&gt;=0.01,10,0))))</f>
        <v>50</v>
      </c>
      <c r="T184" s="4" t="n">
        <f aca="false">IF(TRIM(AI184)="Yes",2.5,0)</f>
        <v>2.5</v>
      </c>
      <c r="U184" s="4" t="n">
        <f aca="false">IF(TRIM(AJ184)="Yes",10,0)</f>
        <v>10</v>
      </c>
      <c r="V184" s="4" t="n">
        <f aca="false">IF(TRIM(AK184)="Yes",5,0)</f>
        <v>5</v>
      </c>
      <c r="W184" s="4" t="n">
        <f aca="false">IF(TRIM(AM184)="Yes",5,0)</f>
        <v>5</v>
      </c>
      <c r="X184" s="4" t="n">
        <f aca="false">IF(OR(TRIM(AN184)="Fully Available",TRIM(AN184)="Not Applicable"),5,IF(TRIM(AN184)="Partially Available",2.5,0))</f>
        <v>5</v>
      </c>
      <c r="Y184" s="4" t="n">
        <f aca="false">IF(TRIM(AO184)="Yes",5,0)</f>
        <v>5</v>
      </c>
      <c r="Z184" s="4" t="n">
        <f aca="false">IF(TRIM(AP184)="Yes",2.5,0)</f>
        <v>2.5</v>
      </c>
      <c r="AA184" s="4" t="n">
        <f aca="false">IF(TRIM(AQ184)="Yes",5,0)</f>
        <v>5</v>
      </c>
      <c r="AB184" s="4" t="n">
        <f aca="false">IF(OR(TRIM(AR184)="Yes",TRIM(AR184)="Not Applicable"),5,0)</f>
        <v>5</v>
      </c>
      <c r="AC184" s="4" t="n">
        <f aca="false">IF(TRIM(AS184)="Excellent",5,IF(TRIM(AS184)="Very Good",4,IF(TRIM(AS184)="Good",3,IF(TRIM(AS184)="Average",2,0))))</f>
        <v>3</v>
      </c>
      <c r="AD184" s="7" t="n">
        <f aca="false">IF(COUNT(S184:AC184)=0,"",SUM(S184:AC184))</f>
        <v>98</v>
      </c>
      <c r="AE184" s="7" t="n">
        <f aca="false">IF(COUNTIF($F$2:F184,F184)=1,IFERROR(AVERAGEIF($F:$F,F184,$AD:$AD),""),"")</f>
        <v>98</v>
      </c>
      <c r="AF184" s="8" t="str">
        <f aca="false">IF(AH184&lt;&gt;"",AH184,IF(AE184="","",IF(AE184&gt;=80,"Excellent",IF(AE184&gt;=70,"Very Good",IF(AE184&gt;=60,"Good",IF(AE184&gt;=50,"Average","Poor"))))))</f>
        <v>Excellent</v>
      </c>
      <c r="AG184" s="5"/>
      <c r="AH184" s="4"/>
      <c r="AI184" s="4" t="s">
        <v>62</v>
      </c>
      <c r="AJ184" s="4" t="s">
        <v>62</v>
      </c>
      <c r="AK184" s="4" t="s">
        <v>62</v>
      </c>
      <c r="AL184" s="4" t="s">
        <v>63</v>
      </c>
      <c r="AM184" s="4" t="s">
        <v>62</v>
      </c>
      <c r="AN184" s="4" t="s">
        <v>64</v>
      </c>
      <c r="AO184" s="4" t="s">
        <v>62</v>
      </c>
      <c r="AP184" s="4" t="s">
        <v>62</v>
      </c>
      <c r="AQ184" s="4" t="s">
        <v>62</v>
      </c>
      <c r="AR184" s="4" t="s">
        <v>62</v>
      </c>
      <c r="AS184" s="4" t="s">
        <v>185</v>
      </c>
      <c r="AT184" s="4" t="n">
        <v>7</v>
      </c>
      <c r="AU184" s="4" t="s">
        <v>66</v>
      </c>
      <c r="AV184" s="4" t="s">
        <v>151</v>
      </c>
      <c r="AW184" s="4" t="s">
        <v>623</v>
      </c>
      <c r="AX184" s="4" t="s">
        <v>624</v>
      </c>
      <c r="AY184" s="4" t="n">
        <v>4</v>
      </c>
      <c r="AZ184" s="4" t="s">
        <v>62</v>
      </c>
      <c r="BA184" s="4" t="s">
        <v>625</v>
      </c>
      <c r="BB184" s="4" t="s">
        <v>497</v>
      </c>
      <c r="BC184" s="6" t="n">
        <v>0.375</v>
      </c>
      <c r="BD184" s="4" t="n">
        <v>94</v>
      </c>
    </row>
    <row r="185" customFormat="false" ht="58.2" hidden="false" customHeight="false" outlineLevel="0" collapsed="false">
      <c r="A185" s="4" t="n">
        <v>76</v>
      </c>
      <c r="B185" s="4" t="s">
        <v>56</v>
      </c>
      <c r="C185" s="4" t="s">
        <v>57</v>
      </c>
      <c r="D185" s="4" t="s">
        <v>491</v>
      </c>
      <c r="E185" s="4" t="s">
        <v>626</v>
      </c>
      <c r="F185" s="4" t="n">
        <v>5919</v>
      </c>
      <c r="G185" s="5" t="s">
        <v>627</v>
      </c>
      <c r="H185" s="5" t="s">
        <v>177</v>
      </c>
      <c r="I185" s="4"/>
      <c r="J185" s="4"/>
      <c r="K185" s="4"/>
      <c r="L185" s="4" t="n">
        <v>20</v>
      </c>
      <c r="M185" s="4" t="n">
        <v>20</v>
      </c>
      <c r="N185" s="4" t="n">
        <v>0</v>
      </c>
      <c r="O185" s="4" t="n">
        <v>11</v>
      </c>
      <c r="P185" s="4" t="n">
        <v>9</v>
      </c>
      <c r="Q185" s="4" t="n">
        <v>5</v>
      </c>
      <c r="R185" s="6" t="n">
        <f aca="false">IF(N(L185)=0,0,O185/L185)</f>
        <v>0.55</v>
      </c>
      <c r="S185" s="4" t="n">
        <f aca="false">IF(R185="","",IF(R185&gt;=0.8,50,IF(R185&gt;=0.5,30,IF(R185&gt;=0.01,10,0))))</f>
        <v>30</v>
      </c>
      <c r="T185" s="4" t="n">
        <f aca="false">IF(TRIM(AI185)="Yes",2.5,0)</f>
        <v>0</v>
      </c>
      <c r="U185" s="4" t="n">
        <f aca="false">IF(TRIM(AJ185)="Yes",10,0)</f>
        <v>10</v>
      </c>
      <c r="V185" s="4" t="n">
        <f aca="false">IF(TRIM(AK185)="Yes",5,0)</f>
        <v>5</v>
      </c>
      <c r="W185" s="4" t="n">
        <f aca="false">IF(TRIM(AM185)="Yes",5,0)</f>
        <v>5</v>
      </c>
      <c r="X185" s="4" t="n">
        <f aca="false">IF(OR(TRIM(AN185)="Fully Available",TRIM(AN185)="Not Applicable"),5,IF(TRIM(AN185)="Partially Available",2.5,0))</f>
        <v>5</v>
      </c>
      <c r="Y185" s="4" t="n">
        <f aca="false">IF(TRIM(AO185)="Yes",5,0)</f>
        <v>0</v>
      </c>
      <c r="Z185" s="4" t="n">
        <f aca="false">IF(TRIM(AP185)="Yes",2.5,0)</f>
        <v>0</v>
      </c>
      <c r="AA185" s="4" t="n">
        <f aca="false">IF(TRIM(AQ185)="Yes",5,0)</f>
        <v>5</v>
      </c>
      <c r="AB185" s="4" t="n">
        <f aca="false">IF(OR(TRIM(AR185)="Yes",TRIM(AR185)="Not Applicable"),5,0)</f>
        <v>5</v>
      </c>
      <c r="AC185" s="4" t="n">
        <f aca="false">IF(TRIM(AS185)="Excellent",5,IF(TRIM(AS185)="Very Good",4,IF(TRIM(AS185)="Good",3,IF(TRIM(AS185)="Average",2,0))))</f>
        <v>4</v>
      </c>
      <c r="AD185" s="7" t="n">
        <f aca="false">IF(COUNT(S185:AC185)=0,"",SUM(S185:AC185))</f>
        <v>69</v>
      </c>
      <c r="AE185" s="7" t="n">
        <f aca="false">IF(COUNTIF($F$2:F185,F185)=1,IFERROR(AVERAGEIF($F:$F,F185,$AD:$AD),""),"")</f>
        <v>69</v>
      </c>
      <c r="AF185" s="8" t="str">
        <f aca="false">IF(AH185&lt;&gt;"",AH185,IF(AE185="","",IF(AE185&gt;=80,"Excellent",IF(AE185&gt;=70,"Very Good",IF(AE185&gt;=60,"Good",IF(AE185&gt;=50,"Average","Poor"))))))</f>
        <v>Good</v>
      </c>
      <c r="AG185" s="5"/>
      <c r="AH185" s="4"/>
      <c r="AI185" s="4" t="s">
        <v>82</v>
      </c>
      <c r="AJ185" s="4" t="s">
        <v>62</v>
      </c>
      <c r="AK185" s="4" t="s">
        <v>62</v>
      </c>
      <c r="AL185" s="4" t="s">
        <v>63</v>
      </c>
      <c r="AM185" s="4" t="s">
        <v>62</v>
      </c>
      <c r="AN185" s="4" t="s">
        <v>64</v>
      </c>
      <c r="AO185" s="4" t="s">
        <v>82</v>
      </c>
      <c r="AP185" s="4" t="s">
        <v>82</v>
      </c>
      <c r="AQ185" s="4" t="s">
        <v>62</v>
      </c>
      <c r="AR185" s="4" t="s">
        <v>73</v>
      </c>
      <c r="AS185" s="4" t="s">
        <v>74</v>
      </c>
      <c r="AT185" s="4" t="n">
        <v>5</v>
      </c>
      <c r="AU185" s="4" t="s">
        <v>66</v>
      </c>
      <c r="AV185" s="4" t="s">
        <v>288</v>
      </c>
      <c r="AW185" s="4" t="s">
        <v>628</v>
      </c>
      <c r="AX185" s="4" t="s">
        <v>629</v>
      </c>
      <c r="AY185" s="4" t="n">
        <v>1</v>
      </c>
      <c r="AZ185" s="4" t="s">
        <v>62</v>
      </c>
      <c r="BA185" s="4" t="s">
        <v>630</v>
      </c>
      <c r="BB185" s="4" t="s">
        <v>497</v>
      </c>
      <c r="BC185" s="6" t="n">
        <v>0.4545</v>
      </c>
      <c r="BD185" s="4" t="n">
        <v>67</v>
      </c>
    </row>
    <row r="186" customFormat="false" ht="86.55" hidden="false" customHeight="false" outlineLevel="0" collapsed="false">
      <c r="A186" s="4" t="n">
        <v>77</v>
      </c>
      <c r="B186" s="4" t="s">
        <v>56</v>
      </c>
      <c r="C186" s="4" t="s">
        <v>57</v>
      </c>
      <c r="D186" s="4" t="s">
        <v>491</v>
      </c>
      <c r="E186" s="4" t="s">
        <v>626</v>
      </c>
      <c r="F186" s="4" t="n">
        <v>2633</v>
      </c>
      <c r="G186" s="5" t="s">
        <v>631</v>
      </c>
      <c r="H186" s="5" t="s">
        <v>72</v>
      </c>
      <c r="I186" s="4"/>
      <c r="J186" s="4"/>
      <c r="K186" s="4"/>
      <c r="L186" s="4" t="n">
        <v>15</v>
      </c>
      <c r="M186" s="4" t="n">
        <v>15</v>
      </c>
      <c r="N186" s="4" t="n">
        <v>0</v>
      </c>
      <c r="O186" s="4" t="n">
        <v>14</v>
      </c>
      <c r="P186" s="4" t="n">
        <v>1</v>
      </c>
      <c r="Q186" s="4" t="n">
        <v>5</v>
      </c>
      <c r="R186" s="6" t="n">
        <f aca="false">IF(N(L186)=0,0,O186/L186)</f>
        <v>0.933333333333333</v>
      </c>
      <c r="S186" s="4" t="n">
        <f aca="false">IF(R186="","",IF(R186&gt;=0.8,50,IF(R186&gt;=0.5,30,IF(R186&gt;=0.01,10,0))))</f>
        <v>50</v>
      </c>
      <c r="T186" s="4" t="n">
        <f aca="false">IF(TRIM(AI186)="Yes",2.5,0)</f>
        <v>2.5</v>
      </c>
      <c r="U186" s="4" t="n">
        <f aca="false">IF(TRIM(AJ186)="Yes",10,0)</f>
        <v>10</v>
      </c>
      <c r="V186" s="4" t="n">
        <f aca="false">IF(TRIM(AK186)="Yes",5,0)</f>
        <v>5</v>
      </c>
      <c r="W186" s="4" t="n">
        <f aca="false">IF(TRIM(AM186)="Yes",5,0)</f>
        <v>5</v>
      </c>
      <c r="X186" s="4" t="n">
        <f aca="false">IF(OR(TRIM(AN186)="Fully Available",TRIM(AN186)="Not Applicable"),5,IF(TRIM(AN186)="Partially Available",2.5,0))</f>
        <v>5</v>
      </c>
      <c r="Y186" s="4" t="n">
        <f aca="false">IF(TRIM(AO186)="Yes",5,0)</f>
        <v>0</v>
      </c>
      <c r="Z186" s="4" t="n">
        <f aca="false">IF(TRIM(AP186)="Yes",2.5,0)</f>
        <v>0</v>
      </c>
      <c r="AA186" s="4" t="n">
        <f aca="false">IF(TRIM(AQ186)="Yes",5,0)</f>
        <v>5</v>
      </c>
      <c r="AB186" s="4" t="n">
        <f aca="false">IF(OR(TRIM(AR186)="Yes",TRIM(AR186)="Not Applicable"),5,0)</f>
        <v>5</v>
      </c>
      <c r="AC186" s="4" t="n">
        <f aca="false">IF(TRIM(AS186)="Excellent",5,IF(TRIM(AS186)="Very Good",4,IF(TRIM(AS186)="Good",3,IF(TRIM(AS186)="Average",2,0))))</f>
        <v>4</v>
      </c>
      <c r="AD186" s="7" t="n">
        <f aca="false">IF(COUNT(S186:AC186)=0,"",SUM(S186:AC186))</f>
        <v>91.5</v>
      </c>
      <c r="AE186" s="7" t="n">
        <f aca="false">IF(COUNTIF($F$2:F186,F186)=1,IFERROR(AVERAGEIF($F:$F,F186,$AD:$AD),""),"")</f>
        <v>91.5</v>
      </c>
      <c r="AF186" s="8" t="str">
        <f aca="false">IF(AH186&lt;&gt;"",AH186,IF(AE186="","",IF(AE186&gt;=80,"Excellent",IF(AE186&gt;=70,"Very Good",IF(AE186&gt;=60,"Good",IF(AE186&gt;=50,"Average","Poor"))))))</f>
        <v>Excellent</v>
      </c>
      <c r="AG186" s="5"/>
      <c r="AH186" s="4"/>
      <c r="AI186" s="4" t="s">
        <v>62</v>
      </c>
      <c r="AJ186" s="4" t="s">
        <v>62</v>
      </c>
      <c r="AK186" s="4" t="s">
        <v>62</v>
      </c>
      <c r="AL186" s="4" t="s">
        <v>63</v>
      </c>
      <c r="AM186" s="4" t="s">
        <v>62</v>
      </c>
      <c r="AN186" s="4" t="s">
        <v>64</v>
      </c>
      <c r="AO186" s="4" t="s">
        <v>82</v>
      </c>
      <c r="AP186" s="4" t="s">
        <v>82</v>
      </c>
      <c r="AQ186" s="4" t="s">
        <v>62</v>
      </c>
      <c r="AR186" s="4" t="s">
        <v>73</v>
      </c>
      <c r="AS186" s="4" t="s">
        <v>74</v>
      </c>
      <c r="AT186" s="4" t="n">
        <v>2</v>
      </c>
      <c r="AU186" s="4" t="s">
        <v>66</v>
      </c>
      <c r="AV186" s="4" t="s">
        <v>350</v>
      </c>
      <c r="AW186" s="4" t="s">
        <v>632</v>
      </c>
      <c r="AX186" s="4" t="s">
        <v>633</v>
      </c>
      <c r="AY186" s="4" t="n">
        <v>18</v>
      </c>
      <c r="AZ186" s="4" t="s">
        <v>62</v>
      </c>
      <c r="BA186" s="4" t="s">
        <v>634</v>
      </c>
      <c r="BB186" s="4" t="s">
        <v>497</v>
      </c>
      <c r="BC186" s="6" t="n">
        <v>0.3571</v>
      </c>
      <c r="BD186" s="4" t="n">
        <v>77</v>
      </c>
    </row>
    <row r="187" customFormat="false" ht="86.55" hidden="false" customHeight="false" outlineLevel="0" collapsed="false">
      <c r="A187" s="4"/>
      <c r="B187" s="4" t="s">
        <v>56</v>
      </c>
      <c r="C187" s="4" t="s">
        <v>57</v>
      </c>
      <c r="D187" s="4" t="s">
        <v>491</v>
      </c>
      <c r="E187" s="4" t="s">
        <v>626</v>
      </c>
      <c r="F187" s="4" t="n">
        <v>2633</v>
      </c>
      <c r="G187" s="5" t="s">
        <v>631</v>
      </c>
      <c r="H187" s="5" t="s">
        <v>238</v>
      </c>
      <c r="I187" s="4"/>
      <c r="J187" s="4"/>
      <c r="K187" s="4"/>
      <c r="L187" s="4" t="n">
        <v>15</v>
      </c>
      <c r="M187" s="4" t="n">
        <v>15</v>
      </c>
      <c r="N187" s="4" t="n">
        <v>0</v>
      </c>
      <c r="O187" s="4" t="n">
        <v>13</v>
      </c>
      <c r="P187" s="4" t="n">
        <v>2</v>
      </c>
      <c r="Q187" s="4" t="n">
        <v>5</v>
      </c>
      <c r="R187" s="6" t="n">
        <f aca="false">IF(N(L187)=0,0,O187/L187)</f>
        <v>0.866666666666667</v>
      </c>
      <c r="S187" s="4" t="n">
        <f aca="false">IF(R187="","",IF(R187&gt;=0.8,50,IF(R187&gt;=0.5,30,IF(R187&gt;=0.01,10,0))))</f>
        <v>50</v>
      </c>
      <c r="T187" s="4" t="n">
        <f aca="false">IF(TRIM(AI187)="Yes",2.5,0)</f>
        <v>2.5</v>
      </c>
      <c r="U187" s="4" t="n">
        <f aca="false">IF(TRIM(AJ187)="Yes",10,0)</f>
        <v>10</v>
      </c>
      <c r="V187" s="4" t="n">
        <f aca="false">IF(TRIM(AK187)="Yes",5,0)</f>
        <v>5</v>
      </c>
      <c r="W187" s="4" t="n">
        <f aca="false">IF(TRIM(AM187)="Yes",5,0)</f>
        <v>5</v>
      </c>
      <c r="X187" s="4" t="n">
        <f aca="false">IF(OR(TRIM(AN187)="Fully Available",TRIM(AN187)="Not Applicable"),5,IF(TRIM(AN187)="Partially Available",2.5,0))</f>
        <v>5</v>
      </c>
      <c r="Y187" s="4" t="n">
        <f aca="false">IF(TRIM(AO187)="Yes",5,0)</f>
        <v>0</v>
      </c>
      <c r="Z187" s="4" t="n">
        <f aca="false">IF(TRIM(AP187)="Yes",2.5,0)</f>
        <v>0</v>
      </c>
      <c r="AA187" s="4" t="n">
        <f aca="false">IF(TRIM(AQ187)="Yes",5,0)</f>
        <v>5</v>
      </c>
      <c r="AB187" s="4" t="n">
        <f aca="false">IF(OR(TRIM(AR187)="Yes",TRIM(AR187)="Not Applicable"),5,0)</f>
        <v>5</v>
      </c>
      <c r="AC187" s="4" t="n">
        <f aca="false">IF(TRIM(AS187)="Excellent",5,IF(TRIM(AS187)="Very Good",4,IF(TRIM(AS187)="Good",3,IF(TRIM(AS187)="Average",2,0))))</f>
        <v>4</v>
      </c>
      <c r="AD187" s="7" t="n">
        <f aca="false">IF(COUNT(S187:AC187)=0,"",SUM(S187:AC187))</f>
        <v>91.5</v>
      </c>
      <c r="AE187" s="7"/>
      <c r="AF187" s="8"/>
      <c r="AG187" s="5"/>
      <c r="AH187" s="4"/>
      <c r="AI187" s="4" t="s">
        <v>62</v>
      </c>
      <c r="AJ187" s="4" t="s">
        <v>62</v>
      </c>
      <c r="AK187" s="4" t="s">
        <v>62</v>
      </c>
      <c r="AL187" s="4" t="s">
        <v>63</v>
      </c>
      <c r="AM187" s="4" t="s">
        <v>62</v>
      </c>
      <c r="AN187" s="4" t="s">
        <v>64</v>
      </c>
      <c r="AO187" s="4" t="s">
        <v>82</v>
      </c>
      <c r="AP187" s="4" t="s">
        <v>82</v>
      </c>
      <c r="AQ187" s="4" t="s">
        <v>62</v>
      </c>
      <c r="AR187" s="4" t="s">
        <v>73</v>
      </c>
      <c r="AS187" s="4" t="s">
        <v>74</v>
      </c>
      <c r="AT187" s="4" t="n">
        <v>5</v>
      </c>
      <c r="AU187" s="4" t="s">
        <v>66</v>
      </c>
      <c r="AV187" s="4" t="s">
        <v>350</v>
      </c>
      <c r="AW187" s="4" t="s">
        <v>635</v>
      </c>
      <c r="AX187" s="4" t="s">
        <v>636</v>
      </c>
      <c r="AY187" s="4" t="n">
        <v>15</v>
      </c>
      <c r="AZ187" s="4" t="s">
        <v>62</v>
      </c>
      <c r="BA187" s="4" t="s">
        <v>634</v>
      </c>
      <c r="BB187" s="4" t="s">
        <v>497</v>
      </c>
      <c r="BC187" s="6" t="n">
        <v>0.3846</v>
      </c>
      <c r="BD187" s="4" t="n">
        <v>77</v>
      </c>
    </row>
    <row r="188" customFormat="false" ht="143.25" hidden="false" customHeight="false" outlineLevel="0" collapsed="false">
      <c r="A188" s="4" t="n">
        <v>78</v>
      </c>
      <c r="B188" s="4" t="s">
        <v>56</v>
      </c>
      <c r="C188" s="4" t="s">
        <v>57</v>
      </c>
      <c r="D188" s="4" t="s">
        <v>491</v>
      </c>
      <c r="E188" s="4" t="s">
        <v>637</v>
      </c>
      <c r="F188" s="4" t="n">
        <v>1564</v>
      </c>
      <c r="G188" s="5" t="s">
        <v>638</v>
      </c>
      <c r="H188" s="5" t="s">
        <v>190</v>
      </c>
      <c r="I188" s="4"/>
      <c r="J188" s="4"/>
      <c r="K188" s="4"/>
      <c r="L188" s="4" t="n">
        <v>20</v>
      </c>
      <c r="M188" s="4" t="n">
        <v>20</v>
      </c>
      <c r="N188" s="4" t="n">
        <v>0</v>
      </c>
      <c r="O188" s="4" t="n">
        <v>20</v>
      </c>
      <c r="P188" s="4" t="n">
        <v>0</v>
      </c>
      <c r="Q188" s="4" t="n">
        <v>10</v>
      </c>
      <c r="R188" s="6" t="n">
        <f aca="false">IF(N(L188)=0,0,O188/L188)</f>
        <v>1</v>
      </c>
      <c r="S188" s="4" t="n">
        <f aca="false">IF(R188="","",IF(R188&gt;=0.8,50,IF(R188&gt;=0.5,30,IF(R188&gt;=0.01,10,0))))</f>
        <v>50</v>
      </c>
      <c r="T188" s="4" t="n">
        <f aca="false">IF(TRIM(AI188)="Yes",2.5,0)</f>
        <v>0</v>
      </c>
      <c r="U188" s="4" t="n">
        <f aca="false">IF(TRIM(AJ188)="Yes",10,0)</f>
        <v>10</v>
      </c>
      <c r="V188" s="4" t="n">
        <f aca="false">IF(TRIM(AK188)="Yes",5,0)</f>
        <v>5</v>
      </c>
      <c r="W188" s="4" t="n">
        <f aca="false">IF(TRIM(AM188)="Yes",5,0)</f>
        <v>5</v>
      </c>
      <c r="X188" s="4" t="n">
        <f aca="false">IF(OR(TRIM(AN188)="Fully Available",TRIM(AN188)="Not Applicable"),5,IF(TRIM(AN188)="Partially Available",2.5,0))</f>
        <v>5</v>
      </c>
      <c r="Y188" s="4" t="n">
        <f aca="false">IF(TRIM(AO188)="Yes",5,0)</f>
        <v>5</v>
      </c>
      <c r="Z188" s="4" t="n">
        <f aca="false">IF(TRIM(AP188)="Yes",2.5,0)</f>
        <v>2.5</v>
      </c>
      <c r="AA188" s="4" t="n">
        <f aca="false">IF(TRIM(AQ188)="Yes",5,0)</f>
        <v>5</v>
      </c>
      <c r="AB188" s="4" t="n">
        <f aca="false">IF(OR(TRIM(AR188)="Yes",TRIM(AR188)="Not Applicable"),5,0)</f>
        <v>5</v>
      </c>
      <c r="AC188" s="4" t="n">
        <f aca="false">IF(TRIM(AS188)="Excellent",5,IF(TRIM(AS188)="Very Good",4,IF(TRIM(AS188)="Good",3,IF(TRIM(AS188)="Average",2,0))))</f>
        <v>4</v>
      </c>
      <c r="AD188" s="7" t="n">
        <f aca="false">IF(COUNT(S188:AC188)=0,"",SUM(S188:AC188))</f>
        <v>96.5</v>
      </c>
      <c r="AE188" s="7" t="n">
        <f aca="false">IF(COUNTIF($F$2:F188,F188)=1,IFERROR(AVERAGEIF($F:$F,F188,$AD:$AD),""),"")</f>
        <v>96.5</v>
      </c>
      <c r="AF188" s="8" t="str">
        <f aca="false">IF(AH188&lt;&gt;"",AH188,IF(AE188="","",IF(AE188&gt;=80,"Excellent",IF(AE188&gt;=70,"Very Good",IF(AE188&gt;=60,"Good",IF(AE188&gt;=50,"Average","Poor"))))))</f>
        <v>Excellent</v>
      </c>
      <c r="AG188" s="5"/>
      <c r="AH188" s="4"/>
      <c r="AI188" s="4" t="s">
        <v>82</v>
      </c>
      <c r="AJ188" s="4" t="s">
        <v>62</v>
      </c>
      <c r="AK188" s="4" t="s">
        <v>62</v>
      </c>
      <c r="AL188" s="4" t="s">
        <v>63</v>
      </c>
      <c r="AM188" s="4" t="s">
        <v>62</v>
      </c>
      <c r="AN188" s="4" t="s">
        <v>64</v>
      </c>
      <c r="AO188" s="4" t="s">
        <v>62</v>
      </c>
      <c r="AP188" s="4" t="s">
        <v>62</v>
      </c>
      <c r="AQ188" s="4" t="s">
        <v>62</v>
      </c>
      <c r="AR188" s="4" t="s">
        <v>62</v>
      </c>
      <c r="AS188" s="4" t="s">
        <v>74</v>
      </c>
      <c r="AT188" s="4" t="n">
        <v>4</v>
      </c>
      <c r="AU188" s="4" t="s">
        <v>112</v>
      </c>
      <c r="AV188" s="4" t="s">
        <v>639</v>
      </c>
      <c r="AW188" s="4" t="s">
        <v>640</v>
      </c>
      <c r="AX188" s="4" t="s">
        <v>641</v>
      </c>
      <c r="AY188" s="4" t="n">
        <v>4</v>
      </c>
      <c r="AZ188" s="4" t="s">
        <v>62</v>
      </c>
      <c r="BA188" s="4" t="s">
        <v>642</v>
      </c>
      <c r="BB188" s="4" t="s">
        <v>497</v>
      </c>
      <c r="BC188" s="6" t="n">
        <v>0.5</v>
      </c>
      <c r="BD188" s="4" t="n">
        <v>95</v>
      </c>
    </row>
    <row r="189" customFormat="false" ht="100.7" hidden="false" customHeight="false" outlineLevel="0" collapsed="false">
      <c r="A189" s="4" t="n">
        <v>79</v>
      </c>
      <c r="B189" s="4" t="s">
        <v>56</v>
      </c>
      <c r="C189" s="4" t="s">
        <v>57</v>
      </c>
      <c r="D189" s="4" t="s">
        <v>491</v>
      </c>
      <c r="E189" s="4" t="s">
        <v>626</v>
      </c>
      <c r="F189" s="4" t="n">
        <v>4786</v>
      </c>
      <c r="G189" s="5" t="s">
        <v>643</v>
      </c>
      <c r="H189" s="5" t="s">
        <v>72</v>
      </c>
      <c r="I189" s="4"/>
      <c r="J189" s="4"/>
      <c r="K189" s="4"/>
      <c r="L189" s="4" t="n">
        <v>20</v>
      </c>
      <c r="M189" s="4" t="n">
        <v>20</v>
      </c>
      <c r="N189" s="4" t="n">
        <v>0</v>
      </c>
      <c r="O189" s="4" t="n">
        <v>18</v>
      </c>
      <c r="P189" s="4" t="n">
        <v>2</v>
      </c>
      <c r="Q189" s="4" t="n">
        <v>5</v>
      </c>
      <c r="R189" s="6" t="n">
        <f aca="false">IF(N(L189)=0,0,O189/L189)</f>
        <v>0.9</v>
      </c>
      <c r="S189" s="4" t="n">
        <f aca="false">IF(R189="","",IF(R189&gt;=0.8,50,IF(R189&gt;=0.5,30,IF(R189&gt;=0.01,10,0))))</f>
        <v>50</v>
      </c>
      <c r="T189" s="4" t="n">
        <f aca="false">IF(TRIM(AI189)="Yes",2.5,0)</f>
        <v>0</v>
      </c>
      <c r="U189" s="4" t="n">
        <f aca="false">IF(TRIM(AJ189)="Yes",10,0)</f>
        <v>10</v>
      </c>
      <c r="V189" s="4" t="n">
        <f aca="false">IF(TRIM(AK189)="Yes",5,0)</f>
        <v>5</v>
      </c>
      <c r="W189" s="4" t="n">
        <f aca="false">IF(TRIM(AM189)="Yes",5,0)</f>
        <v>5</v>
      </c>
      <c r="X189" s="4" t="n">
        <f aca="false">IF(OR(TRIM(AN189)="Fully Available",TRIM(AN189)="Not Applicable"),5,IF(TRIM(AN189)="Partially Available",2.5,0))</f>
        <v>5</v>
      </c>
      <c r="Y189" s="4" t="n">
        <f aca="false">IF(TRIM(AO189)="Yes",5,0)</f>
        <v>0</v>
      </c>
      <c r="Z189" s="4" t="n">
        <f aca="false">IF(TRIM(AP189)="Yes",2.5,0)</f>
        <v>2.5</v>
      </c>
      <c r="AA189" s="4" t="n">
        <f aca="false">IF(TRIM(AQ189)="Yes",5,0)</f>
        <v>5</v>
      </c>
      <c r="AB189" s="4" t="n">
        <f aca="false">IF(OR(TRIM(AR189)="Yes",TRIM(AR189)="Not Applicable"),5,0)</f>
        <v>5</v>
      </c>
      <c r="AC189" s="4" t="n">
        <f aca="false">IF(TRIM(AS189)="Excellent",5,IF(TRIM(AS189)="Very Good",4,IF(TRIM(AS189)="Good",3,IF(TRIM(AS189)="Average",2,0))))</f>
        <v>3</v>
      </c>
      <c r="AD189" s="7" t="n">
        <f aca="false">IF(COUNT(S189:AC189)=0,"",SUM(S189:AC189))</f>
        <v>90.5</v>
      </c>
      <c r="AE189" s="7" t="n">
        <f aca="false">IF(COUNTIF($F$2:F189,F189)=1,IFERROR(AVERAGEIF($F:$F,F189,$AD:$AD),""),"")</f>
        <v>90.5</v>
      </c>
      <c r="AF189" s="8" t="str">
        <f aca="false">IF(AH189&lt;&gt;"",AH189,IF(AE189="","",IF(AE189&gt;=80,"Excellent",IF(AE189&gt;=70,"Very Good",IF(AE189&gt;=60,"Good",IF(AE189&gt;=50,"Average","Poor"))))))</f>
        <v>Excellent</v>
      </c>
      <c r="AG189" s="5"/>
      <c r="AH189" s="4"/>
      <c r="AI189" s="4" t="s">
        <v>82</v>
      </c>
      <c r="AJ189" s="4" t="s">
        <v>62</v>
      </c>
      <c r="AK189" s="4" t="s">
        <v>62</v>
      </c>
      <c r="AL189" s="4" t="s">
        <v>63</v>
      </c>
      <c r="AM189" s="4" t="s">
        <v>62</v>
      </c>
      <c r="AN189" s="4" t="s">
        <v>64</v>
      </c>
      <c r="AO189" s="4" t="s">
        <v>82</v>
      </c>
      <c r="AP189" s="4" t="s">
        <v>62</v>
      </c>
      <c r="AQ189" s="4" t="s">
        <v>62</v>
      </c>
      <c r="AR189" s="4" t="s">
        <v>73</v>
      </c>
      <c r="AS189" s="4" t="s">
        <v>185</v>
      </c>
      <c r="AT189" s="4" t="n">
        <v>3</v>
      </c>
      <c r="AU189" s="4" t="s">
        <v>66</v>
      </c>
      <c r="AV189" s="4" t="s">
        <v>639</v>
      </c>
      <c r="AW189" s="4" t="s">
        <v>644</v>
      </c>
      <c r="AX189" s="4" t="s">
        <v>568</v>
      </c>
      <c r="AY189" s="4" t="n">
        <v>7</v>
      </c>
      <c r="AZ189" s="4" t="s">
        <v>62</v>
      </c>
      <c r="BA189" s="4" t="s">
        <v>645</v>
      </c>
      <c r="BB189" s="4" t="s">
        <v>497</v>
      </c>
      <c r="BC189" s="6" t="n">
        <v>0.2778</v>
      </c>
      <c r="BD189" s="4" t="n">
        <v>77</v>
      </c>
    </row>
    <row r="190" customFormat="false" ht="58.2" hidden="false" customHeight="false" outlineLevel="0" collapsed="false">
      <c r="A190" s="4" t="n">
        <v>80</v>
      </c>
      <c r="B190" s="4" t="s">
        <v>56</v>
      </c>
      <c r="C190" s="4" t="s">
        <v>57</v>
      </c>
      <c r="D190" s="4" t="s">
        <v>491</v>
      </c>
      <c r="E190" s="4" t="s">
        <v>646</v>
      </c>
      <c r="F190" s="4" t="n">
        <v>3823</v>
      </c>
      <c r="G190" s="5" t="s">
        <v>647</v>
      </c>
      <c r="H190" s="5" t="s">
        <v>298</v>
      </c>
      <c r="I190" s="4"/>
      <c r="J190" s="4"/>
      <c r="K190" s="4"/>
      <c r="L190" s="4" t="n">
        <v>15</v>
      </c>
      <c r="M190" s="4" t="n">
        <v>15</v>
      </c>
      <c r="N190" s="4" t="n">
        <v>0</v>
      </c>
      <c r="O190" s="4" t="n">
        <v>0</v>
      </c>
      <c r="P190" s="4" t="n">
        <v>0</v>
      </c>
      <c r="Q190" s="4" t="n">
        <v>0</v>
      </c>
      <c r="R190" s="6" t="n">
        <f aca="false">IF(N(L190)=0,0,O190/L190)</f>
        <v>0</v>
      </c>
      <c r="S190" s="4" t="n">
        <f aca="false">IF(R190="","",IF(R190&gt;=0.8,50,IF(R190&gt;=0.5,30,IF(R190&gt;=0.01,10,0))))</f>
        <v>0</v>
      </c>
      <c r="T190" s="4" t="n">
        <f aca="false">IF(TRIM(AI190)="Yes",2.5,0)</f>
        <v>0</v>
      </c>
      <c r="U190" s="4" t="n">
        <f aca="false">IF(TRIM(AJ190)="Yes",10,0)</f>
        <v>0</v>
      </c>
      <c r="V190" s="4" t="n">
        <f aca="false">IF(TRIM(AK190)="Yes",5,0)</f>
        <v>0</v>
      </c>
      <c r="W190" s="4" t="n">
        <f aca="false">IF(TRIM(AM190)="Yes",5,0)</f>
        <v>5</v>
      </c>
      <c r="X190" s="4" t="n">
        <f aca="false">IF(OR(TRIM(AN190)="Fully Available",TRIM(AN190)="Not Applicable"),5,IF(TRIM(AN190)="Partially Available",2.5,0))</f>
        <v>5</v>
      </c>
      <c r="Y190" s="4" t="n">
        <f aca="false">IF(TRIM(AO190)="Yes",5,0)</f>
        <v>0</v>
      </c>
      <c r="Z190" s="4" t="n">
        <f aca="false">IF(TRIM(AP190)="Yes",2.5,0)</f>
        <v>0</v>
      </c>
      <c r="AA190" s="4" t="n">
        <f aca="false">IF(TRIM(AQ190)="Yes",5,0)</f>
        <v>0</v>
      </c>
      <c r="AB190" s="4" t="n">
        <f aca="false">IF(OR(TRIM(AR190)="Yes",TRIM(AR190)="Not Applicable"),5,0)</f>
        <v>5</v>
      </c>
      <c r="AC190" s="4" t="n">
        <f aca="false">IF(TRIM(AS190)="Excellent",5,IF(TRIM(AS190)="Very Good",4,IF(TRIM(AS190)="Good",3,IF(TRIM(AS190)="Average",2,0))))</f>
        <v>0</v>
      </c>
      <c r="AD190" s="7" t="n">
        <f aca="false">IF(COUNT(S190:AC190)=0,"",SUM(S190:AC190))</f>
        <v>15</v>
      </c>
      <c r="AE190" s="7" t="n">
        <f aca="false">IF(COUNTIF($F$2:F190,F190)=1,IFERROR(AVERAGEIF($F:$F,F190,$AD:$AD),""),"")</f>
        <v>15</v>
      </c>
      <c r="AF190" s="8" t="str">
        <f aca="false">IF(AH190&lt;&gt;"",AH190,IF(AE190="","",IF(AE190&gt;=80,"Excellent",IF(AE190&gt;=70,"Very Good",IF(AE190&gt;=60,"Good",IF(AE190&gt;=50,"Average","Poor"))))))</f>
        <v>Poor</v>
      </c>
      <c r="AG190" s="5" t="s">
        <v>648</v>
      </c>
      <c r="AH190" s="4" t="s">
        <v>203</v>
      </c>
      <c r="AI190" s="4"/>
      <c r="AJ190" s="4"/>
      <c r="AK190" s="4"/>
      <c r="AL190" s="4" t="s">
        <v>379</v>
      </c>
      <c r="AM190" s="4" t="s">
        <v>62</v>
      </c>
      <c r="AN190" s="4" t="s">
        <v>73</v>
      </c>
      <c r="AO190" s="4"/>
      <c r="AP190" s="4"/>
      <c r="AQ190" s="4"/>
      <c r="AR190" s="4" t="s">
        <v>73</v>
      </c>
      <c r="AS190" s="4" t="s">
        <v>203</v>
      </c>
      <c r="AT190" s="4"/>
      <c r="AU190" s="4" t="s">
        <v>66</v>
      </c>
      <c r="AV190" s="4" t="s">
        <v>649</v>
      </c>
      <c r="AW190" s="4" t="s">
        <v>650</v>
      </c>
      <c r="AX190" s="4" t="s">
        <v>192</v>
      </c>
      <c r="AY190" s="4"/>
      <c r="AZ190" s="4" t="s">
        <v>82</v>
      </c>
      <c r="BA190" s="4" t="s">
        <v>648</v>
      </c>
      <c r="BB190" s="4" t="s">
        <v>497</v>
      </c>
      <c r="BC190" s="6"/>
      <c r="BD190" s="4" t="n">
        <v>0</v>
      </c>
    </row>
    <row r="191" customFormat="false" ht="299.25" hidden="false" customHeight="false" outlineLevel="0" collapsed="false">
      <c r="A191" s="4" t="n">
        <v>81</v>
      </c>
      <c r="B191" s="4" t="s">
        <v>56</v>
      </c>
      <c r="C191" s="4" t="s">
        <v>57</v>
      </c>
      <c r="D191" s="4" t="s">
        <v>651</v>
      </c>
      <c r="E191" s="4" t="s">
        <v>652</v>
      </c>
      <c r="F191" s="4" t="n">
        <v>130</v>
      </c>
      <c r="G191" s="5" t="s">
        <v>653</v>
      </c>
      <c r="H191" s="5" t="s">
        <v>127</v>
      </c>
      <c r="I191" s="4"/>
      <c r="J191" s="4"/>
      <c r="K191" s="4"/>
      <c r="L191" s="4" t="n">
        <v>20</v>
      </c>
      <c r="M191" s="4" t="n">
        <v>18</v>
      </c>
      <c r="N191" s="4" t="n">
        <v>2</v>
      </c>
      <c r="O191" s="4" t="n">
        <v>18</v>
      </c>
      <c r="P191" s="4" t="n">
        <v>0</v>
      </c>
      <c r="Q191" s="4" t="n">
        <v>5</v>
      </c>
      <c r="R191" s="6" t="n">
        <f aca="false">IF(N(L191)=0,0,O191/L191)</f>
        <v>0.9</v>
      </c>
      <c r="S191" s="4" t="n">
        <f aca="false">IF(R191="","",IF(R191&gt;=0.8,50,IF(R191&gt;=0.5,30,IF(R191&gt;=0.01,10,0))))</f>
        <v>50</v>
      </c>
      <c r="T191" s="4" t="n">
        <f aca="false">IF(TRIM(AI191)="Yes",2.5,0)</f>
        <v>2.5</v>
      </c>
      <c r="U191" s="4" t="n">
        <f aca="false">IF(TRIM(AJ191)="Yes",10,0)</f>
        <v>10</v>
      </c>
      <c r="V191" s="4" t="n">
        <f aca="false">IF(TRIM(AK191)="Yes",5,0)</f>
        <v>5</v>
      </c>
      <c r="W191" s="4" t="n">
        <f aca="false">IF(TRIM(AM191)="Yes",5,0)</f>
        <v>5</v>
      </c>
      <c r="X191" s="4" t="n">
        <f aca="false">IF(OR(TRIM(AN191)="Fully Available",TRIM(AN191)="Not Applicable"),5,IF(TRIM(AN191)="Partially Available",2.5,0))</f>
        <v>0</v>
      </c>
      <c r="Y191" s="4" t="n">
        <f aca="false">IF(TRIM(AO191)="Yes",5,0)</f>
        <v>0</v>
      </c>
      <c r="Z191" s="4" t="n">
        <f aca="false">IF(TRIM(AP191)="Yes",2.5,0)</f>
        <v>2.5</v>
      </c>
      <c r="AA191" s="4" t="n">
        <f aca="false">IF(TRIM(AQ191)="Yes",5,0)</f>
        <v>5</v>
      </c>
      <c r="AB191" s="4" t="n">
        <f aca="false">IF(OR(TRIM(AR191)="Yes",TRIM(AR191)="Not Applicable"),5,0)</f>
        <v>5</v>
      </c>
      <c r="AC191" s="4" t="n">
        <f aca="false">IF(TRIM(AS191)="Excellent",5,IF(TRIM(AS191)="Very Good",4,IF(TRIM(AS191)="Good",3,IF(TRIM(AS191)="Average",2,0))))</f>
        <v>2</v>
      </c>
      <c r="AD191" s="7" t="n">
        <f aca="false">IF(COUNT(S191:AC191)=0,"",SUM(S191:AC191))</f>
        <v>87</v>
      </c>
      <c r="AE191" s="7" t="n">
        <f aca="false">IF(COUNTIF($F$2:F191,F191)=1,IFERROR(AVERAGEIF($F:$F,F191,$AD:$AD),""),"")</f>
        <v>87</v>
      </c>
      <c r="AF191" s="8" t="str">
        <f aca="false">IF(AH191&lt;&gt;"",AH191,IF(AE191="","",IF(AE191&gt;=80,"Excellent",IF(AE191&gt;=70,"Very Good",IF(AE191&gt;=60,"Good",IF(AE191&gt;=50,"Average","Poor"))))))</f>
        <v>Excellent</v>
      </c>
      <c r="AG191" s="5"/>
      <c r="AH191" s="4"/>
      <c r="AI191" s="4" t="s">
        <v>62</v>
      </c>
      <c r="AJ191" s="4" t="s">
        <v>62</v>
      </c>
      <c r="AK191" s="4" t="s">
        <v>62</v>
      </c>
      <c r="AL191" s="4" t="s">
        <v>63</v>
      </c>
      <c r="AM191" s="4" t="s">
        <v>62</v>
      </c>
      <c r="AN191" s="4" t="s">
        <v>204</v>
      </c>
      <c r="AO191" s="4" t="s">
        <v>82</v>
      </c>
      <c r="AP191" s="4" t="s">
        <v>62</v>
      </c>
      <c r="AQ191" s="4" t="s">
        <v>62</v>
      </c>
      <c r="AR191" s="4" t="s">
        <v>62</v>
      </c>
      <c r="AS191" s="4" t="s">
        <v>173</v>
      </c>
      <c r="AT191" s="4" t="n">
        <v>21</v>
      </c>
      <c r="AU191" s="4" t="s">
        <v>66</v>
      </c>
      <c r="AV191" s="4" t="s">
        <v>91</v>
      </c>
      <c r="AW191" s="4" t="s">
        <v>654</v>
      </c>
      <c r="AX191" s="4" t="s">
        <v>655</v>
      </c>
      <c r="AY191" s="4" t="n">
        <v>12</v>
      </c>
      <c r="AZ191" s="4" t="s">
        <v>62</v>
      </c>
      <c r="BA191" s="4" t="s">
        <v>656</v>
      </c>
      <c r="BB191" s="4" t="s">
        <v>657</v>
      </c>
      <c r="BC191" s="6" t="n">
        <v>0.2778</v>
      </c>
      <c r="BD191" s="4" t="n">
        <v>67</v>
      </c>
    </row>
    <row r="192" customFormat="false" ht="299.25" hidden="false" customHeight="false" outlineLevel="0" collapsed="false">
      <c r="A192" s="4" t="n">
        <v>82</v>
      </c>
      <c r="B192" s="4" t="s">
        <v>56</v>
      </c>
      <c r="C192" s="4" t="s">
        <v>57</v>
      </c>
      <c r="D192" s="4" t="s">
        <v>651</v>
      </c>
      <c r="E192" s="4" t="s">
        <v>652</v>
      </c>
      <c r="F192" s="4" t="n">
        <v>2239</v>
      </c>
      <c r="G192" s="5" t="s">
        <v>658</v>
      </c>
      <c r="H192" s="5" t="s">
        <v>238</v>
      </c>
      <c r="I192" s="4"/>
      <c r="J192" s="4"/>
      <c r="K192" s="4"/>
      <c r="L192" s="4" t="n">
        <v>20</v>
      </c>
      <c r="M192" s="4" t="n">
        <v>20</v>
      </c>
      <c r="N192" s="4" t="n">
        <v>0</v>
      </c>
      <c r="O192" s="4" t="n">
        <v>20</v>
      </c>
      <c r="P192" s="4" t="n">
        <v>0</v>
      </c>
      <c r="Q192" s="4" t="n">
        <v>10</v>
      </c>
      <c r="R192" s="6" t="n">
        <f aca="false">IF(N(L192)=0,0,O192/L192)</f>
        <v>1</v>
      </c>
      <c r="S192" s="4" t="n">
        <f aca="false">IF(R192="","",IF(R192&gt;=0.8,50,IF(R192&gt;=0.5,30,IF(R192&gt;=0.01,10,0))))</f>
        <v>50</v>
      </c>
      <c r="T192" s="4" t="n">
        <f aca="false">IF(TRIM(AI192)="Yes",2.5,0)</f>
        <v>2.5</v>
      </c>
      <c r="U192" s="4" t="n">
        <f aca="false">IF(TRIM(AJ192)="Yes",10,0)</f>
        <v>0</v>
      </c>
      <c r="V192" s="4" t="n">
        <f aca="false">IF(TRIM(AK192)="Yes",5,0)</f>
        <v>5</v>
      </c>
      <c r="W192" s="4" t="n">
        <f aca="false">IF(TRIM(AM192)="Yes",5,0)</f>
        <v>5</v>
      </c>
      <c r="X192" s="4" t="n">
        <f aca="false">IF(OR(TRIM(AN192)="Fully Available",TRIM(AN192)="Not Applicable"),5,IF(TRIM(AN192)="Partially Available",2.5,0))</f>
        <v>2.5</v>
      </c>
      <c r="Y192" s="4" t="n">
        <f aca="false">IF(TRIM(AO192)="Yes",5,0)</f>
        <v>5</v>
      </c>
      <c r="Z192" s="4" t="n">
        <f aca="false">IF(TRIM(AP192)="Yes",2.5,0)</f>
        <v>2.5</v>
      </c>
      <c r="AA192" s="4" t="n">
        <f aca="false">IF(TRIM(AQ192)="Yes",5,0)</f>
        <v>5</v>
      </c>
      <c r="AB192" s="4" t="n">
        <f aca="false">IF(OR(TRIM(AR192)="Yes",TRIM(AR192)="Not Applicable"),5,0)</f>
        <v>5</v>
      </c>
      <c r="AC192" s="4" t="n">
        <f aca="false">IF(TRIM(AS192)="Excellent",5,IF(TRIM(AS192)="Very Good",4,IF(TRIM(AS192)="Good",3,IF(TRIM(AS192)="Average",2,0))))</f>
        <v>2</v>
      </c>
      <c r="AD192" s="7" t="n">
        <f aca="false">IF(COUNT(S192:AC192)=0,"",SUM(S192:AC192))</f>
        <v>84.5</v>
      </c>
      <c r="AE192" s="7" t="n">
        <f aca="false">IF(COUNTIF($F$2:F192,F192)=1,IFERROR(AVERAGEIF($F:$F,F192,$AD:$AD),""),"")</f>
        <v>67</v>
      </c>
      <c r="AF192" s="8" t="str">
        <f aca="false">IF(AH192&lt;&gt;"",AH192,IF(AE192="","",IF(AE192&gt;=80,"Excellent",IF(AE192&gt;=70,"Very Good",IF(AE192&gt;=60,"Good",IF(AE192&gt;=50,"Average","Poor"))))))</f>
        <v>Good</v>
      </c>
      <c r="AG192" s="5"/>
      <c r="AH192" s="4"/>
      <c r="AI192" s="4" t="s">
        <v>62</v>
      </c>
      <c r="AJ192" s="4" t="s">
        <v>82</v>
      </c>
      <c r="AK192" s="4" t="s">
        <v>62</v>
      </c>
      <c r="AL192" s="4" t="s">
        <v>63</v>
      </c>
      <c r="AM192" s="4" t="s">
        <v>62</v>
      </c>
      <c r="AN192" s="4" t="s">
        <v>147</v>
      </c>
      <c r="AO192" s="4" t="s">
        <v>62</v>
      </c>
      <c r="AP192" s="4" t="s">
        <v>62</v>
      </c>
      <c r="AQ192" s="4" t="s">
        <v>62</v>
      </c>
      <c r="AR192" s="4" t="s">
        <v>73</v>
      </c>
      <c r="AS192" s="4" t="s">
        <v>173</v>
      </c>
      <c r="AT192" s="4" t="n">
        <v>12</v>
      </c>
      <c r="AU192" s="4" t="s">
        <v>66</v>
      </c>
      <c r="AV192" s="4" t="s">
        <v>91</v>
      </c>
      <c r="AW192" s="4" t="s">
        <v>659</v>
      </c>
      <c r="AX192" s="4" t="s">
        <v>660</v>
      </c>
      <c r="AY192" s="4" t="n">
        <v>3</v>
      </c>
      <c r="AZ192" s="4" t="s">
        <v>62</v>
      </c>
      <c r="BA192" s="4" t="s">
        <v>661</v>
      </c>
      <c r="BB192" s="4" t="s">
        <v>657</v>
      </c>
      <c r="BC192" s="6" t="n">
        <v>0.5</v>
      </c>
      <c r="BD192" s="4" t="n">
        <v>58</v>
      </c>
    </row>
    <row r="193" customFormat="false" ht="299.25" hidden="false" customHeight="false" outlineLevel="0" collapsed="false">
      <c r="A193" s="4"/>
      <c r="B193" s="4" t="s">
        <v>56</v>
      </c>
      <c r="C193" s="4" t="s">
        <v>57</v>
      </c>
      <c r="D193" s="4" t="s">
        <v>651</v>
      </c>
      <c r="E193" s="4" t="s">
        <v>652</v>
      </c>
      <c r="F193" s="4" t="n">
        <v>2239</v>
      </c>
      <c r="G193" s="5" t="s">
        <v>658</v>
      </c>
      <c r="H193" s="5" t="s">
        <v>662</v>
      </c>
      <c r="I193" s="4"/>
      <c r="J193" s="4"/>
      <c r="K193" s="4"/>
      <c r="L193" s="4" t="n">
        <v>20</v>
      </c>
      <c r="M193" s="4" t="n">
        <v>20</v>
      </c>
      <c r="N193" s="4" t="n">
        <v>0</v>
      </c>
      <c r="O193" s="4" t="n">
        <v>11</v>
      </c>
      <c r="P193" s="4" t="n">
        <v>9</v>
      </c>
      <c r="Q193" s="4" t="n">
        <v>4</v>
      </c>
      <c r="R193" s="6" t="n">
        <f aca="false">IF(N(L193)=0,0,O193/L193)</f>
        <v>0.55</v>
      </c>
      <c r="S193" s="4" t="n">
        <f aca="false">IF(R193="","",IF(R193&gt;=0.8,50,IF(R193&gt;=0.5,30,IF(R193&gt;=0.01,10,0))))</f>
        <v>30</v>
      </c>
      <c r="T193" s="4" t="n">
        <f aca="false">IF(TRIM(AI193)="Yes",2.5,0)</f>
        <v>2.5</v>
      </c>
      <c r="U193" s="4" t="n">
        <f aca="false">IF(TRIM(AJ193)="Yes",10,0)</f>
        <v>0</v>
      </c>
      <c r="V193" s="4" t="n">
        <f aca="false">IF(TRIM(AK193)="Yes",5,0)</f>
        <v>5</v>
      </c>
      <c r="W193" s="4" t="n">
        <f aca="false">IF(TRIM(AM193)="Yes",5,0)</f>
        <v>5</v>
      </c>
      <c r="X193" s="4" t="n">
        <f aca="false">IF(OR(TRIM(AN193)="Fully Available",TRIM(AN193)="Not Applicable"),5,IF(TRIM(AN193)="Partially Available",2.5,0))</f>
        <v>0</v>
      </c>
      <c r="Y193" s="4" t="n">
        <f aca="false">IF(TRIM(AO193)="Yes",5,0)</f>
        <v>5</v>
      </c>
      <c r="Z193" s="4" t="n">
        <f aca="false">IF(TRIM(AP193)="Yes",2.5,0)</f>
        <v>0</v>
      </c>
      <c r="AA193" s="4" t="n">
        <f aca="false">IF(TRIM(AQ193)="Yes",5,0)</f>
        <v>0</v>
      </c>
      <c r="AB193" s="4" t="n">
        <f aca="false">IF(OR(TRIM(AR193)="Yes",TRIM(AR193)="Not Applicable"),5,0)</f>
        <v>0</v>
      </c>
      <c r="AC193" s="4" t="n">
        <f aca="false">IF(TRIM(AS193)="Excellent",5,IF(TRIM(AS193)="Very Good",4,IF(TRIM(AS193)="Good",3,IF(TRIM(AS193)="Average",2,0))))</f>
        <v>2</v>
      </c>
      <c r="AD193" s="7" t="n">
        <f aca="false">IF(COUNT(S193:AC193)=0,"",SUM(S193:AC193))</f>
        <v>49.5</v>
      </c>
      <c r="AE193" s="7"/>
      <c r="AF193" s="8"/>
      <c r="AG193" s="5"/>
      <c r="AH193" s="4"/>
      <c r="AI193" s="4" t="s">
        <v>62</v>
      </c>
      <c r="AJ193" s="4" t="s">
        <v>82</v>
      </c>
      <c r="AK193" s="4" t="s">
        <v>62</v>
      </c>
      <c r="AL193" s="4" t="s">
        <v>63</v>
      </c>
      <c r="AM193" s="4" t="s">
        <v>62</v>
      </c>
      <c r="AN193" s="4" t="s">
        <v>204</v>
      </c>
      <c r="AO193" s="4" t="s">
        <v>62</v>
      </c>
      <c r="AP193" s="4" t="s">
        <v>82</v>
      </c>
      <c r="AQ193" s="4" t="s">
        <v>82</v>
      </c>
      <c r="AR193" s="4" t="s">
        <v>82</v>
      </c>
      <c r="AS193" s="4" t="s">
        <v>173</v>
      </c>
      <c r="AT193" s="4" t="n">
        <v>0</v>
      </c>
      <c r="AU193" s="4" t="s">
        <v>66</v>
      </c>
      <c r="AV193" s="4" t="s">
        <v>91</v>
      </c>
      <c r="AW193" s="4" t="s">
        <v>663</v>
      </c>
      <c r="AX193" s="4" t="s">
        <v>664</v>
      </c>
      <c r="AY193" s="4" t="n">
        <v>15</v>
      </c>
      <c r="AZ193" s="4" t="s">
        <v>62</v>
      </c>
      <c r="BA193" s="4" t="s">
        <v>661</v>
      </c>
      <c r="BB193" s="4" t="s">
        <v>657</v>
      </c>
      <c r="BC193" s="6" t="n">
        <v>0.3636</v>
      </c>
      <c r="BD193" s="4" t="n">
        <v>58</v>
      </c>
    </row>
    <row r="194" customFormat="false" ht="299.25" hidden="false" customHeight="false" outlineLevel="0" collapsed="false">
      <c r="A194" s="4" t="n">
        <v>83</v>
      </c>
      <c r="B194" s="4" t="s">
        <v>56</v>
      </c>
      <c r="C194" s="4" t="s">
        <v>57</v>
      </c>
      <c r="D194" s="4" t="s">
        <v>651</v>
      </c>
      <c r="E194" s="4" t="s">
        <v>652</v>
      </c>
      <c r="F194" s="4" t="n">
        <v>407</v>
      </c>
      <c r="G194" s="5" t="s">
        <v>665</v>
      </c>
      <c r="H194" s="5" t="s">
        <v>118</v>
      </c>
      <c r="I194" s="4"/>
      <c r="J194" s="4"/>
      <c r="K194" s="4"/>
      <c r="L194" s="4" t="n">
        <v>20</v>
      </c>
      <c r="M194" s="4" t="n">
        <v>20</v>
      </c>
      <c r="N194" s="4" t="n">
        <v>0</v>
      </c>
      <c r="O194" s="4" t="n">
        <v>17</v>
      </c>
      <c r="P194" s="4" t="n">
        <v>3</v>
      </c>
      <c r="Q194" s="4" t="n">
        <v>5</v>
      </c>
      <c r="R194" s="6" t="n">
        <f aca="false">IF(N(L194)=0,0,O194/L194)</f>
        <v>0.85</v>
      </c>
      <c r="S194" s="4" t="n">
        <f aca="false">IF(R194="","",IF(R194&gt;=0.8,50,IF(R194&gt;=0.5,30,IF(R194&gt;=0.01,10,0))))</f>
        <v>50</v>
      </c>
      <c r="T194" s="4" t="n">
        <f aca="false">IF(TRIM(AI194)="Yes",2.5,0)</f>
        <v>2.5</v>
      </c>
      <c r="U194" s="4" t="n">
        <f aca="false">IF(TRIM(AJ194)="Yes",10,0)</f>
        <v>0</v>
      </c>
      <c r="V194" s="4" t="n">
        <f aca="false">IF(TRIM(AK194)="Yes",5,0)</f>
        <v>5</v>
      </c>
      <c r="W194" s="4" t="n">
        <f aca="false">IF(TRIM(AM194)="Yes",5,0)</f>
        <v>5</v>
      </c>
      <c r="X194" s="4" t="n">
        <f aca="false">IF(OR(TRIM(AN194)="Fully Available",TRIM(AN194)="Not Applicable"),5,IF(TRIM(AN194)="Partially Available",2.5,0))</f>
        <v>2.5</v>
      </c>
      <c r="Y194" s="4" t="n">
        <f aca="false">IF(TRIM(AO194)="Yes",5,0)</f>
        <v>5</v>
      </c>
      <c r="Z194" s="4" t="n">
        <f aca="false">IF(TRIM(AP194)="Yes",2.5,0)</f>
        <v>2.5</v>
      </c>
      <c r="AA194" s="4" t="n">
        <f aca="false">IF(TRIM(AQ194)="Yes",5,0)</f>
        <v>5</v>
      </c>
      <c r="AB194" s="4" t="n">
        <f aca="false">IF(OR(TRIM(AR194)="Yes",TRIM(AR194)="Not Applicable"),5,0)</f>
        <v>5</v>
      </c>
      <c r="AC194" s="4" t="n">
        <f aca="false">IF(TRIM(AS194)="Excellent",5,IF(TRIM(AS194)="Very Good",4,IF(TRIM(AS194)="Good",3,IF(TRIM(AS194)="Average",2,0))))</f>
        <v>2</v>
      </c>
      <c r="AD194" s="7" t="n">
        <f aca="false">IF(COUNT(S194:AC194)=0,"",SUM(S194:AC194))</f>
        <v>84.5</v>
      </c>
      <c r="AE194" s="7" t="n">
        <f aca="false">IF(COUNTIF($F$2:F194,F194)=1,IFERROR(AVERAGEIF($F:$F,F194,$AD:$AD),""),"")</f>
        <v>85.125</v>
      </c>
      <c r="AF194" s="8" t="str">
        <f aca="false">IF(AH194&lt;&gt;"",AH194,IF(AE194="","",IF(AE194&gt;=80,"Excellent",IF(AE194&gt;=70,"Very Good",IF(AE194&gt;=60,"Good",IF(AE194&gt;=50,"Average","Poor"))))))</f>
        <v>Excellent</v>
      </c>
      <c r="AG194" s="5"/>
      <c r="AH194" s="4"/>
      <c r="AI194" s="4" t="s">
        <v>62</v>
      </c>
      <c r="AJ194" s="4" t="s">
        <v>82</v>
      </c>
      <c r="AK194" s="4" t="s">
        <v>62</v>
      </c>
      <c r="AL194" s="4" t="s">
        <v>63</v>
      </c>
      <c r="AM194" s="4" t="s">
        <v>62</v>
      </c>
      <c r="AN194" s="4" t="s">
        <v>147</v>
      </c>
      <c r="AO194" s="4" t="s">
        <v>62</v>
      </c>
      <c r="AP194" s="4" t="s">
        <v>62</v>
      </c>
      <c r="AQ194" s="4" t="s">
        <v>62</v>
      </c>
      <c r="AR194" s="4" t="s">
        <v>62</v>
      </c>
      <c r="AS194" s="4" t="s">
        <v>173</v>
      </c>
      <c r="AT194" s="4" t="n">
        <v>8</v>
      </c>
      <c r="AU194" s="4" t="s">
        <v>112</v>
      </c>
      <c r="AV194" s="4" t="s">
        <v>128</v>
      </c>
      <c r="AW194" s="4" t="s">
        <v>666</v>
      </c>
      <c r="AX194" s="4" t="s">
        <v>667</v>
      </c>
      <c r="AY194" s="4" t="n">
        <v>4</v>
      </c>
      <c r="AZ194" s="4" t="s">
        <v>62</v>
      </c>
      <c r="BA194" s="4" t="s">
        <v>668</v>
      </c>
      <c r="BB194" s="4" t="s">
        <v>657</v>
      </c>
      <c r="BC194" s="6" t="n">
        <v>0.2941</v>
      </c>
      <c r="BD194" s="4" t="n">
        <v>81</v>
      </c>
    </row>
    <row r="195" customFormat="false" ht="299.25" hidden="false" customHeight="false" outlineLevel="0" collapsed="false">
      <c r="A195" s="4"/>
      <c r="B195" s="4" t="s">
        <v>56</v>
      </c>
      <c r="C195" s="4" t="s">
        <v>57</v>
      </c>
      <c r="D195" s="4" t="s">
        <v>651</v>
      </c>
      <c r="E195" s="4" t="s">
        <v>652</v>
      </c>
      <c r="F195" s="4" t="n">
        <v>407</v>
      </c>
      <c r="G195" s="5" t="s">
        <v>665</v>
      </c>
      <c r="H195" s="5" t="s">
        <v>397</v>
      </c>
      <c r="I195" s="4"/>
      <c r="J195" s="4"/>
      <c r="K195" s="4"/>
      <c r="L195" s="4" t="n">
        <v>20</v>
      </c>
      <c r="M195" s="4" t="n">
        <v>19</v>
      </c>
      <c r="N195" s="4" t="n">
        <v>1</v>
      </c>
      <c r="O195" s="4" t="n">
        <v>18</v>
      </c>
      <c r="P195" s="4" t="n">
        <v>1</v>
      </c>
      <c r="Q195" s="4" t="n">
        <v>5</v>
      </c>
      <c r="R195" s="6" t="n">
        <f aca="false">IF(N(L195)=0,0,O195/L195)</f>
        <v>0.9</v>
      </c>
      <c r="S195" s="4" t="n">
        <f aca="false">IF(R195="","",IF(R195&gt;=0.8,50,IF(R195&gt;=0.5,30,IF(R195&gt;=0.01,10,0))))</f>
        <v>50</v>
      </c>
      <c r="T195" s="4" t="n">
        <f aca="false">IF(TRIM(AI195)="Yes",2.5,0)</f>
        <v>2.5</v>
      </c>
      <c r="U195" s="4" t="n">
        <f aca="false">IF(TRIM(AJ195)="Yes",10,0)</f>
        <v>0</v>
      </c>
      <c r="V195" s="4" t="n">
        <f aca="false">IF(TRIM(AK195)="Yes",5,0)</f>
        <v>5</v>
      </c>
      <c r="W195" s="4" t="n">
        <f aca="false">IF(TRIM(AM195)="Yes",5,0)</f>
        <v>5</v>
      </c>
      <c r="X195" s="4" t="n">
        <f aca="false">IF(OR(TRIM(AN195)="Fully Available",TRIM(AN195)="Not Applicable"),5,IF(TRIM(AN195)="Partially Available",2.5,0))</f>
        <v>2.5</v>
      </c>
      <c r="Y195" s="4" t="n">
        <f aca="false">IF(TRIM(AO195)="Yes",5,0)</f>
        <v>5</v>
      </c>
      <c r="Z195" s="4" t="n">
        <f aca="false">IF(TRIM(AP195)="Yes",2.5,0)</f>
        <v>2.5</v>
      </c>
      <c r="AA195" s="4" t="n">
        <f aca="false">IF(TRIM(AQ195)="Yes",5,0)</f>
        <v>5</v>
      </c>
      <c r="AB195" s="4" t="n">
        <f aca="false">IF(OR(TRIM(AR195)="Yes",TRIM(AR195)="Not Applicable"),5,0)</f>
        <v>5</v>
      </c>
      <c r="AC195" s="4" t="n">
        <f aca="false">IF(TRIM(AS195)="Excellent",5,IF(TRIM(AS195)="Very Good",4,IF(TRIM(AS195)="Good",3,IF(TRIM(AS195)="Average",2,0))))</f>
        <v>2</v>
      </c>
      <c r="AD195" s="7" t="n">
        <f aca="false">IF(COUNT(S195:AC195)=0,"",SUM(S195:AC195))</f>
        <v>84.5</v>
      </c>
      <c r="AE195" s="7"/>
      <c r="AF195" s="8"/>
      <c r="AG195" s="5"/>
      <c r="AH195" s="4"/>
      <c r="AI195" s="4" t="s">
        <v>62</v>
      </c>
      <c r="AJ195" s="4" t="s">
        <v>82</v>
      </c>
      <c r="AK195" s="4" t="s">
        <v>62</v>
      </c>
      <c r="AL195" s="4" t="s">
        <v>63</v>
      </c>
      <c r="AM195" s="4" t="s">
        <v>62</v>
      </c>
      <c r="AN195" s="4" t="s">
        <v>147</v>
      </c>
      <c r="AO195" s="4" t="s">
        <v>62</v>
      </c>
      <c r="AP195" s="4" t="s">
        <v>62</v>
      </c>
      <c r="AQ195" s="4" t="s">
        <v>62</v>
      </c>
      <c r="AR195" s="4" t="s">
        <v>62</v>
      </c>
      <c r="AS195" s="4" t="s">
        <v>173</v>
      </c>
      <c r="AT195" s="4" t="n">
        <v>10</v>
      </c>
      <c r="AU195" s="4" t="s">
        <v>66</v>
      </c>
      <c r="AV195" s="4" t="s">
        <v>128</v>
      </c>
      <c r="AW195" s="4" t="s">
        <v>669</v>
      </c>
      <c r="AX195" s="4" t="s">
        <v>670</v>
      </c>
      <c r="AY195" s="4" t="n">
        <v>4</v>
      </c>
      <c r="AZ195" s="4" t="s">
        <v>62</v>
      </c>
      <c r="BA195" s="4" t="s">
        <v>668</v>
      </c>
      <c r="BB195" s="4" t="s">
        <v>657</v>
      </c>
      <c r="BC195" s="6" t="n">
        <v>0.2778</v>
      </c>
      <c r="BD195" s="4" t="n">
        <v>81</v>
      </c>
    </row>
    <row r="196" customFormat="false" ht="299.25" hidden="false" customHeight="false" outlineLevel="0" collapsed="false">
      <c r="A196" s="4"/>
      <c r="B196" s="4" t="s">
        <v>56</v>
      </c>
      <c r="C196" s="4" t="s">
        <v>57</v>
      </c>
      <c r="D196" s="4" t="s">
        <v>651</v>
      </c>
      <c r="E196" s="4" t="s">
        <v>652</v>
      </c>
      <c r="F196" s="4" t="n">
        <v>407</v>
      </c>
      <c r="G196" s="5" t="s">
        <v>665</v>
      </c>
      <c r="H196" s="5" t="s">
        <v>229</v>
      </c>
      <c r="I196" s="4"/>
      <c r="J196" s="4"/>
      <c r="K196" s="4"/>
      <c r="L196" s="4" t="n">
        <v>20</v>
      </c>
      <c r="M196" s="4" t="n">
        <v>20</v>
      </c>
      <c r="N196" s="4" t="n">
        <v>0</v>
      </c>
      <c r="O196" s="4" t="n">
        <v>19</v>
      </c>
      <c r="P196" s="4" t="n">
        <v>1</v>
      </c>
      <c r="Q196" s="4" t="n">
        <v>6</v>
      </c>
      <c r="R196" s="6" t="n">
        <f aca="false">IF(N(L196)=0,0,O196/L196)</f>
        <v>0.95</v>
      </c>
      <c r="S196" s="4" t="n">
        <f aca="false">IF(R196="","",IF(R196&gt;=0.8,50,IF(R196&gt;=0.5,30,IF(R196&gt;=0.01,10,0))))</f>
        <v>50</v>
      </c>
      <c r="T196" s="4" t="n">
        <f aca="false">IF(TRIM(AI196)="Yes",2.5,0)</f>
        <v>2.5</v>
      </c>
      <c r="U196" s="4" t="n">
        <f aca="false">IF(TRIM(AJ196)="Yes",10,0)</f>
        <v>0</v>
      </c>
      <c r="V196" s="4" t="n">
        <f aca="false">IF(TRIM(AK196)="Yes",5,0)</f>
        <v>5</v>
      </c>
      <c r="W196" s="4" t="n">
        <f aca="false">IF(TRIM(AM196)="Yes",5,0)</f>
        <v>5</v>
      </c>
      <c r="X196" s="4" t="n">
        <f aca="false">IF(OR(TRIM(AN196)="Fully Available",TRIM(AN196)="Not Applicable"),5,IF(TRIM(AN196)="Partially Available",2.5,0))</f>
        <v>5</v>
      </c>
      <c r="Y196" s="4" t="n">
        <f aca="false">IF(TRIM(AO196)="Yes",5,0)</f>
        <v>5</v>
      </c>
      <c r="Z196" s="4" t="n">
        <f aca="false">IF(TRIM(AP196)="Yes",2.5,0)</f>
        <v>2.5</v>
      </c>
      <c r="AA196" s="4" t="n">
        <f aca="false">IF(TRIM(AQ196)="Yes",5,0)</f>
        <v>5</v>
      </c>
      <c r="AB196" s="4" t="n">
        <f aca="false">IF(OR(TRIM(AR196)="Yes",TRIM(AR196)="Not Applicable"),5,0)</f>
        <v>5</v>
      </c>
      <c r="AC196" s="4" t="n">
        <f aca="false">IF(TRIM(AS196)="Excellent",5,IF(TRIM(AS196)="Very Good",4,IF(TRIM(AS196)="Good",3,IF(TRIM(AS196)="Average",2,0))))</f>
        <v>2</v>
      </c>
      <c r="AD196" s="7" t="n">
        <f aca="false">IF(COUNT(S196:AC196)=0,"",SUM(S196:AC196))</f>
        <v>87</v>
      </c>
      <c r="AE196" s="7"/>
      <c r="AF196" s="8"/>
      <c r="AG196" s="5"/>
      <c r="AH196" s="4"/>
      <c r="AI196" s="4" t="s">
        <v>62</v>
      </c>
      <c r="AJ196" s="4" t="s">
        <v>82</v>
      </c>
      <c r="AK196" s="4" t="s">
        <v>62</v>
      </c>
      <c r="AL196" s="4" t="s">
        <v>63</v>
      </c>
      <c r="AM196" s="4" t="s">
        <v>62</v>
      </c>
      <c r="AN196" s="4" t="s">
        <v>64</v>
      </c>
      <c r="AO196" s="4" t="s">
        <v>62</v>
      </c>
      <c r="AP196" s="4" t="s">
        <v>62</v>
      </c>
      <c r="AQ196" s="4" t="s">
        <v>62</v>
      </c>
      <c r="AR196" s="4" t="s">
        <v>73</v>
      </c>
      <c r="AS196" s="4" t="s">
        <v>173</v>
      </c>
      <c r="AT196" s="4" t="n">
        <v>34</v>
      </c>
      <c r="AU196" s="4" t="s">
        <v>112</v>
      </c>
      <c r="AV196" s="4" t="s">
        <v>128</v>
      </c>
      <c r="AW196" s="4" t="s">
        <v>671</v>
      </c>
      <c r="AX196" s="4" t="s">
        <v>672</v>
      </c>
      <c r="AY196" s="4" t="n">
        <v>15</v>
      </c>
      <c r="AZ196" s="4" t="s">
        <v>62</v>
      </c>
      <c r="BA196" s="4" t="s">
        <v>668</v>
      </c>
      <c r="BB196" s="4" t="s">
        <v>657</v>
      </c>
      <c r="BC196" s="6" t="n">
        <v>0.3158</v>
      </c>
      <c r="BD196" s="4" t="n">
        <v>81</v>
      </c>
    </row>
    <row r="197" customFormat="false" ht="299.25" hidden="false" customHeight="false" outlineLevel="0" collapsed="false">
      <c r="A197" s="4"/>
      <c r="B197" s="4" t="s">
        <v>56</v>
      </c>
      <c r="C197" s="4" t="s">
        <v>57</v>
      </c>
      <c r="D197" s="4" t="s">
        <v>651</v>
      </c>
      <c r="E197" s="4" t="s">
        <v>652</v>
      </c>
      <c r="F197" s="4" t="n">
        <v>407</v>
      </c>
      <c r="G197" s="5" t="s">
        <v>665</v>
      </c>
      <c r="H197" s="5" t="s">
        <v>124</v>
      </c>
      <c r="I197" s="4"/>
      <c r="J197" s="4"/>
      <c r="K197" s="4"/>
      <c r="L197" s="4" t="n">
        <v>20</v>
      </c>
      <c r="M197" s="4" t="n">
        <v>20</v>
      </c>
      <c r="N197" s="4" t="n">
        <v>0</v>
      </c>
      <c r="O197" s="4" t="n">
        <v>16</v>
      </c>
      <c r="P197" s="4" t="n">
        <v>4</v>
      </c>
      <c r="Q197" s="4" t="n">
        <v>5</v>
      </c>
      <c r="R197" s="6" t="n">
        <f aca="false">IF(N(L197)=0,0,O197/L197)</f>
        <v>0.8</v>
      </c>
      <c r="S197" s="4" t="n">
        <f aca="false">IF(R197="","",IF(R197&gt;=0.8,50,IF(R197&gt;=0.5,30,IF(R197&gt;=0.01,10,0))))</f>
        <v>50</v>
      </c>
      <c r="T197" s="4" t="n">
        <f aca="false">IF(TRIM(AI197)="Yes",2.5,0)</f>
        <v>2.5</v>
      </c>
      <c r="U197" s="4" t="n">
        <f aca="false">IF(TRIM(AJ197)="Yes",10,0)</f>
        <v>0</v>
      </c>
      <c r="V197" s="4" t="n">
        <f aca="false">IF(TRIM(AK197)="Yes",5,0)</f>
        <v>5</v>
      </c>
      <c r="W197" s="4" t="n">
        <f aca="false">IF(TRIM(AM197)="Yes",5,0)</f>
        <v>5</v>
      </c>
      <c r="X197" s="4" t="n">
        <f aca="false">IF(OR(TRIM(AN197)="Fully Available",TRIM(AN197)="Not Applicable"),5,IF(TRIM(AN197)="Partially Available",2.5,0))</f>
        <v>2.5</v>
      </c>
      <c r="Y197" s="4" t="n">
        <f aca="false">IF(TRIM(AO197)="Yes",5,0)</f>
        <v>5</v>
      </c>
      <c r="Z197" s="4" t="n">
        <f aca="false">IF(TRIM(AP197)="Yes",2.5,0)</f>
        <v>2.5</v>
      </c>
      <c r="AA197" s="4" t="n">
        <f aca="false">IF(TRIM(AQ197)="Yes",5,0)</f>
        <v>5</v>
      </c>
      <c r="AB197" s="4" t="n">
        <f aca="false">IF(OR(TRIM(AR197)="Yes",TRIM(AR197)="Not Applicable"),5,0)</f>
        <v>5</v>
      </c>
      <c r="AC197" s="4" t="n">
        <f aca="false">IF(TRIM(AS197)="Excellent",5,IF(TRIM(AS197)="Very Good",4,IF(TRIM(AS197)="Good",3,IF(TRIM(AS197)="Average",2,0))))</f>
        <v>2</v>
      </c>
      <c r="AD197" s="7" t="n">
        <f aca="false">IF(COUNT(S197:AC197)=0,"",SUM(S197:AC197))</f>
        <v>84.5</v>
      </c>
      <c r="AE197" s="7"/>
      <c r="AF197" s="8"/>
      <c r="AG197" s="5"/>
      <c r="AH197" s="4"/>
      <c r="AI197" s="4" t="s">
        <v>62</v>
      </c>
      <c r="AJ197" s="4" t="s">
        <v>82</v>
      </c>
      <c r="AK197" s="4" t="s">
        <v>62</v>
      </c>
      <c r="AL197" s="4" t="s">
        <v>63</v>
      </c>
      <c r="AM197" s="4" t="s">
        <v>62</v>
      </c>
      <c r="AN197" s="4" t="s">
        <v>147</v>
      </c>
      <c r="AO197" s="4" t="s">
        <v>62</v>
      </c>
      <c r="AP197" s="4" t="s">
        <v>62</v>
      </c>
      <c r="AQ197" s="4" t="s">
        <v>62</v>
      </c>
      <c r="AR197" s="4" t="s">
        <v>62</v>
      </c>
      <c r="AS197" s="4" t="s">
        <v>173</v>
      </c>
      <c r="AT197" s="4" t="n">
        <v>8</v>
      </c>
      <c r="AU197" s="4" t="s">
        <v>112</v>
      </c>
      <c r="AV197" s="4" t="s">
        <v>128</v>
      </c>
      <c r="AW197" s="4" t="s">
        <v>673</v>
      </c>
      <c r="AX197" s="4" t="s">
        <v>674</v>
      </c>
      <c r="AY197" s="4" t="n">
        <v>20</v>
      </c>
      <c r="AZ197" s="4" t="s">
        <v>62</v>
      </c>
      <c r="BA197" s="4" t="s">
        <v>668</v>
      </c>
      <c r="BB197" s="4" t="s">
        <v>657</v>
      </c>
      <c r="BC197" s="6" t="n">
        <v>0.3125</v>
      </c>
      <c r="BD197" s="4" t="n">
        <v>81</v>
      </c>
    </row>
    <row r="198" customFormat="false" ht="285.05" hidden="false" customHeight="false" outlineLevel="0" collapsed="false">
      <c r="A198" s="4" t="n">
        <v>84</v>
      </c>
      <c r="B198" s="4" t="s">
        <v>56</v>
      </c>
      <c r="C198" s="4" t="s">
        <v>57</v>
      </c>
      <c r="D198" s="4" t="s">
        <v>651</v>
      </c>
      <c r="E198" s="4" t="s">
        <v>652</v>
      </c>
      <c r="F198" s="4" t="n">
        <v>1389</v>
      </c>
      <c r="G198" s="5" t="s">
        <v>675</v>
      </c>
      <c r="H198" s="5" t="s">
        <v>61</v>
      </c>
      <c r="I198" s="4"/>
      <c r="J198" s="4"/>
      <c r="K198" s="4"/>
      <c r="L198" s="4" t="n">
        <v>15</v>
      </c>
      <c r="M198" s="4" t="n">
        <v>15</v>
      </c>
      <c r="N198" s="4" t="n">
        <v>0</v>
      </c>
      <c r="O198" s="4" t="n">
        <v>11</v>
      </c>
      <c r="P198" s="4" t="n">
        <v>4</v>
      </c>
      <c r="Q198" s="4" t="n">
        <v>5</v>
      </c>
      <c r="R198" s="6" t="n">
        <f aca="false">IF(N(L198)=0,0,O198/L198)</f>
        <v>0.733333333333333</v>
      </c>
      <c r="S198" s="4" t="n">
        <f aca="false">IF(R198="","",IF(R198&gt;=0.8,50,IF(R198&gt;=0.5,30,IF(R198&gt;=0.01,10,0))))</f>
        <v>30</v>
      </c>
      <c r="T198" s="4" t="n">
        <f aca="false">IF(TRIM(AI198)="Yes",2.5,0)</f>
        <v>2.5</v>
      </c>
      <c r="U198" s="4" t="n">
        <f aca="false">IF(TRIM(AJ198)="Yes",10,0)</f>
        <v>0</v>
      </c>
      <c r="V198" s="4" t="n">
        <f aca="false">IF(TRIM(AK198)="Yes",5,0)</f>
        <v>5</v>
      </c>
      <c r="W198" s="4" t="n">
        <f aca="false">IF(TRIM(AM198)="Yes",5,0)</f>
        <v>5</v>
      </c>
      <c r="X198" s="4" t="n">
        <f aca="false">IF(OR(TRIM(AN198)="Fully Available",TRIM(AN198)="Not Applicable"),5,IF(TRIM(AN198)="Partially Available",2.5,0))</f>
        <v>5</v>
      </c>
      <c r="Y198" s="4" t="n">
        <f aca="false">IF(TRIM(AO198)="Yes",5,0)</f>
        <v>5</v>
      </c>
      <c r="Z198" s="4" t="n">
        <f aca="false">IF(TRIM(AP198)="Yes",2.5,0)</f>
        <v>2.5</v>
      </c>
      <c r="AA198" s="4" t="n">
        <f aca="false">IF(TRIM(AQ198)="Yes",5,0)</f>
        <v>5</v>
      </c>
      <c r="AB198" s="4" t="n">
        <f aca="false">IF(OR(TRIM(AR198)="Yes",TRIM(AR198)="Not Applicable"),5,0)</f>
        <v>5</v>
      </c>
      <c r="AC198" s="4" t="n">
        <f aca="false">IF(TRIM(AS198)="Excellent",5,IF(TRIM(AS198)="Very Good",4,IF(TRIM(AS198)="Good",3,IF(TRIM(AS198)="Average",2,0))))</f>
        <v>3</v>
      </c>
      <c r="AD198" s="7" t="n">
        <f aca="false">IF(COUNT(S198:AC198)=0,"",SUM(S198:AC198))</f>
        <v>68</v>
      </c>
      <c r="AE198" s="7" t="n">
        <f aca="false">IF(COUNTIF($F$2:F198,F198)=1,IFERROR(AVERAGEIF($F:$F,F198,$AD:$AD),""),"")</f>
        <v>68</v>
      </c>
      <c r="AF198" s="8" t="str">
        <f aca="false">IF(AH198&lt;&gt;"",AH198,IF(AE198="","",IF(AE198&gt;=80,"Excellent",IF(AE198&gt;=70,"Very Good",IF(AE198&gt;=60,"Good",IF(AE198&gt;=50,"Average","Poor"))))))</f>
        <v>Good</v>
      </c>
      <c r="AG198" s="5"/>
      <c r="AH198" s="4"/>
      <c r="AI198" s="4" t="s">
        <v>62</v>
      </c>
      <c r="AJ198" s="4" t="s">
        <v>82</v>
      </c>
      <c r="AK198" s="4" t="s">
        <v>62</v>
      </c>
      <c r="AL198" s="4" t="s">
        <v>63</v>
      </c>
      <c r="AM198" s="4" t="s">
        <v>62</v>
      </c>
      <c r="AN198" s="4" t="s">
        <v>64</v>
      </c>
      <c r="AO198" s="4" t="s">
        <v>62</v>
      </c>
      <c r="AP198" s="4" t="s">
        <v>62</v>
      </c>
      <c r="AQ198" s="4" t="s">
        <v>62</v>
      </c>
      <c r="AR198" s="4" t="s">
        <v>62</v>
      </c>
      <c r="AS198" s="4" t="s">
        <v>185</v>
      </c>
      <c r="AT198" s="4" t="n">
        <v>24</v>
      </c>
      <c r="AU198" s="4" t="s">
        <v>66</v>
      </c>
      <c r="AV198" s="4" t="s">
        <v>67</v>
      </c>
      <c r="AW198" s="4" t="s">
        <v>676</v>
      </c>
      <c r="AX198" s="4" t="s">
        <v>677</v>
      </c>
      <c r="AY198" s="4" t="n">
        <v>2</v>
      </c>
      <c r="AZ198" s="4" t="s">
        <v>62</v>
      </c>
      <c r="BA198" s="4" t="s">
        <v>678</v>
      </c>
      <c r="BB198" s="4" t="s">
        <v>657</v>
      </c>
      <c r="BC198" s="6" t="n">
        <v>0.4545</v>
      </c>
      <c r="BD198" s="4" t="n">
        <v>85</v>
      </c>
    </row>
    <row r="199" customFormat="false" ht="313.4" hidden="false" customHeight="false" outlineLevel="0" collapsed="false">
      <c r="A199" s="4" t="n">
        <v>85</v>
      </c>
      <c r="B199" s="4" t="s">
        <v>56</v>
      </c>
      <c r="C199" s="4" t="s">
        <v>57</v>
      </c>
      <c r="D199" s="4" t="s">
        <v>651</v>
      </c>
      <c r="E199" s="4" t="s">
        <v>679</v>
      </c>
      <c r="F199" s="4" t="n">
        <v>2295</v>
      </c>
      <c r="G199" s="5" t="s">
        <v>680</v>
      </c>
      <c r="H199" s="5" t="s">
        <v>587</v>
      </c>
      <c r="I199" s="4"/>
      <c r="J199" s="4"/>
      <c r="K199" s="4"/>
      <c r="L199" s="4" t="n">
        <v>40</v>
      </c>
      <c r="M199" s="4" t="n">
        <v>40</v>
      </c>
      <c r="N199" s="4" t="n">
        <v>0</v>
      </c>
      <c r="O199" s="4" t="n">
        <v>33</v>
      </c>
      <c r="P199" s="4" t="n">
        <v>7</v>
      </c>
      <c r="Q199" s="4" t="n">
        <v>11</v>
      </c>
      <c r="R199" s="6" t="n">
        <f aca="false">IF(N(L199)=0,0,O199/L199)</f>
        <v>0.825</v>
      </c>
      <c r="S199" s="4" t="n">
        <f aca="false">IF(R199="","",IF(R199&gt;=0.8,50,IF(R199&gt;=0.5,30,IF(R199&gt;=0.01,10,0))))</f>
        <v>50</v>
      </c>
      <c r="T199" s="4" t="n">
        <f aca="false">IF(TRIM(AI199)="Yes",2.5,0)</f>
        <v>0</v>
      </c>
      <c r="U199" s="4" t="n">
        <f aca="false">IF(TRIM(AJ199)="Yes",10,0)</f>
        <v>0</v>
      </c>
      <c r="V199" s="4" t="n">
        <f aca="false">IF(TRIM(AK199)="Yes",5,0)</f>
        <v>5</v>
      </c>
      <c r="W199" s="4" t="n">
        <f aca="false">IF(TRIM(AM199)="Yes",5,0)</f>
        <v>5</v>
      </c>
      <c r="X199" s="4" t="n">
        <f aca="false">IF(OR(TRIM(AN199)="Fully Available",TRIM(AN199)="Not Applicable"),5,IF(TRIM(AN199)="Partially Available",2.5,0))</f>
        <v>2.5</v>
      </c>
      <c r="Y199" s="4" t="n">
        <f aca="false">IF(TRIM(AO199)="Yes",5,0)</f>
        <v>0</v>
      </c>
      <c r="Z199" s="4" t="n">
        <f aca="false">IF(TRIM(AP199)="Yes",2.5,0)</f>
        <v>0</v>
      </c>
      <c r="AA199" s="4" t="n">
        <f aca="false">IF(TRIM(AQ199)="Yes",5,0)</f>
        <v>0</v>
      </c>
      <c r="AB199" s="4" t="n">
        <f aca="false">IF(OR(TRIM(AR199)="Yes",TRIM(AR199)="Not Applicable"),5,0)</f>
        <v>5</v>
      </c>
      <c r="AC199" s="4" t="n">
        <f aca="false">IF(TRIM(AS199)="Excellent",5,IF(TRIM(AS199)="Very Good",4,IF(TRIM(AS199)="Good",3,IF(TRIM(AS199)="Average",2,0))))</f>
        <v>2</v>
      </c>
      <c r="AD199" s="7" t="n">
        <f aca="false">IF(COUNT(S199:AC199)=0,"",SUM(S199:AC199))</f>
        <v>69.5</v>
      </c>
      <c r="AE199" s="7" t="n">
        <f aca="false">IF(COUNTIF($F$2:F199,F199)=1,IFERROR(AVERAGEIF($F:$F,F199,$AD:$AD),""),"")</f>
        <v>69.5</v>
      </c>
      <c r="AF199" s="8" t="str">
        <f aca="false">IF(AH199&lt;&gt;"",AH199,IF(AE199="","",IF(AE199&gt;=80,"Excellent",IF(AE199&gt;=70,"Very Good",IF(AE199&gt;=60,"Good",IF(AE199&gt;=50,"Average","Poor"))))))</f>
        <v>Good</v>
      </c>
      <c r="AG199" s="5"/>
      <c r="AH199" s="4"/>
      <c r="AI199" s="4" t="s">
        <v>82</v>
      </c>
      <c r="AJ199" s="4" t="s">
        <v>82</v>
      </c>
      <c r="AK199" s="4" t="s">
        <v>62</v>
      </c>
      <c r="AL199" s="4" t="s">
        <v>63</v>
      </c>
      <c r="AM199" s="4" t="s">
        <v>62</v>
      </c>
      <c r="AN199" s="4" t="s">
        <v>147</v>
      </c>
      <c r="AO199" s="4" t="s">
        <v>82</v>
      </c>
      <c r="AP199" s="4" t="s">
        <v>82</v>
      </c>
      <c r="AQ199" s="4" t="s">
        <v>82</v>
      </c>
      <c r="AR199" s="4" t="s">
        <v>62</v>
      </c>
      <c r="AS199" s="4" t="s">
        <v>173</v>
      </c>
      <c r="AT199" s="4" t="n">
        <v>0</v>
      </c>
      <c r="AU199" s="4" t="s">
        <v>66</v>
      </c>
      <c r="AV199" s="4" t="s">
        <v>681</v>
      </c>
      <c r="AW199" s="4" t="s">
        <v>682</v>
      </c>
      <c r="AX199" s="4" t="s">
        <v>683</v>
      </c>
      <c r="AY199" s="4" t="n">
        <v>6</v>
      </c>
      <c r="AZ199" s="4" t="s">
        <v>62</v>
      </c>
      <c r="BA199" s="4" t="s">
        <v>684</v>
      </c>
      <c r="BB199" s="4" t="s">
        <v>657</v>
      </c>
      <c r="BC199" s="6" t="n">
        <v>0.3333</v>
      </c>
      <c r="BD199" s="4" t="n">
        <v>67</v>
      </c>
    </row>
    <row r="200" customFormat="false" ht="313.4" hidden="false" customHeight="false" outlineLevel="0" collapsed="false">
      <c r="A200" s="4" t="n">
        <v>86</v>
      </c>
      <c r="B200" s="4" t="s">
        <v>56</v>
      </c>
      <c r="C200" s="4" t="s">
        <v>57</v>
      </c>
      <c r="D200" s="4" t="s">
        <v>651</v>
      </c>
      <c r="E200" s="4" t="s">
        <v>652</v>
      </c>
      <c r="F200" s="4" t="n">
        <v>729</v>
      </c>
      <c r="G200" s="5" t="s">
        <v>685</v>
      </c>
      <c r="H200" s="5" t="s">
        <v>72</v>
      </c>
      <c r="I200" s="4"/>
      <c r="J200" s="4"/>
      <c r="K200" s="4"/>
      <c r="L200" s="4" t="n">
        <v>15</v>
      </c>
      <c r="M200" s="4" t="n">
        <v>15</v>
      </c>
      <c r="N200" s="4" t="n">
        <v>0</v>
      </c>
      <c r="O200" s="4" t="n">
        <v>15</v>
      </c>
      <c r="P200" s="4" t="n">
        <v>0</v>
      </c>
      <c r="Q200" s="4" t="n">
        <v>7</v>
      </c>
      <c r="R200" s="6" t="n">
        <f aca="false">IF(N(L200)=0,0,O200/L200)</f>
        <v>1</v>
      </c>
      <c r="S200" s="4" t="n">
        <f aca="false">IF(R200="","",IF(R200&gt;=0.8,50,IF(R200&gt;=0.5,30,IF(R200&gt;=0.01,10,0))))</f>
        <v>50</v>
      </c>
      <c r="T200" s="4" t="n">
        <f aca="false">IF(TRIM(AI200)="Yes",2.5,0)</f>
        <v>0</v>
      </c>
      <c r="U200" s="4" t="n">
        <f aca="false">IF(TRIM(AJ200)="Yes",10,0)</f>
        <v>10</v>
      </c>
      <c r="V200" s="4" t="n">
        <f aca="false">IF(TRIM(AK200)="Yes",5,0)</f>
        <v>5</v>
      </c>
      <c r="W200" s="4" t="n">
        <f aca="false">IF(TRIM(AM200)="Yes",5,0)</f>
        <v>5</v>
      </c>
      <c r="X200" s="4" t="n">
        <f aca="false">IF(OR(TRIM(AN200)="Fully Available",TRIM(AN200)="Not Applicable"),5,IF(TRIM(AN200)="Partially Available",2.5,0))</f>
        <v>5</v>
      </c>
      <c r="Y200" s="4" t="n">
        <f aca="false">IF(TRIM(AO200)="Yes",5,0)</f>
        <v>5</v>
      </c>
      <c r="Z200" s="4" t="n">
        <f aca="false">IF(TRIM(AP200)="Yes",2.5,0)</f>
        <v>2.5</v>
      </c>
      <c r="AA200" s="4" t="n">
        <f aca="false">IF(TRIM(AQ200)="Yes",5,0)</f>
        <v>5</v>
      </c>
      <c r="AB200" s="4" t="n">
        <f aca="false">IF(OR(TRIM(AR200)="Yes",TRIM(AR200)="Not Applicable"),5,0)</f>
        <v>5</v>
      </c>
      <c r="AC200" s="4" t="n">
        <f aca="false">IF(TRIM(AS200)="Excellent",5,IF(TRIM(AS200)="Very Good",4,IF(TRIM(AS200)="Good",3,IF(TRIM(AS200)="Average",2,0))))</f>
        <v>4</v>
      </c>
      <c r="AD200" s="7" t="n">
        <f aca="false">IF(COUNT(S200:AC200)=0,"",SUM(S200:AC200))</f>
        <v>96.5</v>
      </c>
      <c r="AE200" s="7" t="n">
        <f aca="false">IF(COUNTIF($F$2:F200,F200)=1,IFERROR(AVERAGEIF($F:$F,F200,$AD:$AD),""),"")</f>
        <v>96.5</v>
      </c>
      <c r="AF200" s="8" t="str">
        <f aca="false">IF(AH200&lt;&gt;"",AH200,IF(AE200="","",IF(AE200&gt;=80,"Excellent",IF(AE200&gt;=70,"Very Good",IF(AE200&gt;=60,"Good",IF(AE200&gt;=50,"Average","Poor"))))))</f>
        <v>Excellent</v>
      </c>
      <c r="AG200" s="5"/>
      <c r="AH200" s="4"/>
      <c r="AI200" s="4" t="s">
        <v>82</v>
      </c>
      <c r="AJ200" s="4" t="s">
        <v>62</v>
      </c>
      <c r="AK200" s="4" t="s">
        <v>62</v>
      </c>
      <c r="AL200" s="4" t="s">
        <v>63</v>
      </c>
      <c r="AM200" s="4" t="s">
        <v>62</v>
      </c>
      <c r="AN200" s="4" t="s">
        <v>64</v>
      </c>
      <c r="AO200" s="4" t="s">
        <v>62</v>
      </c>
      <c r="AP200" s="4" t="s">
        <v>62</v>
      </c>
      <c r="AQ200" s="4" t="s">
        <v>62</v>
      </c>
      <c r="AR200" s="4" t="s">
        <v>73</v>
      </c>
      <c r="AS200" s="4" t="s">
        <v>74</v>
      </c>
      <c r="AT200" s="4" t="n">
        <v>4</v>
      </c>
      <c r="AU200" s="4" t="s">
        <v>66</v>
      </c>
      <c r="AV200" s="4" t="s">
        <v>151</v>
      </c>
      <c r="AW200" s="4" t="s">
        <v>686</v>
      </c>
      <c r="AX200" s="4" t="s">
        <v>687</v>
      </c>
      <c r="AY200" s="4" t="n">
        <v>2</v>
      </c>
      <c r="AZ200" s="4" t="s">
        <v>62</v>
      </c>
      <c r="BA200" s="4" t="s">
        <v>688</v>
      </c>
      <c r="BB200" s="4" t="s">
        <v>657</v>
      </c>
      <c r="BC200" s="6" t="n">
        <v>0.4667</v>
      </c>
      <c r="BD200" s="4" t="n">
        <v>95</v>
      </c>
    </row>
    <row r="201" customFormat="false" ht="313.4" hidden="false" customHeight="false" outlineLevel="0" collapsed="false">
      <c r="A201" s="4"/>
      <c r="B201" s="4" t="s">
        <v>56</v>
      </c>
      <c r="C201" s="4" t="s">
        <v>57</v>
      </c>
      <c r="D201" s="4" t="s">
        <v>651</v>
      </c>
      <c r="E201" s="4" t="s">
        <v>652</v>
      </c>
      <c r="F201" s="4" t="n">
        <v>729</v>
      </c>
      <c r="G201" s="5" t="s">
        <v>685</v>
      </c>
      <c r="H201" s="5" t="s">
        <v>177</v>
      </c>
      <c r="I201" s="4"/>
      <c r="J201" s="4"/>
      <c r="K201" s="4"/>
      <c r="L201" s="4" t="n">
        <v>15</v>
      </c>
      <c r="M201" s="4" t="n">
        <v>15</v>
      </c>
      <c r="N201" s="4" t="n">
        <v>0</v>
      </c>
      <c r="O201" s="4" t="n">
        <v>15</v>
      </c>
      <c r="P201" s="4" t="n">
        <v>0</v>
      </c>
      <c r="Q201" s="4" t="n">
        <v>6</v>
      </c>
      <c r="R201" s="6" t="n">
        <f aca="false">IF(N(L201)=0,0,O201/L201)</f>
        <v>1</v>
      </c>
      <c r="S201" s="4" t="n">
        <f aca="false">IF(R201="","",IF(R201&gt;=0.8,50,IF(R201&gt;=0.5,30,IF(R201&gt;=0.01,10,0))))</f>
        <v>50</v>
      </c>
      <c r="T201" s="4" t="n">
        <f aca="false">IF(TRIM(AI201)="Yes",2.5,0)</f>
        <v>0</v>
      </c>
      <c r="U201" s="4" t="n">
        <f aca="false">IF(TRIM(AJ201)="Yes",10,0)</f>
        <v>10</v>
      </c>
      <c r="V201" s="4" t="n">
        <f aca="false">IF(TRIM(AK201)="Yes",5,0)</f>
        <v>5</v>
      </c>
      <c r="W201" s="4" t="n">
        <f aca="false">IF(TRIM(AM201)="Yes",5,0)</f>
        <v>5</v>
      </c>
      <c r="X201" s="4" t="n">
        <f aca="false">IF(OR(TRIM(AN201)="Fully Available",TRIM(AN201)="Not Applicable"),5,IF(TRIM(AN201)="Partially Available",2.5,0))</f>
        <v>5</v>
      </c>
      <c r="Y201" s="4" t="n">
        <f aca="false">IF(TRIM(AO201)="Yes",5,0)</f>
        <v>5</v>
      </c>
      <c r="Z201" s="4" t="n">
        <f aca="false">IF(TRIM(AP201)="Yes",2.5,0)</f>
        <v>2.5</v>
      </c>
      <c r="AA201" s="4" t="n">
        <f aca="false">IF(TRIM(AQ201)="Yes",5,0)</f>
        <v>5</v>
      </c>
      <c r="AB201" s="4" t="n">
        <f aca="false">IF(OR(TRIM(AR201)="Yes",TRIM(AR201)="Not Applicable"),5,0)</f>
        <v>5</v>
      </c>
      <c r="AC201" s="4" t="n">
        <f aca="false">IF(TRIM(AS201)="Excellent",5,IF(TRIM(AS201)="Very Good",4,IF(TRIM(AS201)="Good",3,IF(TRIM(AS201)="Average",2,0))))</f>
        <v>4</v>
      </c>
      <c r="AD201" s="7" t="n">
        <f aca="false">IF(COUNT(S201:AC201)=0,"",SUM(S201:AC201))</f>
        <v>96.5</v>
      </c>
      <c r="AE201" s="7"/>
      <c r="AF201" s="8"/>
      <c r="AG201" s="5"/>
      <c r="AH201" s="4"/>
      <c r="AI201" s="4" t="s">
        <v>82</v>
      </c>
      <c r="AJ201" s="4" t="s">
        <v>62</v>
      </c>
      <c r="AK201" s="4" t="s">
        <v>62</v>
      </c>
      <c r="AL201" s="4" t="s">
        <v>63</v>
      </c>
      <c r="AM201" s="4" t="s">
        <v>62</v>
      </c>
      <c r="AN201" s="4" t="s">
        <v>64</v>
      </c>
      <c r="AO201" s="4" t="s">
        <v>62</v>
      </c>
      <c r="AP201" s="4" t="s">
        <v>62</v>
      </c>
      <c r="AQ201" s="4" t="s">
        <v>62</v>
      </c>
      <c r="AR201" s="4" t="s">
        <v>73</v>
      </c>
      <c r="AS201" s="4" t="s">
        <v>74</v>
      </c>
      <c r="AT201" s="4" t="n">
        <v>4</v>
      </c>
      <c r="AU201" s="4" t="s">
        <v>66</v>
      </c>
      <c r="AV201" s="4" t="s">
        <v>151</v>
      </c>
      <c r="AW201" s="4" t="s">
        <v>689</v>
      </c>
      <c r="AX201" s="4" t="s">
        <v>690</v>
      </c>
      <c r="AY201" s="4" t="n">
        <v>3</v>
      </c>
      <c r="AZ201" s="4" t="s">
        <v>62</v>
      </c>
      <c r="BA201" s="4" t="s">
        <v>688</v>
      </c>
      <c r="BB201" s="4" t="s">
        <v>657</v>
      </c>
      <c r="BC201" s="6" t="n">
        <v>0.4</v>
      </c>
      <c r="BD201" s="4" t="n">
        <v>95</v>
      </c>
    </row>
    <row r="202" customFormat="false" ht="313.4" hidden="false" customHeight="false" outlineLevel="0" collapsed="false">
      <c r="A202" s="4"/>
      <c r="B202" s="4" t="s">
        <v>56</v>
      </c>
      <c r="C202" s="4" t="s">
        <v>57</v>
      </c>
      <c r="D202" s="4" t="s">
        <v>651</v>
      </c>
      <c r="E202" s="4" t="s">
        <v>652</v>
      </c>
      <c r="F202" s="4" t="n">
        <v>729</v>
      </c>
      <c r="G202" s="5" t="s">
        <v>685</v>
      </c>
      <c r="H202" s="5" t="s">
        <v>190</v>
      </c>
      <c r="I202" s="4"/>
      <c r="J202" s="4"/>
      <c r="K202" s="4"/>
      <c r="L202" s="4" t="n">
        <v>20</v>
      </c>
      <c r="M202" s="4" t="n">
        <v>20</v>
      </c>
      <c r="N202" s="4" t="n">
        <v>0</v>
      </c>
      <c r="O202" s="4" t="n">
        <v>19</v>
      </c>
      <c r="P202" s="4" t="n">
        <v>1</v>
      </c>
      <c r="Q202" s="4" t="n">
        <v>5</v>
      </c>
      <c r="R202" s="6" t="n">
        <f aca="false">IF(N(L202)=0,0,O202/L202)</f>
        <v>0.95</v>
      </c>
      <c r="S202" s="4" t="n">
        <f aca="false">IF(R202="","",IF(R202&gt;=0.8,50,IF(R202&gt;=0.5,30,IF(R202&gt;=0.01,10,0))))</f>
        <v>50</v>
      </c>
      <c r="T202" s="4" t="n">
        <f aca="false">IF(TRIM(AI202)="Yes",2.5,0)</f>
        <v>0</v>
      </c>
      <c r="U202" s="4" t="n">
        <f aca="false">IF(TRIM(AJ202)="Yes",10,0)</f>
        <v>10</v>
      </c>
      <c r="V202" s="4" t="n">
        <f aca="false">IF(TRIM(AK202)="Yes",5,0)</f>
        <v>5</v>
      </c>
      <c r="W202" s="4" t="n">
        <f aca="false">IF(TRIM(AM202)="Yes",5,0)</f>
        <v>5</v>
      </c>
      <c r="X202" s="4" t="n">
        <f aca="false">IF(OR(TRIM(AN202)="Fully Available",TRIM(AN202)="Not Applicable"),5,IF(TRIM(AN202)="Partially Available",2.5,0))</f>
        <v>5</v>
      </c>
      <c r="Y202" s="4" t="n">
        <f aca="false">IF(TRIM(AO202)="Yes",5,0)</f>
        <v>5</v>
      </c>
      <c r="Z202" s="4" t="n">
        <f aca="false">IF(TRIM(AP202)="Yes",2.5,0)</f>
        <v>2.5</v>
      </c>
      <c r="AA202" s="4" t="n">
        <f aca="false">IF(TRIM(AQ202)="Yes",5,0)</f>
        <v>5</v>
      </c>
      <c r="AB202" s="4" t="n">
        <f aca="false">IF(OR(TRIM(AR202)="Yes",TRIM(AR202)="Not Applicable"),5,0)</f>
        <v>5</v>
      </c>
      <c r="AC202" s="4" t="n">
        <f aca="false">IF(TRIM(AS202)="Excellent",5,IF(TRIM(AS202)="Very Good",4,IF(TRIM(AS202)="Good",3,IF(TRIM(AS202)="Average",2,0))))</f>
        <v>4</v>
      </c>
      <c r="AD202" s="7" t="n">
        <f aca="false">IF(COUNT(S202:AC202)=0,"",SUM(S202:AC202))</f>
        <v>96.5</v>
      </c>
      <c r="AE202" s="7"/>
      <c r="AF202" s="8"/>
      <c r="AG202" s="5"/>
      <c r="AH202" s="4"/>
      <c r="AI202" s="4" t="s">
        <v>82</v>
      </c>
      <c r="AJ202" s="4" t="s">
        <v>62</v>
      </c>
      <c r="AK202" s="4" t="s">
        <v>62</v>
      </c>
      <c r="AL202" s="4" t="s">
        <v>63</v>
      </c>
      <c r="AM202" s="4" t="s">
        <v>62</v>
      </c>
      <c r="AN202" s="4" t="s">
        <v>64</v>
      </c>
      <c r="AO202" s="4" t="s">
        <v>62</v>
      </c>
      <c r="AP202" s="4" t="s">
        <v>62</v>
      </c>
      <c r="AQ202" s="4" t="s">
        <v>62</v>
      </c>
      <c r="AR202" s="4" t="s">
        <v>62</v>
      </c>
      <c r="AS202" s="4" t="s">
        <v>74</v>
      </c>
      <c r="AT202" s="4" t="n">
        <v>5</v>
      </c>
      <c r="AU202" s="4" t="s">
        <v>112</v>
      </c>
      <c r="AV202" s="4" t="s">
        <v>151</v>
      </c>
      <c r="AW202" s="4" t="s">
        <v>691</v>
      </c>
      <c r="AX202" s="4" t="s">
        <v>692</v>
      </c>
      <c r="AY202" s="4" t="n">
        <v>2</v>
      </c>
      <c r="AZ202" s="4" t="s">
        <v>62</v>
      </c>
      <c r="BA202" s="4" t="s">
        <v>688</v>
      </c>
      <c r="BB202" s="4" t="s">
        <v>657</v>
      </c>
      <c r="BC202" s="6" t="n">
        <v>0.2632</v>
      </c>
      <c r="BD202" s="4" t="n">
        <v>95</v>
      </c>
    </row>
    <row r="203" customFormat="false" ht="313.4" hidden="false" customHeight="false" outlineLevel="0" collapsed="false">
      <c r="A203" s="4"/>
      <c r="B203" s="4" t="s">
        <v>56</v>
      </c>
      <c r="C203" s="4" t="s">
        <v>57</v>
      </c>
      <c r="D203" s="4" t="s">
        <v>651</v>
      </c>
      <c r="E203" s="4" t="s">
        <v>652</v>
      </c>
      <c r="F203" s="4" t="n">
        <v>729</v>
      </c>
      <c r="G203" s="5" t="s">
        <v>685</v>
      </c>
      <c r="H203" s="5" t="s">
        <v>693</v>
      </c>
      <c r="I203" s="4"/>
      <c r="J203" s="4"/>
      <c r="K203" s="4"/>
      <c r="L203" s="4" t="n">
        <v>20</v>
      </c>
      <c r="M203" s="4" t="n">
        <v>20</v>
      </c>
      <c r="N203" s="4" t="n">
        <v>0</v>
      </c>
      <c r="O203" s="4" t="n">
        <v>17</v>
      </c>
      <c r="P203" s="4" t="n">
        <v>3</v>
      </c>
      <c r="Q203" s="4" t="n">
        <v>6</v>
      </c>
      <c r="R203" s="6" t="n">
        <f aca="false">IF(N(L203)=0,0,O203/L203)</f>
        <v>0.85</v>
      </c>
      <c r="S203" s="4" t="n">
        <f aca="false">IF(R203="","",IF(R203&gt;=0.8,50,IF(R203&gt;=0.5,30,IF(R203&gt;=0.01,10,0))))</f>
        <v>50</v>
      </c>
      <c r="T203" s="4" t="n">
        <f aca="false">IF(TRIM(AI203)="Yes",2.5,0)</f>
        <v>0</v>
      </c>
      <c r="U203" s="4" t="n">
        <f aca="false">IF(TRIM(AJ203)="Yes",10,0)</f>
        <v>10</v>
      </c>
      <c r="V203" s="4" t="n">
        <f aca="false">IF(TRIM(AK203)="Yes",5,0)</f>
        <v>5</v>
      </c>
      <c r="W203" s="4" t="n">
        <f aca="false">IF(TRIM(AM203)="Yes",5,0)</f>
        <v>5</v>
      </c>
      <c r="X203" s="4" t="n">
        <f aca="false">IF(OR(TRIM(AN203)="Fully Available",TRIM(AN203)="Not Applicable"),5,IF(TRIM(AN203)="Partially Available",2.5,0))</f>
        <v>5</v>
      </c>
      <c r="Y203" s="4" t="n">
        <f aca="false">IF(TRIM(AO203)="Yes",5,0)</f>
        <v>5</v>
      </c>
      <c r="Z203" s="4" t="n">
        <f aca="false">IF(TRIM(AP203)="Yes",2.5,0)</f>
        <v>2.5</v>
      </c>
      <c r="AA203" s="4" t="n">
        <f aca="false">IF(TRIM(AQ203)="Yes",5,0)</f>
        <v>5</v>
      </c>
      <c r="AB203" s="4" t="n">
        <f aca="false">IF(OR(TRIM(AR203)="Yes",TRIM(AR203)="Not Applicable"),5,0)</f>
        <v>5</v>
      </c>
      <c r="AC203" s="4" t="n">
        <f aca="false">IF(TRIM(AS203)="Excellent",5,IF(TRIM(AS203)="Very Good",4,IF(TRIM(AS203)="Good",3,IF(TRIM(AS203)="Average",2,0))))</f>
        <v>4</v>
      </c>
      <c r="AD203" s="7" t="n">
        <f aca="false">IF(COUNT(S203:AC203)=0,"",SUM(S203:AC203))</f>
        <v>96.5</v>
      </c>
      <c r="AE203" s="7"/>
      <c r="AF203" s="8"/>
      <c r="AG203" s="5"/>
      <c r="AH203" s="4"/>
      <c r="AI203" s="4" t="s">
        <v>82</v>
      </c>
      <c r="AJ203" s="4" t="s">
        <v>62</v>
      </c>
      <c r="AK203" s="4" t="s">
        <v>62</v>
      </c>
      <c r="AL203" s="4" t="s">
        <v>63</v>
      </c>
      <c r="AM203" s="4" t="s">
        <v>62</v>
      </c>
      <c r="AN203" s="4" t="s">
        <v>64</v>
      </c>
      <c r="AO203" s="4" t="s">
        <v>62</v>
      </c>
      <c r="AP203" s="4" t="s">
        <v>62</v>
      </c>
      <c r="AQ203" s="4" t="s">
        <v>62</v>
      </c>
      <c r="AR203" s="4" t="s">
        <v>62</v>
      </c>
      <c r="AS203" s="4" t="s">
        <v>74</v>
      </c>
      <c r="AT203" s="4" t="n">
        <v>2</v>
      </c>
      <c r="AU203" s="4" t="s">
        <v>112</v>
      </c>
      <c r="AV203" s="4" t="s">
        <v>151</v>
      </c>
      <c r="AW203" s="4" t="s">
        <v>694</v>
      </c>
      <c r="AX203" s="4" t="s">
        <v>695</v>
      </c>
      <c r="AY203" s="4" t="n">
        <v>7</v>
      </c>
      <c r="AZ203" s="4" t="s">
        <v>62</v>
      </c>
      <c r="BA203" s="4" t="s">
        <v>688</v>
      </c>
      <c r="BB203" s="4" t="s">
        <v>657</v>
      </c>
      <c r="BC203" s="6" t="n">
        <v>0.3529</v>
      </c>
      <c r="BD203" s="4" t="n">
        <v>95</v>
      </c>
    </row>
    <row r="204" customFormat="false" ht="313.4" hidden="false" customHeight="false" outlineLevel="0" collapsed="false">
      <c r="A204" s="4" t="n">
        <v>87</v>
      </c>
      <c r="B204" s="4" t="s">
        <v>56</v>
      </c>
      <c r="C204" s="4" t="s">
        <v>57</v>
      </c>
      <c r="D204" s="4" t="s">
        <v>651</v>
      </c>
      <c r="E204" s="4" t="s">
        <v>696</v>
      </c>
      <c r="F204" s="4" t="n">
        <v>1550</v>
      </c>
      <c r="G204" s="5" t="s">
        <v>697</v>
      </c>
      <c r="H204" s="5" t="s">
        <v>190</v>
      </c>
      <c r="I204" s="4"/>
      <c r="J204" s="4"/>
      <c r="K204" s="4"/>
      <c r="L204" s="4" t="n">
        <v>20</v>
      </c>
      <c r="M204" s="4" t="n">
        <v>20</v>
      </c>
      <c r="N204" s="4" t="n">
        <v>0</v>
      </c>
      <c r="O204" s="4" t="n">
        <v>19</v>
      </c>
      <c r="P204" s="4" t="n">
        <v>1</v>
      </c>
      <c r="Q204" s="4" t="n">
        <v>5</v>
      </c>
      <c r="R204" s="6" t="n">
        <f aca="false">IF(N(L204)=0,0,O204/L204)</f>
        <v>0.95</v>
      </c>
      <c r="S204" s="4" t="n">
        <f aca="false">IF(R204="","",IF(R204&gt;=0.8,50,IF(R204&gt;=0.5,30,IF(R204&gt;=0.01,10,0))))</f>
        <v>50</v>
      </c>
      <c r="T204" s="4" t="n">
        <f aca="false">IF(TRIM(AI204)="Yes",2.5,0)</f>
        <v>0</v>
      </c>
      <c r="U204" s="4" t="n">
        <f aca="false">IF(TRIM(AJ204)="Yes",10,0)</f>
        <v>0</v>
      </c>
      <c r="V204" s="4" t="n">
        <f aca="false">IF(TRIM(AK204)="Yes",5,0)</f>
        <v>5</v>
      </c>
      <c r="W204" s="4" t="n">
        <f aca="false">IF(TRIM(AM204)="Yes",5,0)</f>
        <v>5</v>
      </c>
      <c r="X204" s="4" t="n">
        <f aca="false">IF(OR(TRIM(AN204)="Fully Available",TRIM(AN204)="Not Applicable"),5,IF(TRIM(AN204)="Partially Available",2.5,0))</f>
        <v>2.5</v>
      </c>
      <c r="Y204" s="4" t="n">
        <f aca="false">IF(TRIM(AO204)="Yes",5,0)</f>
        <v>0</v>
      </c>
      <c r="Z204" s="4" t="n">
        <f aca="false">IF(TRIM(AP204)="Yes",2.5,0)</f>
        <v>2.5</v>
      </c>
      <c r="AA204" s="4" t="n">
        <f aca="false">IF(TRIM(AQ204)="Yes",5,0)</f>
        <v>5</v>
      </c>
      <c r="AB204" s="4" t="n">
        <f aca="false">IF(OR(TRIM(AR204)="Yes",TRIM(AR204)="Not Applicable"),5,0)</f>
        <v>5</v>
      </c>
      <c r="AC204" s="4" t="n">
        <f aca="false">IF(TRIM(AS204)="Excellent",5,IF(TRIM(AS204)="Very Good",4,IF(TRIM(AS204)="Good",3,IF(TRIM(AS204)="Average",2,0))))</f>
        <v>2</v>
      </c>
      <c r="AD204" s="7" t="n">
        <f aca="false">IF(COUNT(S204:AC204)=0,"",SUM(S204:AC204))</f>
        <v>77</v>
      </c>
      <c r="AE204" s="7" t="n">
        <f aca="false">IF(COUNTIF($F$2:F204,F204)=1,IFERROR(AVERAGEIF($F:$F,F204,$AD:$AD),""),"")</f>
        <v>77</v>
      </c>
      <c r="AF204" s="8" t="str">
        <f aca="false">IF(AH204&lt;&gt;"",AH204,IF(AE204="","",IF(AE204&gt;=80,"Excellent",IF(AE204&gt;=70,"Very Good",IF(AE204&gt;=60,"Good",IF(AE204&gt;=50,"Average","Poor"))))))</f>
        <v>Very Good</v>
      </c>
      <c r="AG204" s="5"/>
      <c r="AH204" s="4"/>
      <c r="AI204" s="4" t="s">
        <v>82</v>
      </c>
      <c r="AJ204" s="4" t="s">
        <v>82</v>
      </c>
      <c r="AK204" s="4" t="s">
        <v>62</v>
      </c>
      <c r="AL204" s="4" t="s">
        <v>63</v>
      </c>
      <c r="AM204" s="4" t="s">
        <v>62</v>
      </c>
      <c r="AN204" s="4" t="s">
        <v>147</v>
      </c>
      <c r="AO204" s="4" t="s">
        <v>82</v>
      </c>
      <c r="AP204" s="4" t="s">
        <v>62</v>
      </c>
      <c r="AQ204" s="4" t="s">
        <v>62</v>
      </c>
      <c r="AR204" s="4" t="s">
        <v>62</v>
      </c>
      <c r="AS204" s="4" t="s">
        <v>173</v>
      </c>
      <c r="AT204" s="4" t="n">
        <v>2</v>
      </c>
      <c r="AU204" s="4" t="s">
        <v>112</v>
      </c>
      <c r="AV204" s="4" t="s">
        <v>208</v>
      </c>
      <c r="AW204" s="4" t="s">
        <v>698</v>
      </c>
      <c r="AX204" s="4" t="s">
        <v>699</v>
      </c>
      <c r="AY204" s="4" t="n">
        <v>2</v>
      </c>
      <c r="AZ204" s="4" t="s">
        <v>62</v>
      </c>
      <c r="BA204" s="4" t="s">
        <v>700</v>
      </c>
      <c r="BB204" s="4" t="s">
        <v>657</v>
      </c>
      <c r="BC204" s="6" t="n">
        <v>0.2632</v>
      </c>
      <c r="BD204" s="4" t="n">
        <v>61</v>
      </c>
    </row>
    <row r="205" customFormat="false" ht="270.85" hidden="false" customHeight="false" outlineLevel="0" collapsed="false">
      <c r="A205" s="4" t="n">
        <v>88</v>
      </c>
      <c r="B205" s="4" t="s">
        <v>56</v>
      </c>
      <c r="C205" s="4" t="s">
        <v>57</v>
      </c>
      <c r="D205" s="4" t="s">
        <v>651</v>
      </c>
      <c r="E205" s="4" t="s">
        <v>696</v>
      </c>
      <c r="F205" s="4" t="n">
        <v>556</v>
      </c>
      <c r="G205" s="5" t="s">
        <v>701</v>
      </c>
      <c r="H205" s="5" t="s">
        <v>61</v>
      </c>
      <c r="I205" s="4"/>
      <c r="J205" s="4"/>
      <c r="K205" s="4"/>
      <c r="L205" s="4" t="n">
        <v>15</v>
      </c>
      <c r="M205" s="4" t="n">
        <v>15</v>
      </c>
      <c r="N205" s="4" t="n">
        <v>0</v>
      </c>
      <c r="O205" s="4" t="n">
        <v>15</v>
      </c>
      <c r="P205" s="4" t="n">
        <v>0</v>
      </c>
      <c r="Q205" s="4" t="n">
        <v>5</v>
      </c>
      <c r="R205" s="6" t="n">
        <f aca="false">IF(N(L205)=0,0,O205/L205)</f>
        <v>1</v>
      </c>
      <c r="S205" s="4" t="n">
        <f aca="false">IF(R205="","",IF(R205&gt;=0.8,50,IF(R205&gt;=0.5,30,IF(R205&gt;=0.01,10,0))))</f>
        <v>50</v>
      </c>
      <c r="T205" s="4" t="n">
        <f aca="false">IF(TRIM(AI205)="Yes",2.5,0)</f>
        <v>2.5</v>
      </c>
      <c r="U205" s="4" t="n">
        <f aca="false">IF(TRIM(AJ205)="Yes",10,0)</f>
        <v>0</v>
      </c>
      <c r="V205" s="4" t="n">
        <f aca="false">IF(TRIM(AK205)="Yes",5,0)</f>
        <v>5</v>
      </c>
      <c r="W205" s="4" t="n">
        <f aca="false">IF(TRIM(AM205)="Yes",5,0)</f>
        <v>5</v>
      </c>
      <c r="X205" s="4" t="n">
        <f aca="false">IF(OR(TRIM(AN205)="Fully Available",TRIM(AN205)="Not Applicable"),5,IF(TRIM(AN205)="Partially Available",2.5,0))</f>
        <v>2.5</v>
      </c>
      <c r="Y205" s="4" t="n">
        <f aca="false">IF(TRIM(AO205)="Yes",5,0)</f>
        <v>5</v>
      </c>
      <c r="Z205" s="4" t="n">
        <f aca="false">IF(TRIM(AP205)="Yes",2.5,0)</f>
        <v>2.5</v>
      </c>
      <c r="AA205" s="4" t="n">
        <f aca="false">IF(TRIM(AQ205)="Yes",5,0)</f>
        <v>5</v>
      </c>
      <c r="AB205" s="4" t="n">
        <f aca="false">IF(OR(TRIM(AR205)="Yes",TRIM(AR205)="Not Applicable"),5,0)</f>
        <v>5</v>
      </c>
      <c r="AC205" s="4" t="n">
        <f aca="false">IF(TRIM(AS205)="Excellent",5,IF(TRIM(AS205)="Very Good",4,IF(TRIM(AS205)="Good",3,IF(TRIM(AS205)="Average",2,0))))</f>
        <v>3</v>
      </c>
      <c r="AD205" s="7" t="n">
        <f aca="false">IF(COUNT(S205:AC205)=0,"",SUM(S205:AC205))</f>
        <v>85.5</v>
      </c>
      <c r="AE205" s="7" t="n">
        <f aca="false">IF(COUNTIF($F$2:F205,F205)=1,IFERROR(AVERAGEIF($F:$F,F205,$AD:$AD),""),"")</f>
        <v>87.1666666666667</v>
      </c>
      <c r="AF205" s="8" t="str">
        <f aca="false">IF(AH205&lt;&gt;"",AH205,IF(AE205="","",IF(AE205&gt;=80,"Excellent",IF(AE205&gt;=70,"Very Good",IF(AE205&gt;=60,"Good",IF(AE205&gt;=50,"Average","Poor"))))))</f>
        <v>Excellent</v>
      </c>
      <c r="AG205" s="5"/>
      <c r="AH205" s="4"/>
      <c r="AI205" s="4" t="s">
        <v>62</v>
      </c>
      <c r="AJ205" s="4" t="s">
        <v>82</v>
      </c>
      <c r="AK205" s="4" t="s">
        <v>62</v>
      </c>
      <c r="AL205" s="4" t="s">
        <v>63</v>
      </c>
      <c r="AM205" s="4" t="s">
        <v>62</v>
      </c>
      <c r="AN205" s="4" t="s">
        <v>147</v>
      </c>
      <c r="AO205" s="4" t="s">
        <v>62</v>
      </c>
      <c r="AP205" s="4" t="s">
        <v>62</v>
      </c>
      <c r="AQ205" s="4" t="s">
        <v>62</v>
      </c>
      <c r="AR205" s="4" t="s">
        <v>62</v>
      </c>
      <c r="AS205" s="4" t="s">
        <v>185</v>
      </c>
      <c r="AT205" s="4" t="n">
        <v>14</v>
      </c>
      <c r="AU205" s="4" t="s">
        <v>66</v>
      </c>
      <c r="AV205" s="4" t="s">
        <v>244</v>
      </c>
      <c r="AW205" s="4" t="s">
        <v>702</v>
      </c>
      <c r="AX205" s="4" t="s">
        <v>703</v>
      </c>
      <c r="AY205" s="4" t="n">
        <v>2</v>
      </c>
      <c r="AZ205" s="4" t="s">
        <v>62</v>
      </c>
      <c r="BA205" s="4" t="s">
        <v>704</v>
      </c>
      <c r="BB205" s="4" t="s">
        <v>657</v>
      </c>
      <c r="BC205" s="6" t="n">
        <v>0.3333</v>
      </c>
      <c r="BD205" s="4" t="n">
        <v>85</v>
      </c>
    </row>
    <row r="206" customFormat="false" ht="270.85" hidden="false" customHeight="false" outlineLevel="0" collapsed="false">
      <c r="A206" s="4"/>
      <c r="B206" s="4" t="s">
        <v>56</v>
      </c>
      <c r="C206" s="4" t="s">
        <v>57</v>
      </c>
      <c r="D206" s="4" t="s">
        <v>651</v>
      </c>
      <c r="E206" s="4" t="s">
        <v>696</v>
      </c>
      <c r="F206" s="4" t="n">
        <v>556</v>
      </c>
      <c r="G206" s="5" t="s">
        <v>701</v>
      </c>
      <c r="H206" s="5" t="s">
        <v>238</v>
      </c>
      <c r="I206" s="4"/>
      <c r="J206" s="4"/>
      <c r="K206" s="4"/>
      <c r="L206" s="4" t="n">
        <v>15</v>
      </c>
      <c r="M206" s="4" t="n">
        <v>15</v>
      </c>
      <c r="N206" s="4" t="n">
        <v>0</v>
      </c>
      <c r="O206" s="4" t="n">
        <v>14</v>
      </c>
      <c r="P206" s="4" t="n">
        <v>1</v>
      </c>
      <c r="Q206" s="4" t="n">
        <v>5</v>
      </c>
      <c r="R206" s="6" t="n">
        <f aca="false">IF(N(L206)=0,0,O206/L206)</f>
        <v>0.933333333333333</v>
      </c>
      <c r="S206" s="4" t="n">
        <f aca="false">IF(R206="","",IF(R206&gt;=0.8,50,IF(R206&gt;=0.5,30,IF(R206&gt;=0.01,10,0))))</f>
        <v>50</v>
      </c>
      <c r="T206" s="4" t="n">
        <f aca="false">IF(TRIM(AI206)="Yes",2.5,0)</f>
        <v>2.5</v>
      </c>
      <c r="U206" s="4" t="n">
        <f aca="false">IF(TRIM(AJ206)="Yes",10,0)</f>
        <v>0</v>
      </c>
      <c r="V206" s="4" t="n">
        <f aca="false">IF(TRIM(AK206)="Yes",5,0)</f>
        <v>5</v>
      </c>
      <c r="W206" s="4" t="n">
        <f aca="false">IF(TRIM(AM206)="Yes",5,0)</f>
        <v>5</v>
      </c>
      <c r="X206" s="4" t="n">
        <f aca="false">IF(OR(TRIM(AN206)="Fully Available",TRIM(AN206)="Not Applicable"),5,IF(TRIM(AN206)="Partially Available",2.5,0))</f>
        <v>5</v>
      </c>
      <c r="Y206" s="4" t="n">
        <f aca="false">IF(TRIM(AO206)="Yes",5,0)</f>
        <v>5</v>
      </c>
      <c r="Z206" s="4" t="n">
        <f aca="false">IF(TRIM(AP206)="Yes",2.5,0)</f>
        <v>2.5</v>
      </c>
      <c r="AA206" s="4" t="n">
        <f aca="false">IF(TRIM(AQ206)="Yes",5,0)</f>
        <v>5</v>
      </c>
      <c r="AB206" s="4" t="n">
        <f aca="false">IF(OR(TRIM(AR206)="Yes",TRIM(AR206)="Not Applicable"),5,0)</f>
        <v>5</v>
      </c>
      <c r="AC206" s="4" t="n">
        <f aca="false">IF(TRIM(AS206)="Excellent",5,IF(TRIM(AS206)="Very Good",4,IF(TRIM(AS206)="Good",3,IF(TRIM(AS206)="Average",2,0))))</f>
        <v>3</v>
      </c>
      <c r="AD206" s="7" t="n">
        <f aca="false">IF(COUNT(S206:AC206)=0,"",SUM(S206:AC206))</f>
        <v>88</v>
      </c>
      <c r="AE206" s="7"/>
      <c r="AF206" s="8"/>
      <c r="AG206" s="5"/>
      <c r="AH206" s="4"/>
      <c r="AI206" s="4" t="s">
        <v>62</v>
      </c>
      <c r="AJ206" s="4" t="s">
        <v>82</v>
      </c>
      <c r="AK206" s="4" t="s">
        <v>62</v>
      </c>
      <c r="AL206" s="4" t="s">
        <v>63</v>
      </c>
      <c r="AM206" s="4" t="s">
        <v>62</v>
      </c>
      <c r="AN206" s="4" t="s">
        <v>64</v>
      </c>
      <c r="AO206" s="4" t="s">
        <v>62</v>
      </c>
      <c r="AP206" s="4" t="s">
        <v>62</v>
      </c>
      <c r="AQ206" s="4" t="s">
        <v>62</v>
      </c>
      <c r="AR206" s="4" t="s">
        <v>73</v>
      </c>
      <c r="AS206" s="4" t="s">
        <v>185</v>
      </c>
      <c r="AT206" s="4" t="n">
        <v>4</v>
      </c>
      <c r="AU206" s="4" t="s">
        <v>66</v>
      </c>
      <c r="AV206" s="4" t="s">
        <v>244</v>
      </c>
      <c r="AW206" s="4" t="s">
        <v>705</v>
      </c>
      <c r="AX206" s="4" t="s">
        <v>149</v>
      </c>
      <c r="AY206" s="4" t="n">
        <v>12</v>
      </c>
      <c r="AZ206" s="4" t="s">
        <v>62</v>
      </c>
      <c r="BA206" s="4" t="s">
        <v>704</v>
      </c>
      <c r="BB206" s="4" t="s">
        <v>657</v>
      </c>
      <c r="BC206" s="6" t="n">
        <v>0.3571</v>
      </c>
      <c r="BD206" s="4" t="n">
        <v>85</v>
      </c>
    </row>
    <row r="207" customFormat="false" ht="270.85" hidden="false" customHeight="false" outlineLevel="0" collapsed="false">
      <c r="A207" s="4"/>
      <c r="B207" s="4" t="s">
        <v>56</v>
      </c>
      <c r="C207" s="4" t="s">
        <v>57</v>
      </c>
      <c r="D207" s="4" t="s">
        <v>651</v>
      </c>
      <c r="E207" s="4" t="s">
        <v>696</v>
      </c>
      <c r="F207" s="4" t="n">
        <v>556</v>
      </c>
      <c r="G207" s="5" t="s">
        <v>701</v>
      </c>
      <c r="H207" s="5" t="s">
        <v>177</v>
      </c>
      <c r="I207" s="4"/>
      <c r="J207" s="4"/>
      <c r="K207" s="4"/>
      <c r="L207" s="4" t="n">
        <v>15</v>
      </c>
      <c r="M207" s="4" t="n">
        <v>15</v>
      </c>
      <c r="N207" s="4" t="n">
        <v>0</v>
      </c>
      <c r="O207" s="4" t="n">
        <v>15</v>
      </c>
      <c r="P207" s="4" t="n">
        <v>0</v>
      </c>
      <c r="Q207" s="4" t="n">
        <v>5</v>
      </c>
      <c r="R207" s="6" t="n">
        <f aca="false">IF(N(L207)=0,0,O207/L207)</f>
        <v>1</v>
      </c>
      <c r="S207" s="4" t="n">
        <f aca="false">IF(R207="","",IF(R207&gt;=0.8,50,IF(R207&gt;=0.5,30,IF(R207&gt;=0.01,10,0))))</f>
        <v>50</v>
      </c>
      <c r="T207" s="4" t="n">
        <f aca="false">IF(TRIM(AI207)="Yes",2.5,0)</f>
        <v>2.5</v>
      </c>
      <c r="U207" s="4" t="n">
        <f aca="false">IF(TRIM(AJ207)="Yes",10,0)</f>
        <v>0</v>
      </c>
      <c r="V207" s="4" t="n">
        <f aca="false">IF(TRIM(AK207)="Yes",5,0)</f>
        <v>5</v>
      </c>
      <c r="W207" s="4" t="n">
        <f aca="false">IF(TRIM(AM207)="Yes",5,0)</f>
        <v>5</v>
      </c>
      <c r="X207" s="4" t="n">
        <f aca="false">IF(OR(TRIM(AN207)="Fully Available",TRIM(AN207)="Not Applicable"),5,IF(TRIM(AN207)="Partially Available",2.5,0))</f>
        <v>5</v>
      </c>
      <c r="Y207" s="4" t="n">
        <f aca="false">IF(TRIM(AO207)="Yes",5,0)</f>
        <v>5</v>
      </c>
      <c r="Z207" s="4" t="n">
        <f aca="false">IF(TRIM(AP207)="Yes",2.5,0)</f>
        <v>2.5</v>
      </c>
      <c r="AA207" s="4" t="n">
        <f aca="false">IF(TRIM(AQ207)="Yes",5,0)</f>
        <v>5</v>
      </c>
      <c r="AB207" s="4" t="n">
        <f aca="false">IF(OR(TRIM(AR207)="Yes",TRIM(AR207)="Not Applicable"),5,0)</f>
        <v>5</v>
      </c>
      <c r="AC207" s="4" t="n">
        <f aca="false">IF(TRIM(AS207)="Excellent",5,IF(TRIM(AS207)="Very Good",4,IF(TRIM(AS207)="Good",3,IF(TRIM(AS207)="Average",2,0))))</f>
        <v>3</v>
      </c>
      <c r="AD207" s="7" t="n">
        <f aca="false">IF(COUNT(S207:AC207)=0,"",SUM(S207:AC207))</f>
        <v>88</v>
      </c>
      <c r="AE207" s="7"/>
      <c r="AF207" s="8"/>
      <c r="AG207" s="5"/>
      <c r="AH207" s="4"/>
      <c r="AI207" s="4" t="s">
        <v>62</v>
      </c>
      <c r="AJ207" s="4" t="s">
        <v>82</v>
      </c>
      <c r="AK207" s="4" t="s">
        <v>62</v>
      </c>
      <c r="AL207" s="4" t="s">
        <v>63</v>
      </c>
      <c r="AM207" s="4" t="s">
        <v>62</v>
      </c>
      <c r="AN207" s="4" t="s">
        <v>64</v>
      </c>
      <c r="AO207" s="4" t="s">
        <v>62</v>
      </c>
      <c r="AP207" s="4" t="s">
        <v>62</v>
      </c>
      <c r="AQ207" s="4" t="s">
        <v>62</v>
      </c>
      <c r="AR207" s="4" t="s">
        <v>73</v>
      </c>
      <c r="AS207" s="4" t="s">
        <v>185</v>
      </c>
      <c r="AT207" s="4" t="n">
        <v>6</v>
      </c>
      <c r="AU207" s="4" t="s">
        <v>66</v>
      </c>
      <c r="AV207" s="4" t="s">
        <v>244</v>
      </c>
      <c r="AW207" s="4" t="s">
        <v>706</v>
      </c>
      <c r="AX207" s="4" t="s">
        <v>707</v>
      </c>
      <c r="AY207" s="4" t="n">
        <v>2</v>
      </c>
      <c r="AZ207" s="4" t="s">
        <v>62</v>
      </c>
      <c r="BA207" s="4" t="s">
        <v>704</v>
      </c>
      <c r="BB207" s="4" t="s">
        <v>657</v>
      </c>
      <c r="BC207" s="6" t="n">
        <v>0.3333</v>
      </c>
      <c r="BD207" s="4" t="n">
        <v>85</v>
      </c>
    </row>
    <row r="208" customFormat="false" ht="313.4" hidden="false" customHeight="false" outlineLevel="0" collapsed="false">
      <c r="A208" s="4" t="n">
        <v>89</v>
      </c>
      <c r="B208" s="4" t="s">
        <v>56</v>
      </c>
      <c r="C208" s="4" t="s">
        <v>57</v>
      </c>
      <c r="D208" s="4" t="s">
        <v>651</v>
      </c>
      <c r="E208" s="4" t="s">
        <v>696</v>
      </c>
      <c r="F208" s="4" t="n">
        <v>1152</v>
      </c>
      <c r="G208" s="5" t="s">
        <v>708</v>
      </c>
      <c r="H208" s="5" t="s">
        <v>61</v>
      </c>
      <c r="I208" s="4"/>
      <c r="J208" s="4"/>
      <c r="K208" s="4"/>
      <c r="L208" s="4" t="n">
        <v>15</v>
      </c>
      <c r="M208" s="4" t="n">
        <v>15</v>
      </c>
      <c r="N208" s="4" t="n">
        <v>0</v>
      </c>
      <c r="O208" s="4" t="n">
        <v>14</v>
      </c>
      <c r="P208" s="4" t="n">
        <v>1</v>
      </c>
      <c r="Q208" s="4" t="n">
        <v>5</v>
      </c>
      <c r="R208" s="6" t="n">
        <f aca="false">IF(N(L208)=0,0,O208/L208)</f>
        <v>0.933333333333333</v>
      </c>
      <c r="S208" s="4" t="n">
        <f aca="false">IF(R208="","",IF(R208&gt;=0.8,50,IF(R208&gt;=0.5,30,IF(R208&gt;=0.01,10,0))))</f>
        <v>50</v>
      </c>
      <c r="T208" s="4" t="n">
        <f aca="false">IF(TRIM(AI208)="Yes",2.5,0)</f>
        <v>2.5</v>
      </c>
      <c r="U208" s="4" t="n">
        <f aca="false">IF(TRIM(AJ208)="Yes",10,0)</f>
        <v>0</v>
      </c>
      <c r="V208" s="4" t="n">
        <f aca="false">IF(TRIM(AK208)="Yes",5,0)</f>
        <v>0</v>
      </c>
      <c r="W208" s="4" t="n">
        <f aca="false">IF(TRIM(AM208)="Yes",5,0)</f>
        <v>5</v>
      </c>
      <c r="X208" s="4" t="n">
        <f aca="false">IF(OR(TRIM(AN208)="Fully Available",TRIM(AN208)="Not Applicable"),5,IF(TRIM(AN208)="Partially Available",2.5,0))</f>
        <v>5</v>
      </c>
      <c r="Y208" s="4" t="n">
        <f aca="false">IF(TRIM(AO208)="Yes",5,0)</f>
        <v>5</v>
      </c>
      <c r="Z208" s="4" t="n">
        <f aca="false">IF(TRIM(AP208)="Yes",2.5,0)</f>
        <v>2.5</v>
      </c>
      <c r="AA208" s="4" t="n">
        <f aca="false">IF(TRIM(AQ208)="Yes",5,0)</f>
        <v>5</v>
      </c>
      <c r="AB208" s="4" t="n">
        <f aca="false">IF(OR(TRIM(AR208)="Yes",TRIM(AR208)="Not Applicable"),5,0)</f>
        <v>5</v>
      </c>
      <c r="AC208" s="4" t="n">
        <f aca="false">IF(TRIM(AS208)="Excellent",5,IF(TRIM(AS208)="Very Good",4,IF(TRIM(AS208)="Good",3,IF(TRIM(AS208)="Average",2,0))))</f>
        <v>4</v>
      </c>
      <c r="AD208" s="7" t="n">
        <f aca="false">IF(COUNT(S208:AC208)=0,"",SUM(S208:AC208))</f>
        <v>84</v>
      </c>
      <c r="AE208" s="7" t="n">
        <f aca="false">IF(COUNTIF($F$2:F208,F208)=1,IFERROR(AVERAGEIF($F:$F,F208,$AD:$AD),""),"")</f>
        <v>84</v>
      </c>
      <c r="AF208" s="8" t="str">
        <f aca="false">IF(AH208&lt;&gt;"",AH208,IF(AE208="","",IF(AE208&gt;=80,"Excellent",IF(AE208&gt;=70,"Very Good",IF(AE208&gt;=60,"Good",IF(AE208&gt;=50,"Average","Poor"))))))</f>
        <v>Excellent</v>
      </c>
      <c r="AG208" s="5"/>
      <c r="AH208" s="4"/>
      <c r="AI208" s="4" t="s">
        <v>62</v>
      </c>
      <c r="AJ208" s="4" t="s">
        <v>82</v>
      </c>
      <c r="AK208" s="4" t="s">
        <v>82</v>
      </c>
      <c r="AL208" s="4" t="s">
        <v>379</v>
      </c>
      <c r="AM208" s="4" t="s">
        <v>62</v>
      </c>
      <c r="AN208" s="4" t="s">
        <v>64</v>
      </c>
      <c r="AO208" s="4" t="s">
        <v>62</v>
      </c>
      <c r="AP208" s="4" t="s">
        <v>62</v>
      </c>
      <c r="AQ208" s="4" t="s">
        <v>62</v>
      </c>
      <c r="AR208" s="4" t="s">
        <v>62</v>
      </c>
      <c r="AS208" s="4" t="s">
        <v>74</v>
      </c>
      <c r="AT208" s="4" t="n">
        <v>2</v>
      </c>
      <c r="AU208" s="4" t="s">
        <v>66</v>
      </c>
      <c r="AV208" s="4" t="s">
        <v>244</v>
      </c>
      <c r="AW208" s="4" t="s">
        <v>709</v>
      </c>
      <c r="AX208" s="4" t="s">
        <v>710</v>
      </c>
      <c r="AY208" s="4" t="n">
        <v>22</v>
      </c>
      <c r="AZ208" s="4" t="s">
        <v>62</v>
      </c>
      <c r="BA208" s="4" t="s">
        <v>711</v>
      </c>
      <c r="BB208" s="4" t="s">
        <v>657</v>
      </c>
      <c r="BC208" s="6" t="n">
        <v>0.3571</v>
      </c>
      <c r="BD208" s="4" t="n">
        <v>83</v>
      </c>
    </row>
    <row r="209" customFormat="false" ht="299.25" hidden="false" customHeight="false" outlineLevel="0" collapsed="false">
      <c r="A209" s="4" t="n">
        <v>90</v>
      </c>
      <c r="B209" s="4" t="s">
        <v>56</v>
      </c>
      <c r="C209" s="4" t="s">
        <v>57</v>
      </c>
      <c r="D209" s="4" t="s">
        <v>651</v>
      </c>
      <c r="E209" s="4" t="s">
        <v>696</v>
      </c>
      <c r="F209" s="4" t="n">
        <v>601</v>
      </c>
      <c r="G209" s="5" t="s">
        <v>712</v>
      </c>
      <c r="H209" s="5" t="s">
        <v>61</v>
      </c>
      <c r="I209" s="4"/>
      <c r="J209" s="4"/>
      <c r="K209" s="4"/>
      <c r="L209" s="4" t="n">
        <v>15</v>
      </c>
      <c r="M209" s="4" t="n">
        <v>15</v>
      </c>
      <c r="N209" s="4" t="n">
        <v>0</v>
      </c>
      <c r="O209" s="4" t="n">
        <v>14</v>
      </c>
      <c r="P209" s="4" t="n">
        <v>1</v>
      </c>
      <c r="Q209" s="4" t="n">
        <v>5</v>
      </c>
      <c r="R209" s="6" t="n">
        <f aca="false">IF(N(L209)=0,0,O209/L209)</f>
        <v>0.933333333333333</v>
      </c>
      <c r="S209" s="4" t="n">
        <f aca="false">IF(R209="","",IF(R209&gt;=0.8,50,IF(R209&gt;=0.5,30,IF(R209&gt;=0.01,10,0))))</f>
        <v>50</v>
      </c>
      <c r="T209" s="4" t="n">
        <f aca="false">IF(TRIM(AI209)="Yes",2.5,0)</f>
        <v>0</v>
      </c>
      <c r="U209" s="4" t="n">
        <f aca="false">IF(TRIM(AJ209)="Yes",10,0)</f>
        <v>0</v>
      </c>
      <c r="V209" s="4" t="n">
        <f aca="false">IF(TRIM(AK209)="Yes",5,0)</f>
        <v>5</v>
      </c>
      <c r="W209" s="4" t="n">
        <f aca="false">IF(TRIM(AM209)="Yes",5,0)</f>
        <v>5</v>
      </c>
      <c r="X209" s="4" t="n">
        <f aca="false">IF(OR(TRIM(AN209)="Fully Available",TRIM(AN209)="Not Applicable"),5,IF(TRIM(AN209)="Partially Available",2.5,0))</f>
        <v>5</v>
      </c>
      <c r="Y209" s="4" t="n">
        <f aca="false">IF(TRIM(AO209)="Yes",5,0)</f>
        <v>5</v>
      </c>
      <c r="Z209" s="4" t="n">
        <f aca="false">IF(TRIM(AP209)="Yes",2.5,0)</f>
        <v>2.5</v>
      </c>
      <c r="AA209" s="4" t="n">
        <f aca="false">IF(TRIM(AQ209)="Yes",5,0)</f>
        <v>5</v>
      </c>
      <c r="AB209" s="4" t="n">
        <f aca="false">IF(OR(TRIM(AR209)="Yes",TRIM(AR209)="Not Applicable"),5,0)</f>
        <v>5</v>
      </c>
      <c r="AC209" s="4" t="n">
        <f aca="false">IF(TRIM(AS209)="Excellent",5,IF(TRIM(AS209)="Very Good",4,IF(TRIM(AS209)="Good",3,IF(TRIM(AS209)="Average",2,0))))</f>
        <v>2</v>
      </c>
      <c r="AD209" s="7" t="n">
        <f aca="false">IF(COUNT(S209:AC209)=0,"",SUM(S209:AC209))</f>
        <v>84.5</v>
      </c>
      <c r="AE209" s="7" t="n">
        <f aca="false">IF(COUNTIF($F$2:F209,F209)=1,IFERROR(AVERAGEIF($F:$F,F209,$AD:$AD),""),"")</f>
        <v>84.5</v>
      </c>
      <c r="AF209" s="8" t="str">
        <f aca="false">IF(AH209&lt;&gt;"",AH209,IF(AE209="","",IF(AE209&gt;=80,"Excellent",IF(AE209&gt;=70,"Very Good",IF(AE209&gt;=60,"Good",IF(AE209&gt;=50,"Average","Poor"))))))</f>
        <v>Excellent</v>
      </c>
      <c r="AG209" s="5"/>
      <c r="AH209" s="4"/>
      <c r="AI209" s="4" t="s">
        <v>82</v>
      </c>
      <c r="AJ209" s="4" t="s">
        <v>82</v>
      </c>
      <c r="AK209" s="4" t="s">
        <v>62</v>
      </c>
      <c r="AL209" s="4" t="s">
        <v>63</v>
      </c>
      <c r="AM209" s="4" t="s">
        <v>62</v>
      </c>
      <c r="AN209" s="4" t="s">
        <v>64</v>
      </c>
      <c r="AO209" s="4" t="s">
        <v>62</v>
      </c>
      <c r="AP209" s="4" t="s">
        <v>62</v>
      </c>
      <c r="AQ209" s="4" t="s">
        <v>62</v>
      </c>
      <c r="AR209" s="4" t="s">
        <v>62</v>
      </c>
      <c r="AS209" s="4" t="s">
        <v>173</v>
      </c>
      <c r="AT209" s="4" t="n">
        <v>2</v>
      </c>
      <c r="AU209" s="4" t="s">
        <v>66</v>
      </c>
      <c r="AV209" s="4" t="s">
        <v>208</v>
      </c>
      <c r="AW209" s="4" t="s">
        <v>702</v>
      </c>
      <c r="AX209" s="4" t="s">
        <v>713</v>
      </c>
      <c r="AY209" s="4" t="n">
        <v>9</v>
      </c>
      <c r="AZ209" s="4" t="s">
        <v>62</v>
      </c>
      <c r="BA209" s="4" t="s">
        <v>714</v>
      </c>
      <c r="BB209" s="4" t="s">
        <v>657</v>
      </c>
      <c r="BC209" s="6" t="n">
        <v>0.3571</v>
      </c>
      <c r="BD209" s="4" t="n">
        <v>91</v>
      </c>
    </row>
    <row r="210" customFormat="false" ht="285.05" hidden="false" customHeight="false" outlineLevel="0" collapsed="false">
      <c r="A210" s="4" t="n">
        <v>91</v>
      </c>
      <c r="B210" s="4" t="s">
        <v>56</v>
      </c>
      <c r="C210" s="4" t="s">
        <v>57</v>
      </c>
      <c r="D210" s="4" t="s">
        <v>651</v>
      </c>
      <c r="E210" s="4" t="s">
        <v>715</v>
      </c>
      <c r="F210" s="4" t="n">
        <v>434</v>
      </c>
      <c r="G210" s="5" t="s">
        <v>716</v>
      </c>
      <c r="H210" s="5" t="s">
        <v>662</v>
      </c>
      <c r="I210" s="4"/>
      <c r="J210" s="4"/>
      <c r="K210" s="4"/>
      <c r="L210" s="4" t="n">
        <v>20</v>
      </c>
      <c r="M210" s="4" t="n">
        <v>20</v>
      </c>
      <c r="N210" s="4" t="n">
        <v>0</v>
      </c>
      <c r="O210" s="4" t="n">
        <v>16</v>
      </c>
      <c r="P210" s="4" t="n">
        <v>4</v>
      </c>
      <c r="Q210" s="4" t="n">
        <v>5</v>
      </c>
      <c r="R210" s="6" t="n">
        <f aca="false">IF(N(L210)=0,0,O210/L210)</f>
        <v>0.8</v>
      </c>
      <c r="S210" s="4" t="n">
        <f aca="false">IF(R210="","",IF(R210&gt;=0.8,50,IF(R210&gt;=0.5,30,IF(R210&gt;=0.01,10,0))))</f>
        <v>50</v>
      </c>
      <c r="T210" s="4" t="n">
        <f aca="false">IF(TRIM(AI210)="Yes",2.5,0)</f>
        <v>2.5</v>
      </c>
      <c r="U210" s="4" t="n">
        <f aca="false">IF(TRIM(AJ210)="Yes",10,0)</f>
        <v>0</v>
      </c>
      <c r="V210" s="4" t="n">
        <f aca="false">IF(TRIM(AK210)="Yes",5,0)</f>
        <v>5</v>
      </c>
      <c r="W210" s="4" t="n">
        <f aca="false">IF(TRIM(AM210)="Yes",5,0)</f>
        <v>5</v>
      </c>
      <c r="X210" s="4" t="n">
        <f aca="false">IF(OR(TRIM(AN210)="Fully Available",TRIM(AN210)="Not Applicable"),5,IF(TRIM(AN210)="Partially Available",2.5,0))</f>
        <v>2.5</v>
      </c>
      <c r="Y210" s="4" t="n">
        <f aca="false">IF(TRIM(AO210)="Yes",5,0)</f>
        <v>5</v>
      </c>
      <c r="Z210" s="4" t="n">
        <f aca="false">IF(TRIM(AP210)="Yes",2.5,0)</f>
        <v>0</v>
      </c>
      <c r="AA210" s="4" t="n">
        <f aca="false">IF(TRIM(AQ210)="Yes",5,0)</f>
        <v>5</v>
      </c>
      <c r="AB210" s="4" t="n">
        <f aca="false">IF(OR(TRIM(AR210)="Yes",TRIM(AR210)="Not Applicable"),5,0)</f>
        <v>5</v>
      </c>
      <c r="AC210" s="4" t="n">
        <f aca="false">IF(TRIM(AS210)="Excellent",5,IF(TRIM(AS210)="Very Good",4,IF(TRIM(AS210)="Good",3,IF(TRIM(AS210)="Average",2,0))))</f>
        <v>2</v>
      </c>
      <c r="AD210" s="7" t="n">
        <f aca="false">IF(COUNT(S210:AC210)=0,"",SUM(S210:AC210))</f>
        <v>82</v>
      </c>
      <c r="AE210" s="7" t="n">
        <f aca="false">IF(COUNTIF($F$2:F210,F210)=1,IFERROR(AVERAGEIF($F:$F,F210,$AD:$AD),""),"")</f>
        <v>82</v>
      </c>
      <c r="AF210" s="8" t="str">
        <f aca="false">IF(AH210&lt;&gt;"",AH210,IF(AE210="","",IF(AE210&gt;=80,"Excellent",IF(AE210&gt;=70,"Very Good",IF(AE210&gt;=60,"Good",IF(AE210&gt;=50,"Average","Poor"))))))</f>
        <v>Excellent</v>
      </c>
      <c r="AG210" s="5"/>
      <c r="AH210" s="4"/>
      <c r="AI210" s="4" t="s">
        <v>62</v>
      </c>
      <c r="AJ210" s="4" t="s">
        <v>82</v>
      </c>
      <c r="AK210" s="4" t="s">
        <v>62</v>
      </c>
      <c r="AL210" s="4" t="s">
        <v>63</v>
      </c>
      <c r="AM210" s="4" t="s">
        <v>62</v>
      </c>
      <c r="AN210" s="4" t="s">
        <v>147</v>
      </c>
      <c r="AO210" s="4" t="s">
        <v>62</v>
      </c>
      <c r="AP210" s="4" t="s">
        <v>82</v>
      </c>
      <c r="AQ210" s="4" t="s">
        <v>62</v>
      </c>
      <c r="AR210" s="4" t="s">
        <v>62</v>
      </c>
      <c r="AS210" s="4" t="s">
        <v>173</v>
      </c>
      <c r="AT210" s="4" t="n">
        <v>24</v>
      </c>
      <c r="AU210" s="4" t="s">
        <v>66</v>
      </c>
      <c r="AV210" s="4" t="s">
        <v>288</v>
      </c>
      <c r="AW210" s="4" t="s">
        <v>717</v>
      </c>
      <c r="AX210" s="4" t="s">
        <v>667</v>
      </c>
      <c r="AY210" s="4" t="n">
        <v>9</v>
      </c>
      <c r="AZ210" s="4" t="s">
        <v>62</v>
      </c>
      <c r="BA210" s="4" t="s">
        <v>718</v>
      </c>
      <c r="BB210" s="4" t="s">
        <v>657</v>
      </c>
      <c r="BC210" s="6" t="n">
        <v>0.3125</v>
      </c>
      <c r="BD210" s="4" t="n">
        <v>77</v>
      </c>
    </row>
    <row r="211" customFormat="false" ht="270.85" hidden="false" customHeight="false" outlineLevel="0" collapsed="false">
      <c r="A211" s="4" t="n">
        <v>92</v>
      </c>
      <c r="B211" s="4" t="s">
        <v>56</v>
      </c>
      <c r="C211" s="4" t="s">
        <v>57</v>
      </c>
      <c r="D211" s="4" t="s">
        <v>651</v>
      </c>
      <c r="E211" s="4" t="s">
        <v>719</v>
      </c>
      <c r="F211" s="4" t="n">
        <v>1102</v>
      </c>
      <c r="G211" s="5" t="s">
        <v>720</v>
      </c>
      <c r="H211" s="5" t="s">
        <v>238</v>
      </c>
      <c r="I211" s="4"/>
      <c r="J211" s="4"/>
      <c r="K211" s="4"/>
      <c r="L211" s="4" t="n">
        <v>15</v>
      </c>
      <c r="M211" s="4" t="n">
        <v>15</v>
      </c>
      <c r="N211" s="4" t="n">
        <v>0</v>
      </c>
      <c r="O211" s="4" t="n">
        <v>14</v>
      </c>
      <c r="P211" s="4" t="n">
        <v>1</v>
      </c>
      <c r="Q211" s="4" t="n">
        <v>5</v>
      </c>
      <c r="R211" s="6" t="n">
        <f aca="false">IF(N(L211)=0,0,O211/L211)</f>
        <v>0.933333333333333</v>
      </c>
      <c r="S211" s="4" t="n">
        <f aca="false">IF(R211="","",IF(R211&gt;=0.8,50,IF(R211&gt;=0.5,30,IF(R211&gt;=0.01,10,0))))</f>
        <v>50</v>
      </c>
      <c r="T211" s="4" t="n">
        <f aca="false">IF(TRIM(AI211)="Yes",2.5,0)</f>
        <v>2.5</v>
      </c>
      <c r="U211" s="4" t="n">
        <f aca="false">IF(TRIM(AJ211)="Yes",10,0)</f>
        <v>0</v>
      </c>
      <c r="V211" s="4" t="n">
        <f aca="false">IF(TRIM(AK211)="Yes",5,0)</f>
        <v>5</v>
      </c>
      <c r="W211" s="4" t="n">
        <f aca="false">IF(TRIM(AM211)="Yes",5,0)</f>
        <v>5</v>
      </c>
      <c r="X211" s="4" t="n">
        <f aca="false">IF(OR(TRIM(AN211)="Fully Available",TRIM(AN211)="Not Applicable"),5,IF(TRIM(AN211)="Partially Available",2.5,0))</f>
        <v>5</v>
      </c>
      <c r="Y211" s="4" t="n">
        <f aca="false">IF(TRIM(AO211)="Yes",5,0)</f>
        <v>5</v>
      </c>
      <c r="Z211" s="4" t="n">
        <f aca="false">IF(TRIM(AP211)="Yes",2.5,0)</f>
        <v>2.5</v>
      </c>
      <c r="AA211" s="4" t="n">
        <f aca="false">IF(TRIM(AQ211)="Yes",5,0)</f>
        <v>5</v>
      </c>
      <c r="AB211" s="4" t="n">
        <f aca="false">IF(OR(TRIM(AR211)="Yes",TRIM(AR211)="Not Applicable"),5,0)</f>
        <v>5</v>
      </c>
      <c r="AC211" s="4" t="n">
        <f aca="false">IF(TRIM(AS211)="Excellent",5,IF(TRIM(AS211)="Very Good",4,IF(TRIM(AS211)="Good",3,IF(TRIM(AS211)="Average",2,0))))</f>
        <v>4</v>
      </c>
      <c r="AD211" s="7" t="n">
        <f aca="false">IF(COUNT(S211:AC211)=0,"",SUM(S211:AC211))</f>
        <v>89</v>
      </c>
      <c r="AE211" s="7" t="n">
        <f aca="false">IF(COUNTIF($F$2:F211,F211)=1,IFERROR(AVERAGEIF($F:$F,F211,$AD:$AD),""),"")</f>
        <v>89</v>
      </c>
      <c r="AF211" s="8" t="str">
        <f aca="false">IF(AH211&lt;&gt;"",AH211,IF(AE211="","",IF(AE211&gt;=80,"Excellent",IF(AE211&gt;=70,"Very Good",IF(AE211&gt;=60,"Good",IF(AE211&gt;=50,"Average","Poor"))))))</f>
        <v>Excellent</v>
      </c>
      <c r="AG211" s="5"/>
      <c r="AH211" s="4"/>
      <c r="AI211" s="4" t="s">
        <v>62</v>
      </c>
      <c r="AJ211" s="4" t="s">
        <v>82</v>
      </c>
      <c r="AK211" s="4" t="s">
        <v>62</v>
      </c>
      <c r="AL211" s="4" t="s">
        <v>63</v>
      </c>
      <c r="AM211" s="4" t="s">
        <v>62</v>
      </c>
      <c r="AN211" s="4" t="s">
        <v>64</v>
      </c>
      <c r="AO211" s="4" t="s">
        <v>62</v>
      </c>
      <c r="AP211" s="4" t="s">
        <v>62</v>
      </c>
      <c r="AQ211" s="4" t="s">
        <v>62</v>
      </c>
      <c r="AR211" s="4" t="s">
        <v>73</v>
      </c>
      <c r="AS211" s="4" t="s">
        <v>74</v>
      </c>
      <c r="AT211" s="4" t="n">
        <v>26</v>
      </c>
      <c r="AU211" s="4" t="s">
        <v>66</v>
      </c>
      <c r="AV211" s="4" t="s">
        <v>721</v>
      </c>
      <c r="AW211" s="4" t="s">
        <v>722</v>
      </c>
      <c r="AX211" s="4" t="s">
        <v>723</v>
      </c>
      <c r="AY211" s="4" t="n">
        <v>6</v>
      </c>
      <c r="AZ211" s="4" t="s">
        <v>62</v>
      </c>
      <c r="BA211" s="4" t="s">
        <v>724</v>
      </c>
      <c r="BB211" s="4" t="s">
        <v>657</v>
      </c>
      <c r="BC211" s="6" t="n">
        <v>0.3571</v>
      </c>
      <c r="BD211" s="4" t="n">
        <v>81</v>
      </c>
    </row>
    <row r="212" customFormat="false" ht="299.25" hidden="false" customHeight="false" outlineLevel="0" collapsed="false">
      <c r="A212" s="4" t="n">
        <v>93</v>
      </c>
      <c r="B212" s="4" t="s">
        <v>56</v>
      </c>
      <c r="C212" s="4" t="s">
        <v>57</v>
      </c>
      <c r="D212" s="4" t="s">
        <v>651</v>
      </c>
      <c r="E212" s="4" t="s">
        <v>696</v>
      </c>
      <c r="F212" s="4" t="n">
        <v>546</v>
      </c>
      <c r="G212" s="5" t="s">
        <v>725</v>
      </c>
      <c r="H212" s="5" t="s">
        <v>693</v>
      </c>
      <c r="I212" s="4"/>
      <c r="J212" s="4"/>
      <c r="K212" s="4"/>
      <c r="L212" s="4" t="n">
        <v>20</v>
      </c>
      <c r="M212" s="4" t="n">
        <v>20</v>
      </c>
      <c r="N212" s="4" t="n">
        <v>0</v>
      </c>
      <c r="O212" s="4" t="n">
        <v>17</v>
      </c>
      <c r="P212" s="4" t="n">
        <v>3</v>
      </c>
      <c r="Q212" s="4" t="n">
        <v>5</v>
      </c>
      <c r="R212" s="6" t="n">
        <f aca="false">IF(N(L212)=0,0,O212/L212)</f>
        <v>0.85</v>
      </c>
      <c r="S212" s="4" t="n">
        <f aca="false">IF(R212="","",IF(R212&gt;=0.8,50,IF(R212&gt;=0.5,30,IF(R212&gt;=0.01,10,0))))</f>
        <v>50</v>
      </c>
      <c r="T212" s="4" t="n">
        <f aca="false">IF(TRIM(AI212)="Yes",2.5,0)</f>
        <v>2.5</v>
      </c>
      <c r="U212" s="4" t="n">
        <f aca="false">IF(TRIM(AJ212)="Yes",10,0)</f>
        <v>0</v>
      </c>
      <c r="V212" s="4" t="n">
        <f aca="false">IF(TRIM(AK212)="Yes",5,0)</f>
        <v>5</v>
      </c>
      <c r="W212" s="4" t="n">
        <f aca="false">IF(TRIM(AM212)="Yes",5,0)</f>
        <v>5</v>
      </c>
      <c r="X212" s="4" t="n">
        <f aca="false">IF(OR(TRIM(AN212)="Fully Available",TRIM(AN212)="Not Applicable"),5,IF(TRIM(AN212)="Partially Available",2.5,0))</f>
        <v>2.5</v>
      </c>
      <c r="Y212" s="4" t="n">
        <f aca="false">IF(TRIM(AO212)="Yes",5,0)</f>
        <v>5</v>
      </c>
      <c r="Z212" s="4" t="n">
        <f aca="false">IF(TRIM(AP212)="Yes",2.5,0)</f>
        <v>2.5</v>
      </c>
      <c r="AA212" s="4" t="n">
        <f aca="false">IF(TRIM(AQ212)="Yes",5,0)</f>
        <v>5</v>
      </c>
      <c r="AB212" s="4" t="n">
        <f aca="false">IF(OR(TRIM(AR212)="Yes",TRIM(AR212)="Not Applicable"),5,0)</f>
        <v>5</v>
      </c>
      <c r="AC212" s="4" t="n">
        <f aca="false">IF(TRIM(AS212)="Excellent",5,IF(TRIM(AS212)="Very Good",4,IF(TRIM(AS212)="Good",3,IF(TRIM(AS212)="Average",2,0))))</f>
        <v>2</v>
      </c>
      <c r="AD212" s="7" t="n">
        <f aca="false">IF(COUNT(S212:AC212)=0,"",SUM(S212:AC212))</f>
        <v>84.5</v>
      </c>
      <c r="AE212" s="7" t="n">
        <f aca="false">IF(COUNTIF($F$2:F212,F212)=1,IFERROR(AVERAGEIF($F:$F,F212,$AD:$AD),""),"")</f>
        <v>74.5</v>
      </c>
      <c r="AF212" s="8" t="str">
        <f aca="false">IF(AH212&lt;&gt;"",AH212,IF(AE212="","",IF(AE212&gt;=80,"Excellent",IF(AE212&gt;=70,"Very Good",IF(AE212&gt;=60,"Good",IF(AE212&gt;=50,"Average","Poor"))))))</f>
        <v>Very Good</v>
      </c>
      <c r="AG212" s="5"/>
      <c r="AH212" s="4"/>
      <c r="AI212" s="4" t="s">
        <v>62</v>
      </c>
      <c r="AJ212" s="4" t="s">
        <v>82</v>
      </c>
      <c r="AK212" s="4" t="s">
        <v>62</v>
      </c>
      <c r="AL212" s="4" t="s">
        <v>63</v>
      </c>
      <c r="AM212" s="4" t="s">
        <v>62</v>
      </c>
      <c r="AN212" s="4" t="s">
        <v>147</v>
      </c>
      <c r="AO212" s="4" t="s">
        <v>62</v>
      </c>
      <c r="AP212" s="4" t="s">
        <v>62</v>
      </c>
      <c r="AQ212" s="4" t="s">
        <v>62</v>
      </c>
      <c r="AR212" s="4" t="s">
        <v>62</v>
      </c>
      <c r="AS212" s="4" t="s">
        <v>173</v>
      </c>
      <c r="AT212" s="4" t="n">
        <v>12</v>
      </c>
      <c r="AU212" s="4" t="s">
        <v>112</v>
      </c>
      <c r="AV212" s="4" t="s">
        <v>350</v>
      </c>
      <c r="AW212" s="4" t="s">
        <v>726</v>
      </c>
      <c r="AX212" s="4" t="s">
        <v>667</v>
      </c>
      <c r="AY212" s="4" t="n">
        <v>15</v>
      </c>
      <c r="AZ212" s="4" t="s">
        <v>62</v>
      </c>
      <c r="BA212" s="4" t="s">
        <v>727</v>
      </c>
      <c r="BB212" s="4" t="s">
        <v>657</v>
      </c>
      <c r="BC212" s="6" t="n">
        <v>0.2941</v>
      </c>
      <c r="BD212" s="4" t="n">
        <v>75</v>
      </c>
    </row>
    <row r="213" customFormat="false" ht="299.25" hidden="false" customHeight="false" outlineLevel="0" collapsed="false">
      <c r="A213" s="4"/>
      <c r="B213" s="4" t="s">
        <v>56</v>
      </c>
      <c r="C213" s="4" t="s">
        <v>57</v>
      </c>
      <c r="D213" s="4" t="s">
        <v>651</v>
      </c>
      <c r="E213" s="4" t="s">
        <v>696</v>
      </c>
      <c r="F213" s="4" t="n">
        <v>546</v>
      </c>
      <c r="G213" s="5" t="s">
        <v>725</v>
      </c>
      <c r="H213" s="5" t="s">
        <v>124</v>
      </c>
      <c r="I213" s="4"/>
      <c r="J213" s="4"/>
      <c r="K213" s="4"/>
      <c r="L213" s="4" t="n">
        <v>20</v>
      </c>
      <c r="M213" s="4" t="n">
        <v>20</v>
      </c>
      <c r="N213" s="4" t="n">
        <v>0</v>
      </c>
      <c r="O213" s="4" t="n">
        <v>13</v>
      </c>
      <c r="P213" s="4" t="n">
        <v>7</v>
      </c>
      <c r="Q213" s="4" t="n">
        <v>5</v>
      </c>
      <c r="R213" s="6" t="n">
        <f aca="false">IF(N(L213)=0,0,O213/L213)</f>
        <v>0.65</v>
      </c>
      <c r="S213" s="4" t="n">
        <f aca="false">IF(R213="","",IF(R213&gt;=0.8,50,IF(R213&gt;=0.5,30,IF(R213&gt;=0.01,10,0))))</f>
        <v>30</v>
      </c>
      <c r="T213" s="4" t="n">
        <f aca="false">IF(TRIM(AI213)="Yes",2.5,0)</f>
        <v>2.5</v>
      </c>
      <c r="U213" s="4" t="n">
        <f aca="false">IF(TRIM(AJ213)="Yes",10,0)</f>
        <v>0</v>
      </c>
      <c r="V213" s="4" t="n">
        <f aca="false">IF(TRIM(AK213)="Yes",5,0)</f>
        <v>5</v>
      </c>
      <c r="W213" s="4" t="n">
        <f aca="false">IF(TRIM(AM213)="Yes",5,0)</f>
        <v>5</v>
      </c>
      <c r="X213" s="4" t="n">
        <f aca="false">IF(OR(TRIM(AN213)="Fully Available",TRIM(AN213)="Not Applicable"),5,IF(TRIM(AN213)="Partially Available",2.5,0))</f>
        <v>2.5</v>
      </c>
      <c r="Y213" s="4" t="n">
        <f aca="false">IF(TRIM(AO213)="Yes",5,0)</f>
        <v>5</v>
      </c>
      <c r="Z213" s="4" t="n">
        <f aca="false">IF(TRIM(AP213)="Yes",2.5,0)</f>
        <v>2.5</v>
      </c>
      <c r="AA213" s="4" t="n">
        <f aca="false">IF(TRIM(AQ213)="Yes",5,0)</f>
        <v>5</v>
      </c>
      <c r="AB213" s="4" t="n">
        <f aca="false">IF(OR(TRIM(AR213)="Yes",TRIM(AR213)="Not Applicable"),5,0)</f>
        <v>5</v>
      </c>
      <c r="AC213" s="4" t="n">
        <f aca="false">IF(TRIM(AS213)="Excellent",5,IF(TRIM(AS213)="Very Good",4,IF(TRIM(AS213)="Good",3,IF(TRIM(AS213)="Average",2,0))))</f>
        <v>2</v>
      </c>
      <c r="AD213" s="7" t="n">
        <f aca="false">IF(COUNT(S213:AC213)=0,"",SUM(S213:AC213))</f>
        <v>64.5</v>
      </c>
      <c r="AE213" s="7"/>
      <c r="AF213" s="8"/>
      <c r="AG213" s="5"/>
      <c r="AH213" s="4"/>
      <c r="AI213" s="4" t="s">
        <v>62</v>
      </c>
      <c r="AJ213" s="4" t="s">
        <v>82</v>
      </c>
      <c r="AK213" s="4" t="s">
        <v>62</v>
      </c>
      <c r="AL213" s="4" t="s">
        <v>63</v>
      </c>
      <c r="AM213" s="4" t="s">
        <v>62</v>
      </c>
      <c r="AN213" s="4" t="s">
        <v>147</v>
      </c>
      <c r="AO213" s="4" t="s">
        <v>62</v>
      </c>
      <c r="AP213" s="4" t="s">
        <v>62</v>
      </c>
      <c r="AQ213" s="4" t="s">
        <v>62</v>
      </c>
      <c r="AR213" s="4" t="s">
        <v>62</v>
      </c>
      <c r="AS213" s="4" t="s">
        <v>173</v>
      </c>
      <c r="AT213" s="4" t="n">
        <v>25</v>
      </c>
      <c r="AU213" s="4" t="s">
        <v>112</v>
      </c>
      <c r="AV213" s="4" t="s">
        <v>350</v>
      </c>
      <c r="AW213" s="4" t="s">
        <v>728</v>
      </c>
      <c r="AX213" s="4" t="s">
        <v>729</v>
      </c>
      <c r="AY213" s="4" t="n">
        <v>7</v>
      </c>
      <c r="AZ213" s="4" t="s">
        <v>62</v>
      </c>
      <c r="BA213" s="4" t="s">
        <v>727</v>
      </c>
      <c r="BB213" s="4" t="s">
        <v>657</v>
      </c>
      <c r="BC213" s="6" t="n">
        <v>0.3846</v>
      </c>
      <c r="BD213" s="4" t="n">
        <v>75</v>
      </c>
    </row>
    <row r="214" customFormat="false" ht="270.85" hidden="false" customHeight="false" outlineLevel="0" collapsed="false">
      <c r="A214" s="4" t="n">
        <v>94</v>
      </c>
      <c r="B214" s="4" t="s">
        <v>56</v>
      </c>
      <c r="C214" s="4" t="s">
        <v>57</v>
      </c>
      <c r="D214" s="4" t="s">
        <v>651</v>
      </c>
      <c r="E214" s="4" t="s">
        <v>696</v>
      </c>
      <c r="F214" s="4" t="n">
        <v>597</v>
      </c>
      <c r="G214" s="5" t="s">
        <v>730</v>
      </c>
      <c r="H214" s="5" t="s">
        <v>190</v>
      </c>
      <c r="I214" s="4"/>
      <c r="J214" s="4"/>
      <c r="K214" s="4"/>
      <c r="L214" s="4" t="n">
        <v>20</v>
      </c>
      <c r="M214" s="4" t="n">
        <v>20</v>
      </c>
      <c r="N214" s="4" t="n">
        <v>0</v>
      </c>
      <c r="O214" s="4" t="n">
        <v>18</v>
      </c>
      <c r="P214" s="4" t="n">
        <v>2</v>
      </c>
      <c r="Q214" s="4" t="n">
        <v>5</v>
      </c>
      <c r="R214" s="6" t="n">
        <f aca="false">IF(N(L214)=0,0,O214/L214)</f>
        <v>0.9</v>
      </c>
      <c r="S214" s="4" t="n">
        <f aca="false">IF(R214="","",IF(R214&gt;=0.8,50,IF(R214&gt;=0.5,30,IF(R214&gt;=0.01,10,0))))</f>
        <v>50</v>
      </c>
      <c r="T214" s="4" t="n">
        <f aca="false">IF(TRIM(AI214)="Yes",2.5,0)</f>
        <v>0</v>
      </c>
      <c r="U214" s="4" t="n">
        <f aca="false">IF(TRIM(AJ214)="Yes",10,0)</f>
        <v>0</v>
      </c>
      <c r="V214" s="4" t="n">
        <f aca="false">IF(TRIM(AK214)="Yes",5,0)</f>
        <v>5</v>
      </c>
      <c r="W214" s="4" t="n">
        <f aca="false">IF(TRIM(AM214)="Yes",5,0)</f>
        <v>5</v>
      </c>
      <c r="X214" s="4" t="n">
        <f aca="false">IF(OR(TRIM(AN214)="Fully Available",TRIM(AN214)="Not Applicable"),5,IF(TRIM(AN214)="Partially Available",2.5,0))</f>
        <v>5</v>
      </c>
      <c r="Y214" s="4" t="n">
        <f aca="false">IF(TRIM(AO214)="Yes",5,0)</f>
        <v>5</v>
      </c>
      <c r="Z214" s="4" t="n">
        <f aca="false">IF(TRIM(AP214)="Yes",2.5,0)</f>
        <v>2.5</v>
      </c>
      <c r="AA214" s="4" t="n">
        <f aca="false">IF(TRIM(AQ214)="Yes",5,0)</f>
        <v>5</v>
      </c>
      <c r="AB214" s="4" t="n">
        <f aca="false">IF(OR(TRIM(AR214)="Yes",TRIM(AR214)="Not Applicable"),5,0)</f>
        <v>5</v>
      </c>
      <c r="AC214" s="4" t="n">
        <f aca="false">IF(TRIM(AS214)="Excellent",5,IF(TRIM(AS214)="Very Good",4,IF(TRIM(AS214)="Good",3,IF(TRIM(AS214)="Average",2,0))))</f>
        <v>2</v>
      </c>
      <c r="AD214" s="7" t="n">
        <f aca="false">IF(COUNT(S214:AC214)=0,"",SUM(S214:AC214))</f>
        <v>84.5</v>
      </c>
      <c r="AE214" s="7" t="n">
        <f aca="false">IF(COUNTIF($F$2:F214,F214)=1,IFERROR(AVERAGEIF($F:$F,F214,$AD:$AD),""),"")</f>
        <v>84.5</v>
      </c>
      <c r="AF214" s="8" t="str">
        <f aca="false">IF(AH214&lt;&gt;"",AH214,IF(AE214="","",IF(AE214&gt;=80,"Excellent",IF(AE214&gt;=70,"Very Good",IF(AE214&gt;=60,"Good",IF(AE214&gt;=50,"Average","Poor"))))))</f>
        <v>Excellent</v>
      </c>
      <c r="AG214" s="5"/>
      <c r="AH214" s="4"/>
      <c r="AI214" s="4" t="s">
        <v>82</v>
      </c>
      <c r="AJ214" s="4" t="s">
        <v>82</v>
      </c>
      <c r="AK214" s="4" t="s">
        <v>62</v>
      </c>
      <c r="AL214" s="4" t="s">
        <v>63</v>
      </c>
      <c r="AM214" s="4" t="s">
        <v>62</v>
      </c>
      <c r="AN214" s="4" t="s">
        <v>64</v>
      </c>
      <c r="AO214" s="4" t="s">
        <v>62</v>
      </c>
      <c r="AP214" s="4" t="s">
        <v>62</v>
      </c>
      <c r="AQ214" s="4" t="s">
        <v>62</v>
      </c>
      <c r="AR214" s="4" t="s">
        <v>62</v>
      </c>
      <c r="AS214" s="4" t="s">
        <v>173</v>
      </c>
      <c r="AT214" s="4" t="n">
        <v>12</v>
      </c>
      <c r="AU214" s="4" t="s">
        <v>112</v>
      </c>
      <c r="AV214" s="4" t="s">
        <v>639</v>
      </c>
      <c r="AW214" s="4" t="s">
        <v>731</v>
      </c>
      <c r="AX214" s="4" t="s">
        <v>677</v>
      </c>
      <c r="AY214" s="4" t="n">
        <v>32</v>
      </c>
      <c r="AZ214" s="4" t="s">
        <v>62</v>
      </c>
      <c r="BA214" s="4" t="s">
        <v>732</v>
      </c>
      <c r="BB214" s="4" t="s">
        <v>657</v>
      </c>
      <c r="BC214" s="6" t="n">
        <v>0.2778</v>
      </c>
      <c r="BD214" s="4" t="n">
        <v>90</v>
      </c>
    </row>
    <row r="215" customFormat="false" ht="299.25" hidden="false" customHeight="false" outlineLevel="0" collapsed="false">
      <c r="A215" s="4" t="n">
        <v>95</v>
      </c>
      <c r="B215" s="4" t="s">
        <v>56</v>
      </c>
      <c r="C215" s="4" t="s">
        <v>57</v>
      </c>
      <c r="D215" s="4" t="s">
        <v>651</v>
      </c>
      <c r="E215" s="4" t="s">
        <v>696</v>
      </c>
      <c r="F215" s="4" t="n">
        <v>3335</v>
      </c>
      <c r="G215" s="5" t="s">
        <v>733</v>
      </c>
      <c r="H215" s="5" t="s">
        <v>61</v>
      </c>
      <c r="I215" s="4"/>
      <c r="J215" s="4"/>
      <c r="K215" s="4"/>
      <c r="L215" s="4" t="n">
        <v>15</v>
      </c>
      <c r="M215" s="4" t="n">
        <v>15</v>
      </c>
      <c r="N215" s="4" t="n">
        <v>0</v>
      </c>
      <c r="O215" s="4" t="n">
        <v>15</v>
      </c>
      <c r="P215" s="4" t="n">
        <v>0</v>
      </c>
      <c r="Q215" s="4" t="n">
        <v>5</v>
      </c>
      <c r="R215" s="6" t="n">
        <f aca="false">IF(N(L215)=0,0,O215/L215)</f>
        <v>1</v>
      </c>
      <c r="S215" s="4" t="n">
        <f aca="false">IF(R215="","",IF(R215&gt;=0.8,50,IF(R215&gt;=0.5,30,IF(R215&gt;=0.01,10,0))))</f>
        <v>50</v>
      </c>
      <c r="T215" s="4" t="n">
        <f aca="false">IF(TRIM(AI215)="Yes",2.5,0)</f>
        <v>0</v>
      </c>
      <c r="U215" s="4" t="n">
        <f aca="false">IF(TRIM(AJ215)="Yes",10,0)</f>
        <v>0</v>
      </c>
      <c r="V215" s="4" t="n">
        <f aca="false">IF(TRIM(AK215)="Yes",5,0)</f>
        <v>5</v>
      </c>
      <c r="W215" s="4" t="n">
        <f aca="false">IF(TRIM(AM215)="Yes",5,0)</f>
        <v>5</v>
      </c>
      <c r="X215" s="4" t="n">
        <f aca="false">IF(OR(TRIM(AN215)="Fully Available",TRIM(AN215)="Not Applicable"),5,IF(TRIM(AN215)="Partially Available",2.5,0))</f>
        <v>5</v>
      </c>
      <c r="Y215" s="4" t="n">
        <f aca="false">IF(TRIM(AO215)="Yes",5,0)</f>
        <v>5</v>
      </c>
      <c r="Z215" s="4" t="n">
        <f aca="false">IF(TRIM(AP215)="Yes",2.5,0)</f>
        <v>2.5</v>
      </c>
      <c r="AA215" s="4" t="n">
        <f aca="false">IF(TRIM(AQ215)="Yes",5,0)</f>
        <v>5</v>
      </c>
      <c r="AB215" s="4" t="n">
        <f aca="false">IF(OR(TRIM(AR215)="Yes",TRIM(AR215)="Not Applicable"),5,0)</f>
        <v>5</v>
      </c>
      <c r="AC215" s="4" t="n">
        <f aca="false">IF(TRIM(AS215)="Excellent",5,IF(TRIM(AS215)="Very Good",4,IF(TRIM(AS215)="Good",3,IF(TRIM(AS215)="Average",2,0))))</f>
        <v>4</v>
      </c>
      <c r="AD215" s="7" t="n">
        <f aca="false">IF(COUNT(S215:AC215)=0,"",SUM(S215:AC215))</f>
        <v>86.5</v>
      </c>
      <c r="AE215" s="7" t="n">
        <f aca="false">IF(COUNTIF($F$2:F215,F215)=1,IFERROR(AVERAGEIF($F:$F,F215,$AD:$AD),""),"")</f>
        <v>86.5</v>
      </c>
      <c r="AF215" s="8" t="str">
        <f aca="false">IF(AH215&lt;&gt;"",AH215,IF(AE215="","",IF(AE215&gt;=80,"Excellent",IF(AE215&gt;=70,"Very Good",IF(AE215&gt;=60,"Good",IF(AE215&gt;=50,"Average","Poor"))))))</f>
        <v>Excellent</v>
      </c>
      <c r="AG215" s="5"/>
      <c r="AH215" s="4"/>
      <c r="AI215" s="4" t="s">
        <v>82</v>
      </c>
      <c r="AJ215" s="4" t="s">
        <v>82</v>
      </c>
      <c r="AK215" s="4" t="s">
        <v>62</v>
      </c>
      <c r="AL215" s="4" t="s">
        <v>63</v>
      </c>
      <c r="AM215" s="4" t="s">
        <v>62</v>
      </c>
      <c r="AN215" s="4" t="s">
        <v>64</v>
      </c>
      <c r="AO215" s="4" t="s">
        <v>62</v>
      </c>
      <c r="AP215" s="4" t="s">
        <v>62</v>
      </c>
      <c r="AQ215" s="4" t="s">
        <v>62</v>
      </c>
      <c r="AR215" s="4" t="s">
        <v>62</v>
      </c>
      <c r="AS215" s="4" t="s">
        <v>74</v>
      </c>
      <c r="AT215" s="4" t="n">
        <v>16</v>
      </c>
      <c r="AU215" s="4" t="s">
        <v>112</v>
      </c>
      <c r="AV215" s="4" t="s">
        <v>639</v>
      </c>
      <c r="AW215" s="4" t="s">
        <v>734</v>
      </c>
      <c r="AX215" s="4" t="s">
        <v>735</v>
      </c>
      <c r="AY215" s="4" t="n">
        <v>3</v>
      </c>
      <c r="AZ215" s="4" t="s">
        <v>62</v>
      </c>
      <c r="BA215" s="4" t="s">
        <v>736</v>
      </c>
      <c r="BB215" s="4" t="s">
        <v>657</v>
      </c>
      <c r="BC215" s="6" t="n">
        <v>0.3333</v>
      </c>
      <c r="BD215" s="4" t="n">
        <v>93</v>
      </c>
    </row>
    <row r="216" customFormat="false" ht="285.05" hidden="false" customHeight="false" outlineLevel="0" collapsed="false">
      <c r="A216" s="4" t="n">
        <v>96</v>
      </c>
      <c r="B216" s="4" t="s">
        <v>56</v>
      </c>
      <c r="C216" s="4" t="s">
        <v>57</v>
      </c>
      <c r="D216" s="4" t="s">
        <v>651</v>
      </c>
      <c r="E216" s="4" t="s">
        <v>737</v>
      </c>
      <c r="F216" s="4" t="n">
        <v>790</v>
      </c>
      <c r="G216" s="5" t="s">
        <v>738</v>
      </c>
      <c r="H216" s="5" t="s">
        <v>177</v>
      </c>
      <c r="I216" s="4"/>
      <c r="J216" s="4"/>
      <c r="K216" s="4"/>
      <c r="L216" s="4" t="n">
        <v>15</v>
      </c>
      <c r="M216" s="4" t="n">
        <v>15</v>
      </c>
      <c r="N216" s="4" t="n">
        <v>0</v>
      </c>
      <c r="O216" s="4" t="n">
        <v>10</v>
      </c>
      <c r="P216" s="4" t="n">
        <v>5</v>
      </c>
      <c r="Q216" s="4" t="n">
        <v>5</v>
      </c>
      <c r="R216" s="6" t="n">
        <f aca="false">IF(N(L216)=0,0,O216/L216)</f>
        <v>0.666666666666667</v>
      </c>
      <c r="S216" s="4" t="n">
        <f aca="false">IF(R216="","",IF(R216&gt;=0.8,50,IF(R216&gt;=0.5,30,IF(R216&gt;=0.01,10,0))))</f>
        <v>30</v>
      </c>
      <c r="T216" s="4" t="n">
        <f aca="false">IF(TRIM(AI216)="Yes",2.5,0)</f>
        <v>0</v>
      </c>
      <c r="U216" s="4" t="n">
        <f aca="false">IF(TRIM(AJ216)="Yes",10,0)</f>
        <v>0</v>
      </c>
      <c r="V216" s="4" t="n">
        <f aca="false">IF(TRIM(AK216)="Yes",5,0)</f>
        <v>5</v>
      </c>
      <c r="W216" s="4" t="n">
        <f aca="false">IF(TRIM(AM216)="Yes",5,0)</f>
        <v>5</v>
      </c>
      <c r="X216" s="4" t="n">
        <f aca="false">IF(OR(TRIM(AN216)="Fully Available",TRIM(AN216)="Not Applicable"),5,IF(TRIM(AN216)="Partially Available",2.5,0))</f>
        <v>2.5</v>
      </c>
      <c r="Y216" s="4" t="n">
        <f aca="false">IF(TRIM(AO216)="Yes",5,0)</f>
        <v>5</v>
      </c>
      <c r="Z216" s="4" t="n">
        <f aca="false">IF(TRIM(AP216)="Yes",2.5,0)</f>
        <v>2.5</v>
      </c>
      <c r="AA216" s="4" t="n">
        <f aca="false">IF(TRIM(AQ216)="Yes",5,0)</f>
        <v>0</v>
      </c>
      <c r="AB216" s="4" t="n">
        <f aca="false">IF(OR(TRIM(AR216)="Yes",TRIM(AR216)="Not Applicable"),5,0)</f>
        <v>5</v>
      </c>
      <c r="AC216" s="4" t="n">
        <f aca="false">IF(TRIM(AS216)="Excellent",5,IF(TRIM(AS216)="Very Good",4,IF(TRIM(AS216)="Good",3,IF(TRIM(AS216)="Average",2,0))))</f>
        <v>2</v>
      </c>
      <c r="AD216" s="7" t="n">
        <f aca="false">IF(COUNT(S216:AC216)=0,"",SUM(S216:AC216))</f>
        <v>57</v>
      </c>
      <c r="AE216" s="7" t="n">
        <f aca="false">IF(COUNTIF($F$2:F216,F216)=1,IFERROR(AVERAGEIF($F:$F,F216,$AD:$AD),""),"")</f>
        <v>57</v>
      </c>
      <c r="AF216" s="8" t="str">
        <f aca="false">IF(AH216&lt;&gt;"",AH216,IF(AE216="","",IF(AE216&gt;=80,"Excellent",IF(AE216&gt;=70,"Very Good",IF(AE216&gt;=60,"Good",IF(AE216&gt;=50,"Average","Poor"))))))</f>
        <v>Average</v>
      </c>
      <c r="AG216" s="5"/>
      <c r="AH216" s="4"/>
      <c r="AI216" s="4" t="s">
        <v>82</v>
      </c>
      <c r="AJ216" s="4" t="s">
        <v>82</v>
      </c>
      <c r="AK216" s="4" t="s">
        <v>62</v>
      </c>
      <c r="AL216" s="4" t="s">
        <v>63</v>
      </c>
      <c r="AM216" s="4" t="s">
        <v>62</v>
      </c>
      <c r="AN216" s="4" t="s">
        <v>147</v>
      </c>
      <c r="AO216" s="4" t="s">
        <v>62</v>
      </c>
      <c r="AP216" s="4" t="s">
        <v>62</v>
      </c>
      <c r="AQ216" s="4" t="s">
        <v>82</v>
      </c>
      <c r="AR216" s="4" t="s">
        <v>73</v>
      </c>
      <c r="AS216" s="4" t="s">
        <v>173</v>
      </c>
      <c r="AT216" s="4" t="n">
        <v>0</v>
      </c>
      <c r="AU216" s="4" t="s">
        <v>66</v>
      </c>
      <c r="AV216" s="4" t="s">
        <v>380</v>
      </c>
      <c r="AW216" s="4" t="s">
        <v>739</v>
      </c>
      <c r="AX216" s="4" t="s">
        <v>740</v>
      </c>
      <c r="AY216" s="4" t="n">
        <v>2</v>
      </c>
      <c r="AZ216" s="4" t="s">
        <v>62</v>
      </c>
      <c r="BA216" s="4" t="s">
        <v>741</v>
      </c>
      <c r="BB216" s="4" t="s">
        <v>657</v>
      </c>
      <c r="BC216" s="6" t="n">
        <v>0.5</v>
      </c>
      <c r="BD216" s="4" t="n">
        <v>53</v>
      </c>
    </row>
    <row r="217" customFormat="false" ht="313.4" hidden="false" customHeight="false" outlineLevel="0" collapsed="false">
      <c r="A217" s="4" t="n">
        <v>97</v>
      </c>
      <c r="B217" s="4" t="s">
        <v>56</v>
      </c>
      <c r="C217" s="4" t="s">
        <v>57</v>
      </c>
      <c r="D217" s="4" t="s">
        <v>651</v>
      </c>
      <c r="E217" s="4" t="s">
        <v>696</v>
      </c>
      <c r="F217" s="4" t="n">
        <v>4992</v>
      </c>
      <c r="G217" s="5" t="s">
        <v>742</v>
      </c>
      <c r="H217" s="5" t="s">
        <v>528</v>
      </c>
      <c r="I217" s="4"/>
      <c r="J217" s="4"/>
      <c r="K217" s="4"/>
      <c r="L217" s="4" t="n">
        <v>80</v>
      </c>
      <c r="M217" s="4" t="n">
        <v>80</v>
      </c>
      <c r="N217" s="4" t="n">
        <v>0</v>
      </c>
      <c r="O217" s="4" t="n">
        <v>80</v>
      </c>
      <c r="P217" s="4" t="n">
        <v>0</v>
      </c>
      <c r="Q217" s="4" t="n">
        <v>22</v>
      </c>
      <c r="R217" s="6" t="n">
        <f aca="false">IF(N(L217)=0,0,O217/L217)</f>
        <v>1</v>
      </c>
      <c r="S217" s="4" t="n">
        <f aca="false">IF(R217="","",IF(R217&gt;=0.8,50,IF(R217&gt;=0.5,30,IF(R217&gt;=0.01,10,0))))</f>
        <v>50</v>
      </c>
      <c r="T217" s="4" t="n">
        <f aca="false">IF(TRIM(AI217)="Yes",2.5,0)</f>
        <v>0</v>
      </c>
      <c r="U217" s="4" t="n">
        <f aca="false">IF(TRIM(AJ217)="Yes",10,0)</f>
        <v>0</v>
      </c>
      <c r="V217" s="4" t="n">
        <f aca="false">IF(TRIM(AK217)="Yes",5,0)</f>
        <v>5</v>
      </c>
      <c r="W217" s="4" t="n">
        <f aca="false">IF(TRIM(AM217)="Yes",5,0)</f>
        <v>5</v>
      </c>
      <c r="X217" s="4" t="n">
        <f aca="false">IF(OR(TRIM(AN217)="Fully Available",TRIM(AN217)="Not Applicable"),5,IF(TRIM(AN217)="Partially Available",2.5,0))</f>
        <v>5</v>
      </c>
      <c r="Y217" s="4" t="n">
        <f aca="false">IF(TRIM(AO217)="Yes",5,0)</f>
        <v>5</v>
      </c>
      <c r="Z217" s="4" t="n">
        <f aca="false">IF(TRIM(AP217)="Yes",2.5,0)</f>
        <v>2.5</v>
      </c>
      <c r="AA217" s="4" t="n">
        <f aca="false">IF(TRIM(AQ217)="Yes",5,0)</f>
        <v>5</v>
      </c>
      <c r="AB217" s="4" t="n">
        <f aca="false">IF(OR(TRIM(AR217)="Yes",TRIM(AR217)="Not Applicable"),5,0)</f>
        <v>5</v>
      </c>
      <c r="AC217" s="4" t="n">
        <f aca="false">IF(TRIM(AS217)="Excellent",5,IF(TRIM(AS217)="Very Good",4,IF(TRIM(AS217)="Good",3,IF(TRIM(AS217)="Average",2,0))))</f>
        <v>3</v>
      </c>
      <c r="AD217" s="7" t="n">
        <f aca="false">IF(COUNT(S217:AC217)=0,"",SUM(S217:AC217))</f>
        <v>85.5</v>
      </c>
      <c r="AE217" s="7" t="n">
        <f aca="false">IF(COUNTIF($F$2:F217,F217)=1,IFERROR(AVERAGEIF($F:$F,F217,$AD:$AD),""),"")</f>
        <v>85.5</v>
      </c>
      <c r="AF217" s="8" t="str">
        <f aca="false">IF(AH217&lt;&gt;"",AH217,IF(AE217="","",IF(AE217&gt;=80,"Excellent",IF(AE217&gt;=70,"Very Good",IF(AE217&gt;=60,"Good",IF(AE217&gt;=50,"Average","Poor"))))))</f>
        <v>Excellent</v>
      </c>
      <c r="AG217" s="5"/>
      <c r="AH217" s="4"/>
      <c r="AI217" s="4" t="s">
        <v>82</v>
      </c>
      <c r="AJ217" s="4" t="s">
        <v>82</v>
      </c>
      <c r="AK217" s="4" t="s">
        <v>62</v>
      </c>
      <c r="AL217" s="4" t="s">
        <v>63</v>
      </c>
      <c r="AM217" s="4" t="s">
        <v>62</v>
      </c>
      <c r="AN217" s="4" t="s">
        <v>64</v>
      </c>
      <c r="AO217" s="4" t="s">
        <v>62</v>
      </c>
      <c r="AP217" s="4" t="s">
        <v>62</v>
      </c>
      <c r="AQ217" s="4" t="s">
        <v>62</v>
      </c>
      <c r="AR217" s="4" t="s">
        <v>62</v>
      </c>
      <c r="AS217" s="4" t="s">
        <v>185</v>
      </c>
      <c r="AT217" s="4" t="n">
        <v>7</v>
      </c>
      <c r="AU217" s="4" t="s">
        <v>66</v>
      </c>
      <c r="AV217" s="4" t="s">
        <v>350</v>
      </c>
      <c r="AW217" s="4" t="s">
        <v>743</v>
      </c>
      <c r="AX217" s="4" t="s">
        <v>744</v>
      </c>
      <c r="AY217" s="4" t="n">
        <v>12</v>
      </c>
      <c r="AZ217" s="4" t="s">
        <v>62</v>
      </c>
      <c r="BA217" s="4" t="s">
        <v>745</v>
      </c>
      <c r="BB217" s="4" t="s">
        <v>657</v>
      </c>
      <c r="BC217" s="6" t="n">
        <v>0.275</v>
      </c>
      <c r="BD217" s="4" t="n">
        <v>92</v>
      </c>
    </row>
    <row r="218" customFormat="false" ht="313.4" hidden="false" customHeight="false" outlineLevel="0" collapsed="false">
      <c r="A218" s="4"/>
      <c r="B218" s="4" t="s">
        <v>56</v>
      </c>
      <c r="C218" s="4" t="s">
        <v>57</v>
      </c>
      <c r="D218" s="4" t="s">
        <v>651</v>
      </c>
      <c r="E218" s="4" t="s">
        <v>696</v>
      </c>
      <c r="F218" s="4" t="n">
        <v>4992</v>
      </c>
      <c r="G218" s="5" t="s">
        <v>742</v>
      </c>
      <c r="H218" s="5" t="s">
        <v>746</v>
      </c>
      <c r="I218" s="4"/>
      <c r="J218" s="4"/>
      <c r="K218" s="4"/>
      <c r="L218" s="4" t="n">
        <v>60</v>
      </c>
      <c r="M218" s="4" t="n">
        <v>60</v>
      </c>
      <c r="N218" s="4" t="n">
        <v>0</v>
      </c>
      <c r="O218" s="4" t="n">
        <v>57</v>
      </c>
      <c r="P218" s="4" t="n">
        <v>3</v>
      </c>
      <c r="Q218" s="4" t="n">
        <v>16</v>
      </c>
      <c r="R218" s="6" t="n">
        <f aca="false">IF(N(L218)=0,0,O218/L218)</f>
        <v>0.95</v>
      </c>
      <c r="S218" s="4" t="n">
        <f aca="false">IF(R218="","",IF(R218&gt;=0.8,50,IF(R218&gt;=0.5,30,IF(R218&gt;=0.01,10,0))))</f>
        <v>50</v>
      </c>
      <c r="T218" s="4" t="n">
        <f aca="false">IF(TRIM(AI218)="Yes",2.5,0)</f>
        <v>0</v>
      </c>
      <c r="U218" s="4" t="n">
        <f aca="false">IF(TRIM(AJ218)="Yes",10,0)</f>
        <v>0</v>
      </c>
      <c r="V218" s="4" t="n">
        <f aca="false">IF(TRIM(AK218)="Yes",5,0)</f>
        <v>5</v>
      </c>
      <c r="W218" s="4" t="n">
        <f aca="false">IF(TRIM(AM218)="Yes",5,0)</f>
        <v>5</v>
      </c>
      <c r="X218" s="4" t="n">
        <f aca="false">IF(OR(TRIM(AN218)="Fully Available",TRIM(AN218)="Not Applicable"),5,IF(TRIM(AN218)="Partially Available",2.5,0))</f>
        <v>5</v>
      </c>
      <c r="Y218" s="4" t="n">
        <f aca="false">IF(TRIM(AO218)="Yes",5,0)</f>
        <v>5</v>
      </c>
      <c r="Z218" s="4" t="n">
        <f aca="false">IF(TRIM(AP218)="Yes",2.5,0)</f>
        <v>2.5</v>
      </c>
      <c r="AA218" s="4" t="n">
        <f aca="false">IF(TRIM(AQ218)="Yes",5,0)</f>
        <v>5</v>
      </c>
      <c r="AB218" s="4" t="n">
        <f aca="false">IF(OR(TRIM(AR218)="Yes",TRIM(AR218)="Not Applicable"),5,0)</f>
        <v>5</v>
      </c>
      <c r="AC218" s="4" t="n">
        <f aca="false">IF(TRIM(AS218)="Excellent",5,IF(TRIM(AS218)="Very Good",4,IF(TRIM(AS218)="Good",3,IF(TRIM(AS218)="Average",2,0))))</f>
        <v>3</v>
      </c>
      <c r="AD218" s="7" t="n">
        <f aca="false">IF(COUNT(S218:AC218)=0,"",SUM(S218:AC218))</f>
        <v>85.5</v>
      </c>
      <c r="AE218" s="7"/>
      <c r="AF218" s="8"/>
      <c r="AG218" s="5"/>
      <c r="AH218" s="4"/>
      <c r="AI218" s="4" t="s">
        <v>82</v>
      </c>
      <c r="AJ218" s="4" t="s">
        <v>82</v>
      </c>
      <c r="AK218" s="4" t="s">
        <v>62</v>
      </c>
      <c r="AL218" s="4" t="s">
        <v>63</v>
      </c>
      <c r="AM218" s="4" t="s">
        <v>62</v>
      </c>
      <c r="AN218" s="4" t="s">
        <v>64</v>
      </c>
      <c r="AO218" s="4" t="s">
        <v>62</v>
      </c>
      <c r="AP218" s="4" t="s">
        <v>62</v>
      </c>
      <c r="AQ218" s="4" t="s">
        <v>62</v>
      </c>
      <c r="AR218" s="4" t="s">
        <v>62</v>
      </c>
      <c r="AS218" s="4" t="s">
        <v>185</v>
      </c>
      <c r="AT218" s="4" t="n">
        <v>8</v>
      </c>
      <c r="AU218" s="4" t="s">
        <v>66</v>
      </c>
      <c r="AV218" s="4" t="s">
        <v>350</v>
      </c>
      <c r="AW218" s="4" t="s">
        <v>747</v>
      </c>
      <c r="AX218" s="4" t="s">
        <v>748</v>
      </c>
      <c r="AY218" s="4" t="n">
        <v>4</v>
      </c>
      <c r="AZ218" s="4" t="s">
        <v>62</v>
      </c>
      <c r="BA218" s="4" t="s">
        <v>745</v>
      </c>
      <c r="BB218" s="4" t="s">
        <v>657</v>
      </c>
      <c r="BC218" s="6" t="n">
        <v>0.2807</v>
      </c>
      <c r="BD218" s="4" t="n">
        <v>92</v>
      </c>
    </row>
    <row r="219" customFormat="false" ht="355.95" hidden="false" customHeight="false" outlineLevel="0" collapsed="false">
      <c r="A219" s="4" t="n">
        <v>98</v>
      </c>
      <c r="B219" s="4" t="s">
        <v>56</v>
      </c>
      <c r="C219" s="4" t="s">
        <v>57</v>
      </c>
      <c r="D219" s="4" t="s">
        <v>651</v>
      </c>
      <c r="E219" s="4" t="s">
        <v>749</v>
      </c>
      <c r="F219" s="4" t="n">
        <v>1588</v>
      </c>
      <c r="G219" s="5" t="s">
        <v>750</v>
      </c>
      <c r="H219" s="5"/>
      <c r="I219" s="4"/>
      <c r="J219" s="4"/>
      <c r="K219" s="4"/>
      <c r="L219" s="4" t="n">
        <v>0</v>
      </c>
      <c r="M219" s="4" t="n">
        <v>0</v>
      </c>
      <c r="N219" s="4" t="n">
        <v>0</v>
      </c>
      <c r="O219" s="4" t="n">
        <v>0</v>
      </c>
      <c r="P219" s="4" t="n">
        <v>0</v>
      </c>
      <c r="Q219" s="4" t="n">
        <v>0</v>
      </c>
      <c r="R219" s="6" t="n">
        <f aca="false">IF(N(L219)=0,0,O219/L219)</f>
        <v>0</v>
      </c>
      <c r="S219" s="4" t="n">
        <f aca="false">IF(R219="","",IF(R219&gt;=0.8,50,IF(R219&gt;=0.5,30,IF(R219&gt;=0.01,10,0))))</f>
        <v>0</v>
      </c>
      <c r="T219" s="4" t="n">
        <f aca="false">IF(TRIM(AI219)="Yes",2.5,0)</f>
        <v>0</v>
      </c>
      <c r="U219" s="4" t="n">
        <f aca="false">IF(TRIM(AJ219)="Yes",10,0)</f>
        <v>0</v>
      </c>
      <c r="V219" s="4" t="n">
        <f aca="false">IF(TRIM(AK219)="Yes",5,0)</f>
        <v>0</v>
      </c>
      <c r="W219" s="4" t="n">
        <f aca="false">IF(TRIM(AM219)="Yes",5,0)</f>
        <v>0</v>
      </c>
      <c r="X219" s="4" t="n">
        <f aca="false">IF(OR(TRIM(AN219)="Fully Available",TRIM(AN219)="Not Applicable"),5,IF(TRIM(AN219)="Partially Available",2.5,0))</f>
        <v>0</v>
      </c>
      <c r="Y219" s="4" t="n">
        <f aca="false">IF(TRIM(AO219)="Yes",5,0)</f>
        <v>0</v>
      </c>
      <c r="Z219" s="4" t="n">
        <f aca="false">IF(TRIM(AP219)="Yes",2.5,0)</f>
        <v>0</v>
      </c>
      <c r="AA219" s="4" t="n">
        <f aca="false">IF(TRIM(AQ219)="Yes",5,0)</f>
        <v>0</v>
      </c>
      <c r="AB219" s="4" t="n">
        <f aca="false">IF(OR(TRIM(AR219)="Yes",TRIM(AR219)="Not Applicable"),5,0)</f>
        <v>0</v>
      </c>
      <c r="AC219" s="4" t="n">
        <f aca="false">IF(TRIM(AS219)="Excellent",5,IF(TRIM(AS219)="Very Good",4,IF(TRIM(AS219)="Good",3,IF(TRIM(AS219)="Average",2,0))))</f>
        <v>0</v>
      </c>
      <c r="AD219" s="7" t="n">
        <f aca="false">IF(COUNT(S219:AC219)=0,"",SUM(S219:AC219))</f>
        <v>0</v>
      </c>
      <c r="AE219" s="7" t="n">
        <f aca="false">IF(COUNTIF($F$2:F219,F219)=1,IFERROR(AVERAGEIF($F:$F,F219,$AD:$AD),""),"")</f>
        <v>0</v>
      </c>
      <c r="AF219" s="8" t="str">
        <f aca="false">IF(AH219&lt;&gt;"",AH219,IF(AE219="","",IF(AE219&gt;=80,"Excellent",IF(AE219&gt;=70,"Very Good",IF(AE219&gt;=60,"Good",IF(AE219&gt;=50,"Average","Poor"))))))</f>
        <v>Poor</v>
      </c>
      <c r="AG219" s="5" t="s">
        <v>751</v>
      </c>
      <c r="AH219" s="4" t="s">
        <v>203</v>
      </c>
      <c r="AI219" s="4"/>
      <c r="AJ219" s="4"/>
      <c r="AK219" s="4"/>
      <c r="AL219" s="4"/>
      <c r="AM219" s="4"/>
      <c r="AN219" s="4"/>
      <c r="AO219" s="4"/>
      <c r="AP219" s="4"/>
      <c r="AQ219" s="4"/>
      <c r="AR219" s="4"/>
      <c r="AS219" s="4" t="s">
        <v>203</v>
      </c>
      <c r="AT219" s="4"/>
      <c r="AU219" s="4"/>
      <c r="AV219" s="4" t="s">
        <v>752</v>
      </c>
      <c r="AW219" s="4"/>
      <c r="AX219" s="4"/>
      <c r="AY219" s="4"/>
      <c r="AZ219" s="4" t="s">
        <v>82</v>
      </c>
      <c r="BA219" s="4" t="s">
        <v>751</v>
      </c>
      <c r="BB219" s="4" t="s">
        <v>657</v>
      </c>
      <c r="BC219" s="6"/>
      <c r="BD219" s="4" t="n">
        <v>0</v>
      </c>
    </row>
    <row r="220" customFormat="false" ht="72.35" hidden="false" customHeight="false" outlineLevel="0" collapsed="false">
      <c r="A220" s="4" t="n">
        <v>99</v>
      </c>
      <c r="B220" s="4" t="s">
        <v>753</v>
      </c>
      <c r="C220" s="4" t="s">
        <v>57</v>
      </c>
      <c r="D220" s="4" t="s">
        <v>754</v>
      </c>
      <c r="E220" s="4" t="s">
        <v>755</v>
      </c>
      <c r="F220" s="4" t="n">
        <v>2636</v>
      </c>
      <c r="G220" s="5" t="s">
        <v>756</v>
      </c>
      <c r="H220" s="5" t="s">
        <v>108</v>
      </c>
      <c r="I220" s="4"/>
      <c r="J220" s="4"/>
      <c r="K220" s="4"/>
      <c r="L220" s="4" t="n">
        <v>20</v>
      </c>
      <c r="M220" s="4" t="n">
        <v>20</v>
      </c>
      <c r="N220" s="4" t="n">
        <v>0</v>
      </c>
      <c r="O220" s="4" t="n">
        <v>16</v>
      </c>
      <c r="P220" s="4" t="n">
        <v>4</v>
      </c>
      <c r="Q220" s="4" t="n">
        <v>5</v>
      </c>
      <c r="R220" s="6" t="n">
        <f aca="false">IF(N(L220)=0,0,O220/L220)</f>
        <v>0.8</v>
      </c>
      <c r="S220" s="4" t="n">
        <f aca="false">IF(R220="","",IF(R220&gt;=0.8,50,IF(R220&gt;=0.5,30,IF(R220&gt;=0.01,10,0))))</f>
        <v>50</v>
      </c>
      <c r="T220" s="4" t="n">
        <f aca="false">IF(TRIM(AI220)="Yes",2.5,0)</f>
        <v>2.5</v>
      </c>
      <c r="U220" s="4" t="n">
        <f aca="false">IF(TRIM(AJ220)="Yes",10,0)</f>
        <v>10</v>
      </c>
      <c r="V220" s="4" t="n">
        <f aca="false">IF(TRIM(AK220)="Yes",5,0)</f>
        <v>5</v>
      </c>
      <c r="W220" s="4" t="n">
        <f aca="false">IF(TRIM(AM220)="Yes",5,0)</f>
        <v>5</v>
      </c>
      <c r="X220" s="4" t="n">
        <f aca="false">IF(OR(TRIM(AN220)="Fully Available",TRIM(AN220)="Not Applicable"),5,IF(TRIM(AN220)="Partially Available",2.5,0))</f>
        <v>5</v>
      </c>
      <c r="Y220" s="4" t="n">
        <f aca="false">IF(TRIM(AO220)="Yes",5,0)</f>
        <v>5</v>
      </c>
      <c r="Z220" s="4" t="n">
        <f aca="false">IF(TRIM(AP220)="Yes",2.5,0)</f>
        <v>2.5</v>
      </c>
      <c r="AA220" s="4" t="n">
        <f aca="false">IF(TRIM(AQ220)="Yes",5,0)</f>
        <v>5</v>
      </c>
      <c r="AB220" s="4" t="n">
        <f aca="false">IF(OR(TRIM(AR220)="Yes",TRIM(AR220)="Not Applicable"),5,0)</f>
        <v>5</v>
      </c>
      <c r="AC220" s="4" t="n">
        <f aca="false">IF(TRIM(AS220)="Excellent",5,IF(TRIM(AS220)="Very Good",4,IF(TRIM(AS220)="Good",3,IF(TRIM(AS220)="Average",2,0))))</f>
        <v>3</v>
      </c>
      <c r="AD220" s="7" t="n">
        <f aca="false">IF(COUNT(S220:AC220)=0,"",SUM(S220:AC220))</f>
        <v>98</v>
      </c>
      <c r="AE220" s="7" t="n">
        <f aca="false">IF(COUNTIF($F$2:F220,F220)=1,IFERROR(AVERAGEIF($F:$F,F220,$AD:$AD),""),"")</f>
        <v>98</v>
      </c>
      <c r="AF220" s="8" t="str">
        <f aca="false">IF(AH220&lt;&gt;"",AH220,IF(AE220="","",IF(AE220&gt;=80,"Excellent",IF(AE220&gt;=70,"Very Good",IF(AE220&gt;=60,"Good",IF(AE220&gt;=50,"Average","Poor"))))))</f>
        <v>Excellent</v>
      </c>
      <c r="AG220" s="5"/>
      <c r="AH220" s="4"/>
      <c r="AI220" s="4" t="s">
        <v>62</v>
      </c>
      <c r="AJ220" s="4" t="s">
        <v>62</v>
      </c>
      <c r="AK220" s="4" t="s">
        <v>62</v>
      </c>
      <c r="AL220" s="4" t="s">
        <v>63</v>
      </c>
      <c r="AM220" s="4" t="s">
        <v>62</v>
      </c>
      <c r="AN220" s="4" t="s">
        <v>64</v>
      </c>
      <c r="AO220" s="4" t="s">
        <v>62</v>
      </c>
      <c r="AP220" s="4" t="s">
        <v>62</v>
      </c>
      <c r="AQ220" s="4" t="s">
        <v>62</v>
      </c>
      <c r="AR220" s="4" t="s">
        <v>62</v>
      </c>
      <c r="AS220" s="4" t="s">
        <v>185</v>
      </c>
      <c r="AT220" s="4" t="n">
        <v>8</v>
      </c>
      <c r="AU220" s="4" t="s">
        <v>66</v>
      </c>
      <c r="AV220" s="4" t="s">
        <v>244</v>
      </c>
      <c r="AW220" s="4" t="s">
        <v>757</v>
      </c>
      <c r="AX220" s="4" t="s">
        <v>758</v>
      </c>
      <c r="AY220" s="4" t="n">
        <v>4</v>
      </c>
      <c r="AZ220" s="4" t="s">
        <v>62</v>
      </c>
      <c r="BA220" s="4" t="s">
        <v>759</v>
      </c>
      <c r="BB220" s="4" t="s">
        <v>760</v>
      </c>
      <c r="BC220" s="6" t="n">
        <v>0.3125</v>
      </c>
      <c r="BD220" s="4" t="n">
        <v>95</v>
      </c>
    </row>
    <row r="221" customFormat="false" ht="72.35" hidden="false" customHeight="false" outlineLevel="0" collapsed="false">
      <c r="A221" s="4"/>
      <c r="B221" s="4" t="s">
        <v>753</v>
      </c>
      <c r="C221" s="4" t="s">
        <v>57</v>
      </c>
      <c r="D221" s="4" t="s">
        <v>754</v>
      </c>
      <c r="E221" s="4" t="s">
        <v>755</v>
      </c>
      <c r="F221" s="4" t="n">
        <v>2636</v>
      </c>
      <c r="G221" s="5" t="s">
        <v>756</v>
      </c>
      <c r="H221" s="5" t="s">
        <v>761</v>
      </c>
      <c r="I221" s="4"/>
      <c r="J221" s="4"/>
      <c r="K221" s="4"/>
      <c r="L221" s="4" t="n">
        <v>20</v>
      </c>
      <c r="M221" s="4" t="n">
        <v>20</v>
      </c>
      <c r="N221" s="4" t="n">
        <v>0</v>
      </c>
      <c r="O221" s="4" t="n">
        <v>17</v>
      </c>
      <c r="P221" s="4" t="n">
        <v>3</v>
      </c>
      <c r="Q221" s="4" t="n">
        <v>7</v>
      </c>
      <c r="R221" s="6" t="n">
        <f aca="false">IF(N(L221)=0,0,O221/L221)</f>
        <v>0.85</v>
      </c>
      <c r="S221" s="4" t="n">
        <f aca="false">IF(R221="","",IF(R221&gt;=0.8,50,IF(R221&gt;=0.5,30,IF(R221&gt;=0.01,10,0))))</f>
        <v>50</v>
      </c>
      <c r="T221" s="4" t="n">
        <f aca="false">IF(TRIM(AI221)="Yes",2.5,0)</f>
        <v>2.5</v>
      </c>
      <c r="U221" s="4" t="n">
        <f aca="false">IF(TRIM(AJ221)="Yes",10,0)</f>
        <v>10</v>
      </c>
      <c r="V221" s="4" t="n">
        <f aca="false">IF(TRIM(AK221)="Yes",5,0)</f>
        <v>5</v>
      </c>
      <c r="W221" s="4" t="n">
        <f aca="false">IF(TRIM(AM221)="Yes",5,0)</f>
        <v>5</v>
      </c>
      <c r="X221" s="4" t="n">
        <f aca="false">IF(OR(TRIM(AN221)="Fully Available",TRIM(AN221)="Not Applicable"),5,IF(TRIM(AN221)="Partially Available",2.5,0))</f>
        <v>5</v>
      </c>
      <c r="Y221" s="4" t="n">
        <f aca="false">IF(TRIM(AO221)="Yes",5,0)</f>
        <v>5</v>
      </c>
      <c r="Z221" s="4" t="n">
        <f aca="false">IF(TRIM(AP221)="Yes",2.5,0)</f>
        <v>2.5</v>
      </c>
      <c r="AA221" s="4" t="n">
        <f aca="false">IF(TRIM(AQ221)="Yes",5,0)</f>
        <v>5</v>
      </c>
      <c r="AB221" s="4" t="n">
        <f aca="false">IF(OR(TRIM(AR221)="Yes",TRIM(AR221)="Not Applicable"),5,0)</f>
        <v>5</v>
      </c>
      <c r="AC221" s="4" t="n">
        <f aca="false">IF(TRIM(AS221)="Excellent",5,IF(TRIM(AS221)="Very Good",4,IF(TRIM(AS221)="Good",3,IF(TRIM(AS221)="Average",2,0))))</f>
        <v>3</v>
      </c>
      <c r="AD221" s="7" t="n">
        <f aca="false">IF(COUNT(S221:AC221)=0,"",SUM(S221:AC221))</f>
        <v>98</v>
      </c>
      <c r="AE221" s="7"/>
      <c r="AF221" s="8"/>
      <c r="AG221" s="5"/>
      <c r="AH221" s="4"/>
      <c r="AI221" s="4" t="s">
        <v>62</v>
      </c>
      <c r="AJ221" s="4" t="s">
        <v>62</v>
      </c>
      <c r="AK221" s="4" t="s">
        <v>62</v>
      </c>
      <c r="AL221" s="4" t="s">
        <v>63</v>
      </c>
      <c r="AM221" s="4" t="s">
        <v>62</v>
      </c>
      <c r="AN221" s="4" t="s">
        <v>64</v>
      </c>
      <c r="AO221" s="4" t="s">
        <v>62</v>
      </c>
      <c r="AP221" s="4" t="s">
        <v>62</v>
      </c>
      <c r="AQ221" s="4" t="s">
        <v>62</v>
      </c>
      <c r="AR221" s="4" t="s">
        <v>62</v>
      </c>
      <c r="AS221" s="4" t="s">
        <v>185</v>
      </c>
      <c r="AT221" s="4" t="n">
        <v>8</v>
      </c>
      <c r="AU221" s="4" t="s">
        <v>112</v>
      </c>
      <c r="AV221" s="4" t="s">
        <v>244</v>
      </c>
      <c r="AW221" s="4" t="s">
        <v>762</v>
      </c>
      <c r="AX221" s="4" t="s">
        <v>763</v>
      </c>
      <c r="AY221" s="4" t="n">
        <v>15</v>
      </c>
      <c r="AZ221" s="4" t="s">
        <v>62</v>
      </c>
      <c r="BA221" s="4" t="s">
        <v>759</v>
      </c>
      <c r="BB221" s="4" t="s">
        <v>760</v>
      </c>
      <c r="BC221" s="6" t="n">
        <v>0.4118</v>
      </c>
      <c r="BD221" s="4" t="n">
        <v>95</v>
      </c>
    </row>
    <row r="222" customFormat="false" ht="157.45" hidden="false" customHeight="false" outlineLevel="0" collapsed="false">
      <c r="A222" s="4" t="n">
        <v>100</v>
      </c>
      <c r="B222" s="4" t="s">
        <v>753</v>
      </c>
      <c r="C222" s="4" t="s">
        <v>57</v>
      </c>
      <c r="D222" s="4" t="s">
        <v>754</v>
      </c>
      <c r="E222" s="4" t="s">
        <v>755</v>
      </c>
      <c r="F222" s="4" t="n">
        <v>420</v>
      </c>
      <c r="G222" s="5" t="s">
        <v>764</v>
      </c>
      <c r="H222" s="5" t="s">
        <v>404</v>
      </c>
      <c r="I222" s="4"/>
      <c r="J222" s="4"/>
      <c r="K222" s="4"/>
      <c r="L222" s="4" t="n">
        <v>20</v>
      </c>
      <c r="M222" s="4" t="n">
        <v>20</v>
      </c>
      <c r="N222" s="4" t="n">
        <v>0</v>
      </c>
      <c r="O222" s="4" t="n">
        <v>17</v>
      </c>
      <c r="P222" s="4" t="n">
        <v>3</v>
      </c>
      <c r="Q222" s="4" t="n">
        <v>5</v>
      </c>
      <c r="R222" s="6" t="n">
        <f aca="false">IF(N(L222)=0,0,O222/L222)</f>
        <v>0.85</v>
      </c>
      <c r="S222" s="4" t="n">
        <f aca="false">IF(R222="","",IF(R222&gt;=0.8,50,IF(R222&gt;=0.5,30,IF(R222&gt;=0.01,10,0))))</f>
        <v>50</v>
      </c>
      <c r="T222" s="4" t="n">
        <f aca="false">IF(TRIM(AI222)="Yes",2.5,0)</f>
        <v>2.5</v>
      </c>
      <c r="U222" s="4" t="n">
        <f aca="false">IF(TRIM(AJ222)="Yes",10,0)</f>
        <v>10</v>
      </c>
      <c r="V222" s="4" t="n">
        <f aca="false">IF(TRIM(AK222)="Yes",5,0)</f>
        <v>5</v>
      </c>
      <c r="W222" s="4" t="n">
        <f aca="false">IF(TRIM(AM222)="Yes",5,0)</f>
        <v>5</v>
      </c>
      <c r="X222" s="4" t="n">
        <f aca="false">IF(OR(TRIM(AN222)="Fully Available",TRIM(AN222)="Not Applicable"),5,IF(TRIM(AN222)="Partially Available",2.5,0))</f>
        <v>5</v>
      </c>
      <c r="Y222" s="4" t="n">
        <f aca="false">IF(TRIM(AO222)="Yes",5,0)</f>
        <v>5</v>
      </c>
      <c r="Z222" s="4" t="n">
        <f aca="false">IF(TRIM(AP222)="Yes",2.5,0)</f>
        <v>2.5</v>
      </c>
      <c r="AA222" s="4" t="n">
        <f aca="false">IF(TRIM(AQ222)="Yes",5,0)</f>
        <v>5</v>
      </c>
      <c r="AB222" s="4" t="n">
        <f aca="false">IF(OR(TRIM(AR222)="Yes",TRIM(AR222)="Not Applicable"),5,0)</f>
        <v>5</v>
      </c>
      <c r="AC222" s="4" t="n">
        <f aca="false">IF(TRIM(AS222)="Excellent",5,IF(TRIM(AS222)="Very Good",4,IF(TRIM(AS222)="Good",3,IF(TRIM(AS222)="Average",2,0))))</f>
        <v>5</v>
      </c>
      <c r="AD222" s="7" t="n">
        <f aca="false">IF(COUNT(S222:AC222)=0,"",SUM(S222:AC222))</f>
        <v>100</v>
      </c>
      <c r="AE222" s="7" t="n">
        <f aca="false">IF(COUNTIF($F$2:F222,F222)=1,IFERROR(AVERAGEIF($F:$F,F222,$AD:$AD),""),"")</f>
        <v>100</v>
      </c>
      <c r="AF222" s="8" t="str">
        <f aca="false">IF(AH222&lt;&gt;"",AH222,IF(AE222="","",IF(AE222&gt;=80,"Excellent",IF(AE222&gt;=70,"Very Good",IF(AE222&gt;=60,"Good",IF(AE222&gt;=50,"Average","Poor"))))))</f>
        <v>Excellent</v>
      </c>
      <c r="AG222" s="5"/>
      <c r="AH222" s="4"/>
      <c r="AI222" s="4" t="s">
        <v>62</v>
      </c>
      <c r="AJ222" s="4" t="s">
        <v>62</v>
      </c>
      <c r="AK222" s="4" t="s">
        <v>62</v>
      </c>
      <c r="AL222" s="4" t="s">
        <v>63</v>
      </c>
      <c r="AM222" s="4" t="s">
        <v>62</v>
      </c>
      <c r="AN222" s="4" t="s">
        <v>64</v>
      </c>
      <c r="AO222" s="4" t="s">
        <v>62</v>
      </c>
      <c r="AP222" s="4" t="s">
        <v>62</v>
      </c>
      <c r="AQ222" s="4" t="s">
        <v>62</v>
      </c>
      <c r="AR222" s="4" t="s">
        <v>62</v>
      </c>
      <c r="AS222" s="4" t="s">
        <v>65</v>
      </c>
      <c r="AT222" s="4" t="n">
        <v>6</v>
      </c>
      <c r="AU222" s="4" t="s">
        <v>66</v>
      </c>
      <c r="AV222" s="4" t="s">
        <v>128</v>
      </c>
      <c r="AW222" s="4" t="s">
        <v>765</v>
      </c>
      <c r="AX222" s="4" t="s">
        <v>766</v>
      </c>
      <c r="AY222" s="4" t="n">
        <v>7</v>
      </c>
      <c r="AZ222" s="4" t="s">
        <v>62</v>
      </c>
      <c r="BA222" s="4" t="s">
        <v>767</v>
      </c>
      <c r="BB222" s="4" t="s">
        <v>760</v>
      </c>
      <c r="BC222" s="6" t="n">
        <v>0.2941</v>
      </c>
      <c r="BD222" s="4" t="n">
        <v>96</v>
      </c>
    </row>
    <row r="223" customFormat="false" ht="157.45" hidden="false" customHeight="false" outlineLevel="0" collapsed="false">
      <c r="A223" s="4"/>
      <c r="B223" s="4" t="s">
        <v>753</v>
      </c>
      <c r="C223" s="4" t="s">
        <v>57</v>
      </c>
      <c r="D223" s="4" t="s">
        <v>754</v>
      </c>
      <c r="E223" s="4" t="s">
        <v>755</v>
      </c>
      <c r="F223" s="4" t="n">
        <v>420</v>
      </c>
      <c r="G223" s="5" t="s">
        <v>764</v>
      </c>
      <c r="H223" s="5" t="s">
        <v>100</v>
      </c>
      <c r="I223" s="4"/>
      <c r="J223" s="4"/>
      <c r="K223" s="4"/>
      <c r="L223" s="4" t="n">
        <v>20</v>
      </c>
      <c r="M223" s="4" t="n">
        <v>20</v>
      </c>
      <c r="N223" s="4" t="n">
        <v>0</v>
      </c>
      <c r="O223" s="4" t="n">
        <v>17</v>
      </c>
      <c r="P223" s="4" t="n">
        <v>3</v>
      </c>
      <c r="Q223" s="4" t="n">
        <v>5</v>
      </c>
      <c r="R223" s="6" t="n">
        <f aca="false">IF(N(L223)=0,0,O223/L223)</f>
        <v>0.85</v>
      </c>
      <c r="S223" s="4" t="n">
        <f aca="false">IF(R223="","",IF(R223&gt;=0.8,50,IF(R223&gt;=0.5,30,IF(R223&gt;=0.01,10,0))))</f>
        <v>50</v>
      </c>
      <c r="T223" s="4" t="n">
        <f aca="false">IF(TRIM(AI223)="Yes",2.5,0)</f>
        <v>2.5</v>
      </c>
      <c r="U223" s="4" t="n">
        <f aca="false">IF(TRIM(AJ223)="Yes",10,0)</f>
        <v>10</v>
      </c>
      <c r="V223" s="4" t="n">
        <f aca="false">IF(TRIM(AK223)="Yes",5,0)</f>
        <v>5</v>
      </c>
      <c r="W223" s="4" t="n">
        <f aca="false">IF(TRIM(AM223)="Yes",5,0)</f>
        <v>5</v>
      </c>
      <c r="X223" s="4" t="n">
        <f aca="false">IF(OR(TRIM(AN223)="Fully Available",TRIM(AN223)="Not Applicable"),5,IF(TRIM(AN223)="Partially Available",2.5,0))</f>
        <v>5</v>
      </c>
      <c r="Y223" s="4" t="n">
        <f aca="false">IF(TRIM(AO223)="Yes",5,0)</f>
        <v>5</v>
      </c>
      <c r="Z223" s="4" t="n">
        <f aca="false">IF(TRIM(AP223)="Yes",2.5,0)</f>
        <v>2.5</v>
      </c>
      <c r="AA223" s="4" t="n">
        <f aca="false">IF(TRIM(AQ223)="Yes",5,0)</f>
        <v>5</v>
      </c>
      <c r="AB223" s="4" t="n">
        <f aca="false">IF(OR(TRIM(AR223)="Yes",TRIM(AR223)="Not Applicable"),5,0)</f>
        <v>5</v>
      </c>
      <c r="AC223" s="4" t="n">
        <f aca="false">IF(TRIM(AS223)="Excellent",5,IF(TRIM(AS223)="Very Good",4,IF(TRIM(AS223)="Good",3,IF(TRIM(AS223)="Average",2,0))))</f>
        <v>5</v>
      </c>
      <c r="AD223" s="7" t="n">
        <f aca="false">IF(COUNT(S223:AC223)=0,"",SUM(S223:AC223))</f>
        <v>100</v>
      </c>
      <c r="AE223" s="7"/>
      <c r="AF223" s="8"/>
      <c r="AG223" s="5"/>
      <c r="AH223" s="4"/>
      <c r="AI223" s="4" t="s">
        <v>62</v>
      </c>
      <c r="AJ223" s="4" t="s">
        <v>62</v>
      </c>
      <c r="AK223" s="4" t="s">
        <v>62</v>
      </c>
      <c r="AL223" s="4" t="s">
        <v>63</v>
      </c>
      <c r="AM223" s="4" t="s">
        <v>62</v>
      </c>
      <c r="AN223" s="4" t="s">
        <v>64</v>
      </c>
      <c r="AO223" s="4" t="s">
        <v>62</v>
      </c>
      <c r="AP223" s="4" t="s">
        <v>62</v>
      </c>
      <c r="AQ223" s="4" t="s">
        <v>62</v>
      </c>
      <c r="AR223" s="4" t="s">
        <v>62</v>
      </c>
      <c r="AS223" s="4" t="s">
        <v>65</v>
      </c>
      <c r="AT223" s="4" t="n">
        <v>2</v>
      </c>
      <c r="AU223" s="4" t="s">
        <v>66</v>
      </c>
      <c r="AV223" s="4" t="s">
        <v>128</v>
      </c>
      <c r="AW223" s="4" t="s">
        <v>768</v>
      </c>
      <c r="AX223" s="4" t="s">
        <v>769</v>
      </c>
      <c r="AY223" s="4" t="n">
        <v>8</v>
      </c>
      <c r="AZ223" s="4" t="s">
        <v>62</v>
      </c>
      <c r="BA223" s="4" t="s">
        <v>767</v>
      </c>
      <c r="BB223" s="4" t="s">
        <v>760</v>
      </c>
      <c r="BC223" s="6" t="n">
        <v>0.2941</v>
      </c>
      <c r="BD223" s="4" t="n">
        <v>96</v>
      </c>
    </row>
    <row r="224" customFormat="false" ht="58.2" hidden="false" customHeight="false" outlineLevel="0" collapsed="false">
      <c r="A224" s="4" t="n">
        <v>101</v>
      </c>
      <c r="B224" s="4" t="s">
        <v>753</v>
      </c>
      <c r="C224" s="4" t="s">
        <v>57</v>
      </c>
      <c r="D224" s="4" t="s">
        <v>754</v>
      </c>
      <c r="E224" s="4" t="s">
        <v>770</v>
      </c>
      <c r="F224" s="4" t="n">
        <v>531</v>
      </c>
      <c r="G224" s="5" t="s">
        <v>771</v>
      </c>
      <c r="H224" s="5" t="s">
        <v>238</v>
      </c>
      <c r="I224" s="4"/>
      <c r="J224" s="4"/>
      <c r="K224" s="4"/>
      <c r="L224" s="4" t="n">
        <v>20</v>
      </c>
      <c r="M224" s="4" t="n">
        <v>20</v>
      </c>
      <c r="N224" s="4" t="n">
        <v>0</v>
      </c>
      <c r="O224" s="4" t="n">
        <v>19</v>
      </c>
      <c r="P224" s="4" t="n">
        <v>1</v>
      </c>
      <c r="Q224" s="4" t="n">
        <v>5</v>
      </c>
      <c r="R224" s="6" t="n">
        <f aca="false">IF(N(L224)=0,0,O224/L224)</f>
        <v>0.95</v>
      </c>
      <c r="S224" s="4" t="n">
        <f aca="false">IF(R224="","",IF(R224&gt;=0.8,50,IF(R224&gt;=0.5,30,IF(R224&gt;=0.01,10,0))))</f>
        <v>50</v>
      </c>
      <c r="T224" s="4" t="n">
        <f aca="false">IF(TRIM(AI224)="Yes",2.5,0)</f>
        <v>2.5</v>
      </c>
      <c r="U224" s="4" t="n">
        <f aca="false">IF(TRIM(AJ224)="Yes",10,0)</f>
        <v>10</v>
      </c>
      <c r="V224" s="4" t="n">
        <f aca="false">IF(TRIM(AK224)="Yes",5,0)</f>
        <v>5</v>
      </c>
      <c r="W224" s="4" t="n">
        <f aca="false">IF(TRIM(AM224)="Yes",5,0)</f>
        <v>5</v>
      </c>
      <c r="X224" s="4" t="n">
        <f aca="false">IF(OR(TRIM(AN224)="Fully Available",TRIM(AN224)="Not Applicable"),5,IF(TRIM(AN224)="Partially Available",2.5,0))</f>
        <v>5</v>
      </c>
      <c r="Y224" s="4" t="n">
        <f aca="false">IF(TRIM(AO224)="Yes",5,0)</f>
        <v>5</v>
      </c>
      <c r="Z224" s="4" t="n">
        <f aca="false">IF(TRIM(AP224)="Yes",2.5,0)</f>
        <v>2.5</v>
      </c>
      <c r="AA224" s="4" t="n">
        <f aca="false">IF(TRIM(AQ224)="Yes",5,0)</f>
        <v>5</v>
      </c>
      <c r="AB224" s="4" t="n">
        <f aca="false">IF(OR(TRIM(AR224)="Yes",TRIM(AR224)="Not Applicable"),5,0)</f>
        <v>5</v>
      </c>
      <c r="AC224" s="4" t="n">
        <f aca="false">IF(TRIM(AS224)="Excellent",5,IF(TRIM(AS224)="Very Good",4,IF(TRIM(AS224)="Good",3,IF(TRIM(AS224)="Average",2,0))))</f>
        <v>4</v>
      </c>
      <c r="AD224" s="7" t="n">
        <f aca="false">IF(COUNT(S224:AC224)=0,"",SUM(S224:AC224))</f>
        <v>99</v>
      </c>
      <c r="AE224" s="7" t="n">
        <f aca="false">IF(COUNTIF($F$2:F224,F224)=1,IFERROR(AVERAGEIF($F:$F,F224,$AD:$AD),""),"")</f>
        <v>99</v>
      </c>
      <c r="AF224" s="8" t="str">
        <f aca="false">IF(AH224&lt;&gt;"",AH224,IF(AE224="","",IF(AE224&gt;=80,"Excellent",IF(AE224&gt;=70,"Very Good",IF(AE224&gt;=60,"Good",IF(AE224&gt;=50,"Average","Poor"))))))</f>
        <v>Excellent</v>
      </c>
      <c r="AG224" s="5"/>
      <c r="AH224" s="4"/>
      <c r="AI224" s="4" t="s">
        <v>62</v>
      </c>
      <c r="AJ224" s="4" t="s">
        <v>62</v>
      </c>
      <c r="AK224" s="4" t="s">
        <v>62</v>
      </c>
      <c r="AL224" s="4" t="s">
        <v>63</v>
      </c>
      <c r="AM224" s="4" t="s">
        <v>62</v>
      </c>
      <c r="AN224" s="4" t="s">
        <v>64</v>
      </c>
      <c r="AO224" s="4" t="s">
        <v>62</v>
      </c>
      <c r="AP224" s="4" t="s">
        <v>62</v>
      </c>
      <c r="AQ224" s="4" t="s">
        <v>62</v>
      </c>
      <c r="AR224" s="4" t="s">
        <v>73</v>
      </c>
      <c r="AS224" s="4" t="s">
        <v>74</v>
      </c>
      <c r="AT224" s="4" t="n">
        <v>9</v>
      </c>
      <c r="AU224" s="4" t="s">
        <v>66</v>
      </c>
      <c r="AV224" s="4" t="s">
        <v>288</v>
      </c>
      <c r="AW224" s="4" t="s">
        <v>772</v>
      </c>
      <c r="AX224" s="4" t="s">
        <v>773</v>
      </c>
      <c r="AY224" s="4" t="n">
        <v>3</v>
      </c>
      <c r="AZ224" s="4" t="s">
        <v>62</v>
      </c>
      <c r="BA224" s="4" t="s">
        <v>774</v>
      </c>
      <c r="BB224" s="4" t="s">
        <v>760</v>
      </c>
      <c r="BC224" s="6" t="n">
        <v>0.2632</v>
      </c>
      <c r="BD224" s="4" t="n">
        <v>97</v>
      </c>
    </row>
    <row r="225" customFormat="false" ht="58.2" hidden="false" customHeight="false" outlineLevel="0" collapsed="false">
      <c r="A225" s="4"/>
      <c r="B225" s="4" t="s">
        <v>753</v>
      </c>
      <c r="C225" s="4" t="s">
        <v>57</v>
      </c>
      <c r="D225" s="4" t="s">
        <v>754</v>
      </c>
      <c r="E225" s="4" t="s">
        <v>770</v>
      </c>
      <c r="F225" s="4" t="n">
        <v>531</v>
      </c>
      <c r="G225" s="5" t="s">
        <v>771</v>
      </c>
      <c r="H225" s="5" t="s">
        <v>61</v>
      </c>
      <c r="I225" s="4"/>
      <c r="J225" s="4"/>
      <c r="K225" s="4"/>
      <c r="L225" s="4" t="n">
        <v>15</v>
      </c>
      <c r="M225" s="4" t="n">
        <v>15</v>
      </c>
      <c r="N225" s="4" t="n">
        <v>0</v>
      </c>
      <c r="O225" s="4" t="n">
        <v>13</v>
      </c>
      <c r="P225" s="4" t="n">
        <v>2</v>
      </c>
      <c r="Q225" s="4" t="n">
        <v>4</v>
      </c>
      <c r="R225" s="6" t="n">
        <f aca="false">IF(N(L225)=0,0,O225/L225)</f>
        <v>0.866666666666667</v>
      </c>
      <c r="S225" s="4" t="n">
        <f aca="false">IF(R225="","",IF(R225&gt;=0.8,50,IF(R225&gt;=0.5,30,IF(R225&gt;=0.01,10,0))))</f>
        <v>50</v>
      </c>
      <c r="T225" s="4" t="n">
        <f aca="false">IF(TRIM(AI225)="Yes",2.5,0)</f>
        <v>2.5</v>
      </c>
      <c r="U225" s="4" t="n">
        <f aca="false">IF(TRIM(AJ225)="Yes",10,0)</f>
        <v>10</v>
      </c>
      <c r="V225" s="4" t="n">
        <f aca="false">IF(TRIM(AK225)="Yes",5,0)</f>
        <v>5</v>
      </c>
      <c r="W225" s="4" t="n">
        <f aca="false">IF(TRIM(AM225)="Yes",5,0)</f>
        <v>5</v>
      </c>
      <c r="X225" s="4" t="n">
        <f aca="false">IF(OR(TRIM(AN225)="Fully Available",TRIM(AN225)="Not Applicable"),5,IF(TRIM(AN225)="Partially Available",2.5,0))</f>
        <v>5</v>
      </c>
      <c r="Y225" s="4" t="n">
        <f aca="false">IF(TRIM(AO225)="Yes",5,0)</f>
        <v>5</v>
      </c>
      <c r="Z225" s="4" t="n">
        <f aca="false">IF(TRIM(AP225)="Yes",2.5,0)</f>
        <v>2.5</v>
      </c>
      <c r="AA225" s="4" t="n">
        <f aca="false">IF(TRIM(AQ225)="Yes",5,0)</f>
        <v>5</v>
      </c>
      <c r="AB225" s="4" t="n">
        <f aca="false">IF(OR(TRIM(AR225)="Yes",TRIM(AR225)="Not Applicable"),5,0)</f>
        <v>5</v>
      </c>
      <c r="AC225" s="4" t="n">
        <f aca="false">IF(TRIM(AS225)="Excellent",5,IF(TRIM(AS225)="Very Good",4,IF(TRIM(AS225)="Good",3,IF(TRIM(AS225)="Average",2,0))))</f>
        <v>4</v>
      </c>
      <c r="AD225" s="7" t="n">
        <f aca="false">IF(COUNT(S225:AC225)=0,"",SUM(S225:AC225))</f>
        <v>99</v>
      </c>
      <c r="AE225" s="7"/>
      <c r="AF225" s="8"/>
      <c r="AG225" s="5"/>
      <c r="AH225" s="4"/>
      <c r="AI225" s="4" t="s">
        <v>62</v>
      </c>
      <c r="AJ225" s="4" t="s">
        <v>62</v>
      </c>
      <c r="AK225" s="4" t="s">
        <v>62</v>
      </c>
      <c r="AL225" s="4" t="s">
        <v>63</v>
      </c>
      <c r="AM225" s="4" t="s">
        <v>62</v>
      </c>
      <c r="AN225" s="4" t="s">
        <v>64</v>
      </c>
      <c r="AO225" s="4" t="s">
        <v>62</v>
      </c>
      <c r="AP225" s="4" t="s">
        <v>62</v>
      </c>
      <c r="AQ225" s="4" t="s">
        <v>62</v>
      </c>
      <c r="AR225" s="4" t="s">
        <v>62</v>
      </c>
      <c r="AS225" s="4" t="s">
        <v>74</v>
      </c>
      <c r="AT225" s="4" t="n">
        <v>8</v>
      </c>
      <c r="AU225" s="4" t="s">
        <v>112</v>
      </c>
      <c r="AV225" s="4" t="s">
        <v>288</v>
      </c>
      <c r="AW225" s="4" t="s">
        <v>775</v>
      </c>
      <c r="AX225" s="4" t="s">
        <v>776</v>
      </c>
      <c r="AY225" s="4" t="n">
        <v>6</v>
      </c>
      <c r="AZ225" s="4" t="s">
        <v>62</v>
      </c>
      <c r="BA225" s="4" t="s">
        <v>774</v>
      </c>
      <c r="BB225" s="4" t="s">
        <v>760</v>
      </c>
      <c r="BC225" s="6" t="n">
        <v>0.3077</v>
      </c>
      <c r="BD225" s="4" t="n">
        <v>97</v>
      </c>
    </row>
    <row r="226" customFormat="false" ht="72.35" hidden="false" customHeight="false" outlineLevel="0" collapsed="false">
      <c r="A226" s="4"/>
      <c r="B226" s="4" t="s">
        <v>753</v>
      </c>
      <c r="C226" s="4" t="s">
        <v>57</v>
      </c>
      <c r="D226" s="4" t="s">
        <v>754</v>
      </c>
      <c r="E226" s="4" t="s">
        <v>770</v>
      </c>
      <c r="F226" s="4" t="n">
        <v>531</v>
      </c>
      <c r="G226" s="5" t="s">
        <v>771</v>
      </c>
      <c r="H226" s="5" t="s">
        <v>190</v>
      </c>
      <c r="I226" s="4"/>
      <c r="J226" s="4"/>
      <c r="K226" s="4"/>
      <c r="L226" s="4" t="n">
        <v>20</v>
      </c>
      <c r="M226" s="4" t="n">
        <v>20</v>
      </c>
      <c r="N226" s="4" t="n">
        <v>0</v>
      </c>
      <c r="O226" s="4" t="n">
        <v>18</v>
      </c>
      <c r="P226" s="4" t="n">
        <v>2</v>
      </c>
      <c r="Q226" s="4" t="n">
        <v>8</v>
      </c>
      <c r="R226" s="6" t="n">
        <f aca="false">IF(N(L226)=0,0,O226/L226)</f>
        <v>0.9</v>
      </c>
      <c r="S226" s="4" t="n">
        <f aca="false">IF(R226="","",IF(R226&gt;=0.8,50,IF(R226&gt;=0.5,30,IF(R226&gt;=0.01,10,0))))</f>
        <v>50</v>
      </c>
      <c r="T226" s="4" t="n">
        <f aca="false">IF(TRIM(AI226)="Yes",2.5,0)</f>
        <v>2.5</v>
      </c>
      <c r="U226" s="4" t="n">
        <f aca="false">IF(TRIM(AJ226)="Yes",10,0)</f>
        <v>10</v>
      </c>
      <c r="V226" s="4" t="n">
        <f aca="false">IF(TRIM(AK226)="Yes",5,0)</f>
        <v>5</v>
      </c>
      <c r="W226" s="4" t="n">
        <f aca="false">IF(TRIM(AM226)="Yes",5,0)</f>
        <v>5</v>
      </c>
      <c r="X226" s="4" t="n">
        <f aca="false">IF(OR(TRIM(AN226)="Fully Available",TRIM(AN226)="Not Applicable"),5,IF(TRIM(AN226)="Partially Available",2.5,0))</f>
        <v>5</v>
      </c>
      <c r="Y226" s="4" t="n">
        <f aca="false">IF(TRIM(AO226)="Yes",5,0)</f>
        <v>5</v>
      </c>
      <c r="Z226" s="4" t="n">
        <f aca="false">IF(TRIM(AP226)="Yes",2.5,0)</f>
        <v>2.5</v>
      </c>
      <c r="AA226" s="4" t="n">
        <f aca="false">IF(TRIM(AQ226)="Yes",5,0)</f>
        <v>5</v>
      </c>
      <c r="AB226" s="4" t="n">
        <f aca="false">IF(OR(TRIM(AR226)="Yes",TRIM(AR226)="Not Applicable"),5,0)</f>
        <v>5</v>
      </c>
      <c r="AC226" s="4" t="n">
        <f aca="false">IF(TRIM(AS226)="Excellent",5,IF(TRIM(AS226)="Very Good",4,IF(TRIM(AS226)="Good",3,IF(TRIM(AS226)="Average",2,0))))</f>
        <v>4</v>
      </c>
      <c r="AD226" s="7" t="n">
        <f aca="false">IF(COUNT(S226:AC226)=0,"",SUM(S226:AC226))</f>
        <v>99</v>
      </c>
      <c r="AE226" s="7"/>
      <c r="AF226" s="8"/>
      <c r="AG226" s="5"/>
      <c r="AH226" s="4"/>
      <c r="AI226" s="4" t="s">
        <v>62</v>
      </c>
      <c r="AJ226" s="4" t="s">
        <v>62</v>
      </c>
      <c r="AK226" s="4" t="s">
        <v>62</v>
      </c>
      <c r="AL226" s="4" t="s">
        <v>63</v>
      </c>
      <c r="AM226" s="4" t="s">
        <v>62</v>
      </c>
      <c r="AN226" s="4" t="s">
        <v>64</v>
      </c>
      <c r="AO226" s="4" t="s">
        <v>62</v>
      </c>
      <c r="AP226" s="4" t="s">
        <v>62</v>
      </c>
      <c r="AQ226" s="4" t="s">
        <v>62</v>
      </c>
      <c r="AR226" s="4" t="s">
        <v>62</v>
      </c>
      <c r="AS226" s="4" t="s">
        <v>74</v>
      </c>
      <c r="AT226" s="4" t="n">
        <v>8</v>
      </c>
      <c r="AU226" s="4" t="s">
        <v>112</v>
      </c>
      <c r="AV226" s="4" t="s">
        <v>288</v>
      </c>
      <c r="AW226" s="4" t="s">
        <v>777</v>
      </c>
      <c r="AX226" s="4" t="s">
        <v>778</v>
      </c>
      <c r="AY226" s="4" t="n">
        <v>5</v>
      </c>
      <c r="AZ226" s="4" t="s">
        <v>62</v>
      </c>
      <c r="BA226" s="4" t="s">
        <v>774</v>
      </c>
      <c r="BB226" s="4" t="s">
        <v>760</v>
      </c>
      <c r="BC226" s="6" t="n">
        <v>0.4444</v>
      </c>
      <c r="BD226" s="4" t="n">
        <v>97</v>
      </c>
    </row>
    <row r="227" customFormat="false" ht="114.9" hidden="false" customHeight="false" outlineLevel="0" collapsed="false">
      <c r="A227" s="4" t="n">
        <v>102</v>
      </c>
      <c r="B227" s="4" t="s">
        <v>753</v>
      </c>
      <c r="C227" s="4" t="s">
        <v>57</v>
      </c>
      <c r="D227" s="4" t="s">
        <v>754</v>
      </c>
      <c r="E227" s="4" t="s">
        <v>779</v>
      </c>
      <c r="F227" s="4" t="n">
        <v>308</v>
      </c>
      <c r="G227" s="5" t="s">
        <v>780</v>
      </c>
      <c r="H227" s="5" t="s">
        <v>397</v>
      </c>
      <c r="I227" s="4"/>
      <c r="J227" s="4"/>
      <c r="K227" s="4"/>
      <c r="L227" s="4" t="n">
        <v>20</v>
      </c>
      <c r="M227" s="4" t="n">
        <v>20</v>
      </c>
      <c r="N227" s="4" t="n">
        <v>0</v>
      </c>
      <c r="O227" s="4" t="n">
        <v>19</v>
      </c>
      <c r="P227" s="4" t="n">
        <v>1</v>
      </c>
      <c r="Q227" s="4" t="n">
        <v>5</v>
      </c>
      <c r="R227" s="6" t="n">
        <f aca="false">IF(N(L227)=0,0,O227/L227)</f>
        <v>0.95</v>
      </c>
      <c r="S227" s="4" t="n">
        <f aca="false">IF(R227="","",IF(R227&gt;=0.8,50,IF(R227&gt;=0.5,30,IF(R227&gt;=0.01,10,0))))</f>
        <v>50</v>
      </c>
      <c r="T227" s="4" t="n">
        <f aca="false">IF(TRIM(AI227)="Yes",2.5,0)</f>
        <v>2.5</v>
      </c>
      <c r="U227" s="4" t="n">
        <f aca="false">IF(TRIM(AJ227)="Yes",10,0)</f>
        <v>10</v>
      </c>
      <c r="V227" s="4" t="n">
        <f aca="false">IF(TRIM(AK227)="Yes",5,0)</f>
        <v>5</v>
      </c>
      <c r="W227" s="4" t="n">
        <f aca="false">IF(TRIM(AM227)="Yes",5,0)</f>
        <v>5</v>
      </c>
      <c r="X227" s="4" t="n">
        <f aca="false">IF(OR(TRIM(AN227)="Fully Available",TRIM(AN227)="Not Applicable"),5,IF(TRIM(AN227)="Partially Available",2.5,0))</f>
        <v>5</v>
      </c>
      <c r="Y227" s="4" t="n">
        <f aca="false">IF(TRIM(AO227)="Yes",5,0)</f>
        <v>5</v>
      </c>
      <c r="Z227" s="4" t="n">
        <f aca="false">IF(TRIM(AP227)="Yes",2.5,0)</f>
        <v>2.5</v>
      </c>
      <c r="AA227" s="4" t="n">
        <f aca="false">IF(TRIM(AQ227)="Yes",5,0)</f>
        <v>5</v>
      </c>
      <c r="AB227" s="4" t="n">
        <f aca="false">IF(OR(TRIM(AR227)="Yes",TRIM(AR227)="Not Applicable"),5,0)</f>
        <v>5</v>
      </c>
      <c r="AC227" s="4" t="n">
        <f aca="false">IF(TRIM(AS227)="Excellent",5,IF(TRIM(AS227)="Very Good",4,IF(TRIM(AS227)="Good",3,IF(TRIM(AS227)="Average",2,0))))</f>
        <v>4</v>
      </c>
      <c r="AD227" s="7" t="n">
        <f aca="false">IF(COUNT(S227:AC227)=0,"",SUM(S227:AC227))</f>
        <v>99</v>
      </c>
      <c r="AE227" s="7" t="n">
        <f aca="false">IF(COUNTIF($F$2:F227,F227)=1,IFERROR(AVERAGEIF($F:$F,F227,$AD:$AD),""),"")</f>
        <v>96.5</v>
      </c>
      <c r="AF227" s="8" t="str">
        <f aca="false">IF(AH227&lt;&gt;"",AH227,IF(AE227="","",IF(AE227&gt;=80,"Excellent",IF(AE227&gt;=70,"Very Good",IF(AE227&gt;=60,"Good",IF(AE227&gt;=50,"Average","Poor"))))))</f>
        <v>Excellent</v>
      </c>
      <c r="AG227" s="5"/>
      <c r="AH227" s="4"/>
      <c r="AI227" s="4" t="s">
        <v>62</v>
      </c>
      <c r="AJ227" s="4" t="s">
        <v>62</v>
      </c>
      <c r="AK227" s="4" t="s">
        <v>62</v>
      </c>
      <c r="AL227" s="4" t="s">
        <v>63</v>
      </c>
      <c r="AM227" s="4" t="s">
        <v>62</v>
      </c>
      <c r="AN227" s="4" t="s">
        <v>64</v>
      </c>
      <c r="AO227" s="4" t="s">
        <v>62</v>
      </c>
      <c r="AP227" s="4" t="s">
        <v>62</v>
      </c>
      <c r="AQ227" s="4" t="s">
        <v>62</v>
      </c>
      <c r="AR227" s="4" t="s">
        <v>62</v>
      </c>
      <c r="AS227" s="4" t="s">
        <v>74</v>
      </c>
      <c r="AT227" s="4" t="n">
        <v>8</v>
      </c>
      <c r="AU227" s="4" t="s">
        <v>66</v>
      </c>
      <c r="AV227" s="4" t="s">
        <v>244</v>
      </c>
      <c r="AW227" s="4" t="s">
        <v>398</v>
      </c>
      <c r="AX227" s="4" t="s">
        <v>621</v>
      </c>
      <c r="AY227" s="4" t="n">
        <v>5</v>
      </c>
      <c r="AZ227" s="4" t="s">
        <v>62</v>
      </c>
      <c r="BA227" s="4" t="s">
        <v>781</v>
      </c>
      <c r="BB227" s="4" t="s">
        <v>760</v>
      </c>
      <c r="BC227" s="6" t="n">
        <v>0.2632</v>
      </c>
      <c r="BD227" s="4" t="n">
        <v>94</v>
      </c>
    </row>
    <row r="228" customFormat="false" ht="114.9" hidden="false" customHeight="false" outlineLevel="0" collapsed="false">
      <c r="A228" s="4"/>
      <c r="B228" s="4" t="s">
        <v>753</v>
      </c>
      <c r="C228" s="4" t="s">
        <v>57</v>
      </c>
      <c r="D228" s="4" t="s">
        <v>754</v>
      </c>
      <c r="E228" s="4" t="s">
        <v>779</v>
      </c>
      <c r="F228" s="4" t="n">
        <v>308</v>
      </c>
      <c r="G228" s="5" t="s">
        <v>780</v>
      </c>
      <c r="H228" s="5" t="s">
        <v>72</v>
      </c>
      <c r="I228" s="4"/>
      <c r="J228" s="4"/>
      <c r="K228" s="4"/>
      <c r="L228" s="4" t="n">
        <v>20</v>
      </c>
      <c r="M228" s="4" t="n">
        <v>20</v>
      </c>
      <c r="N228" s="4" t="n">
        <v>0</v>
      </c>
      <c r="O228" s="4" t="n">
        <v>19</v>
      </c>
      <c r="P228" s="4" t="n">
        <v>1</v>
      </c>
      <c r="Q228" s="4" t="n">
        <v>7</v>
      </c>
      <c r="R228" s="6" t="n">
        <f aca="false">IF(N(L228)=0,0,O228/L228)</f>
        <v>0.95</v>
      </c>
      <c r="S228" s="4" t="n">
        <f aca="false">IF(R228="","",IF(R228&gt;=0.8,50,IF(R228&gt;=0.5,30,IF(R228&gt;=0.01,10,0))))</f>
        <v>50</v>
      </c>
      <c r="T228" s="4" t="n">
        <f aca="false">IF(TRIM(AI228)="Yes",2.5,0)</f>
        <v>2.5</v>
      </c>
      <c r="U228" s="4" t="n">
        <f aca="false">IF(TRIM(AJ228)="Yes",10,0)</f>
        <v>10</v>
      </c>
      <c r="V228" s="4" t="n">
        <f aca="false">IF(TRIM(AK228)="Yes",5,0)</f>
        <v>5</v>
      </c>
      <c r="W228" s="4" t="n">
        <f aca="false">IF(TRIM(AM228)="Yes",5,0)</f>
        <v>5</v>
      </c>
      <c r="X228" s="4" t="n">
        <f aca="false">IF(OR(TRIM(AN228)="Fully Available",TRIM(AN228)="Not Applicable"),5,IF(TRIM(AN228)="Partially Available",2.5,0))</f>
        <v>5</v>
      </c>
      <c r="Y228" s="4" t="n">
        <f aca="false">IF(TRIM(AO228)="Yes",5,0)</f>
        <v>5</v>
      </c>
      <c r="Z228" s="4" t="n">
        <f aca="false">IF(TRIM(AP228)="Yes",2.5,0)</f>
        <v>2.5</v>
      </c>
      <c r="AA228" s="4" t="n">
        <f aca="false">IF(TRIM(AQ228)="Yes",5,0)</f>
        <v>5</v>
      </c>
      <c r="AB228" s="4" t="n">
        <f aca="false">IF(OR(TRIM(AR228)="Yes",TRIM(AR228)="Not Applicable"),5,0)</f>
        <v>0</v>
      </c>
      <c r="AC228" s="4" t="n">
        <f aca="false">IF(TRIM(AS228)="Excellent",5,IF(TRIM(AS228)="Very Good",4,IF(TRIM(AS228)="Good",3,IF(TRIM(AS228)="Average",2,0))))</f>
        <v>4</v>
      </c>
      <c r="AD228" s="7" t="n">
        <f aca="false">IF(COUNT(S228:AC228)=0,"",SUM(S228:AC228))</f>
        <v>94</v>
      </c>
      <c r="AE228" s="7"/>
      <c r="AF228" s="8"/>
      <c r="AG228" s="5"/>
      <c r="AH228" s="4"/>
      <c r="AI228" s="4" t="s">
        <v>62</v>
      </c>
      <c r="AJ228" s="4" t="s">
        <v>62</v>
      </c>
      <c r="AK228" s="4" t="s">
        <v>62</v>
      </c>
      <c r="AL228" s="4" t="s">
        <v>63</v>
      </c>
      <c r="AM228" s="4" t="s">
        <v>62</v>
      </c>
      <c r="AN228" s="4" t="s">
        <v>64</v>
      </c>
      <c r="AO228" s="4" t="s">
        <v>62</v>
      </c>
      <c r="AP228" s="4" t="s">
        <v>62</v>
      </c>
      <c r="AQ228" s="4" t="s">
        <v>62</v>
      </c>
      <c r="AR228" s="4" t="s">
        <v>82</v>
      </c>
      <c r="AS228" s="4" t="s">
        <v>74</v>
      </c>
      <c r="AT228" s="4" t="n">
        <v>8</v>
      </c>
      <c r="AU228" s="4" t="s">
        <v>66</v>
      </c>
      <c r="AV228" s="4" t="s">
        <v>244</v>
      </c>
      <c r="AW228" s="4" t="s">
        <v>782</v>
      </c>
      <c r="AX228" s="4" t="s">
        <v>769</v>
      </c>
      <c r="AY228" s="4" t="n">
        <v>6</v>
      </c>
      <c r="AZ228" s="4" t="s">
        <v>62</v>
      </c>
      <c r="BA228" s="4" t="s">
        <v>781</v>
      </c>
      <c r="BB228" s="4" t="s">
        <v>760</v>
      </c>
      <c r="BC228" s="6" t="n">
        <v>0.3684</v>
      </c>
      <c r="BD228" s="4" t="n">
        <v>94</v>
      </c>
    </row>
    <row r="229" customFormat="false" ht="285.05" hidden="false" customHeight="false" outlineLevel="0" collapsed="false">
      <c r="A229" s="4" t="n">
        <v>103</v>
      </c>
      <c r="B229" s="4" t="s">
        <v>753</v>
      </c>
      <c r="C229" s="4" t="s">
        <v>57</v>
      </c>
      <c r="D229" s="4" t="s">
        <v>754</v>
      </c>
      <c r="E229" s="4" t="s">
        <v>755</v>
      </c>
      <c r="F229" s="4" t="n">
        <v>6128</v>
      </c>
      <c r="G229" s="5" t="s">
        <v>783</v>
      </c>
      <c r="H229" s="5" t="s">
        <v>261</v>
      </c>
      <c r="I229" s="4"/>
      <c r="J229" s="4"/>
      <c r="K229" s="4"/>
      <c r="L229" s="4" t="n">
        <v>20</v>
      </c>
      <c r="M229" s="4" t="n">
        <v>20</v>
      </c>
      <c r="N229" s="4" t="n">
        <v>0</v>
      </c>
      <c r="O229" s="4" t="n">
        <v>17</v>
      </c>
      <c r="P229" s="4" t="n">
        <v>3</v>
      </c>
      <c r="Q229" s="4" t="n">
        <v>5</v>
      </c>
      <c r="R229" s="6" t="n">
        <f aca="false">IF(N(L229)=0,0,O229/L229)</f>
        <v>0.85</v>
      </c>
      <c r="S229" s="4" t="n">
        <f aca="false">IF(R229="","",IF(R229&gt;=0.8,50,IF(R229&gt;=0.5,30,IF(R229&gt;=0.01,10,0))))</f>
        <v>50</v>
      </c>
      <c r="T229" s="4" t="n">
        <f aca="false">IF(TRIM(AI229)="Yes",2.5,0)</f>
        <v>2.5</v>
      </c>
      <c r="U229" s="4" t="n">
        <f aca="false">IF(TRIM(AJ229)="Yes",10,0)</f>
        <v>10</v>
      </c>
      <c r="V229" s="4" t="n">
        <f aca="false">IF(TRIM(AK229)="Yes",5,0)</f>
        <v>5</v>
      </c>
      <c r="W229" s="4" t="n">
        <f aca="false">IF(TRIM(AM229)="Yes",5,0)</f>
        <v>5</v>
      </c>
      <c r="X229" s="4" t="n">
        <f aca="false">IF(OR(TRIM(AN229)="Fully Available",TRIM(AN229)="Not Applicable"),5,IF(TRIM(AN229)="Partially Available",2.5,0))</f>
        <v>5</v>
      </c>
      <c r="Y229" s="4" t="n">
        <f aca="false">IF(TRIM(AO229)="Yes",5,0)</f>
        <v>5</v>
      </c>
      <c r="Z229" s="4" t="n">
        <f aca="false">IF(TRIM(AP229)="Yes",2.5,0)</f>
        <v>2.5</v>
      </c>
      <c r="AA229" s="4" t="n">
        <f aca="false">IF(TRIM(AQ229)="Yes",5,0)</f>
        <v>5</v>
      </c>
      <c r="AB229" s="4" t="n">
        <f aca="false">IF(OR(TRIM(AR229)="Yes",TRIM(AR229)="Not Applicable"),5,0)</f>
        <v>5</v>
      </c>
      <c r="AC229" s="4" t="n">
        <f aca="false">IF(TRIM(AS229)="Excellent",5,IF(TRIM(AS229)="Very Good",4,IF(TRIM(AS229)="Good",3,IF(TRIM(AS229)="Average",2,0))))</f>
        <v>5</v>
      </c>
      <c r="AD229" s="7" t="n">
        <f aca="false">IF(COUNT(S229:AC229)=0,"",SUM(S229:AC229))</f>
        <v>100</v>
      </c>
      <c r="AE229" s="7" t="n">
        <f aca="false">IF(COUNTIF($F$2:F229,F229)=1,IFERROR(AVERAGEIF($F:$F,F229,$AD:$AD),""),"")</f>
        <v>100</v>
      </c>
      <c r="AF229" s="8" t="str">
        <f aca="false">IF(AH229&lt;&gt;"",AH229,IF(AE229="","",IF(AE229&gt;=80,"Excellent",IF(AE229&gt;=70,"Very Good",IF(AE229&gt;=60,"Good",IF(AE229&gt;=50,"Average","Poor"))))))</f>
        <v>Excellent</v>
      </c>
      <c r="AG229" s="5"/>
      <c r="AH229" s="4"/>
      <c r="AI229" s="4" t="s">
        <v>62</v>
      </c>
      <c r="AJ229" s="4" t="s">
        <v>62</v>
      </c>
      <c r="AK229" s="4" t="s">
        <v>62</v>
      </c>
      <c r="AL229" s="4" t="s">
        <v>63</v>
      </c>
      <c r="AM229" s="4" t="s">
        <v>62</v>
      </c>
      <c r="AN229" s="4" t="s">
        <v>64</v>
      </c>
      <c r="AO229" s="4" t="s">
        <v>62</v>
      </c>
      <c r="AP229" s="4" t="s">
        <v>62</v>
      </c>
      <c r="AQ229" s="4" t="s">
        <v>62</v>
      </c>
      <c r="AR229" s="4" t="s">
        <v>73</v>
      </c>
      <c r="AS229" s="4" t="s">
        <v>65</v>
      </c>
      <c r="AT229" s="4" t="n">
        <v>7</v>
      </c>
      <c r="AU229" s="4" t="s">
        <v>66</v>
      </c>
      <c r="AV229" s="4" t="s">
        <v>208</v>
      </c>
      <c r="AW229" s="4" t="s">
        <v>784</v>
      </c>
      <c r="AX229" s="4" t="s">
        <v>192</v>
      </c>
      <c r="AY229" s="4" t="n">
        <v>4</v>
      </c>
      <c r="AZ229" s="4" t="s">
        <v>62</v>
      </c>
      <c r="BA229" s="4" t="s">
        <v>785</v>
      </c>
      <c r="BB229" s="4" t="s">
        <v>760</v>
      </c>
      <c r="BC229" s="6" t="n">
        <v>0.2941</v>
      </c>
      <c r="BD229" s="4" t="n">
        <v>85</v>
      </c>
    </row>
    <row r="230" customFormat="false" ht="199.95" hidden="false" customHeight="false" outlineLevel="0" collapsed="false">
      <c r="A230" s="4"/>
      <c r="B230" s="4" t="s">
        <v>753</v>
      </c>
      <c r="C230" s="4" t="s">
        <v>57</v>
      </c>
      <c r="D230" s="4" t="s">
        <v>754</v>
      </c>
      <c r="E230" s="4" t="s">
        <v>755</v>
      </c>
      <c r="F230" s="4" t="n">
        <v>6128</v>
      </c>
      <c r="G230" s="5" t="s">
        <v>783</v>
      </c>
      <c r="H230" s="5" t="s">
        <v>238</v>
      </c>
      <c r="I230" s="4"/>
      <c r="J230" s="4"/>
      <c r="K230" s="4"/>
      <c r="L230" s="4" t="n">
        <v>20</v>
      </c>
      <c r="M230" s="4" t="n">
        <v>20</v>
      </c>
      <c r="N230" s="4" t="n">
        <v>0</v>
      </c>
      <c r="O230" s="4" t="n">
        <v>16</v>
      </c>
      <c r="P230" s="4" t="n">
        <v>4</v>
      </c>
      <c r="Q230" s="4" t="n">
        <v>8</v>
      </c>
      <c r="R230" s="6" t="n">
        <f aca="false">IF(N(L230)=0,0,O230/L230)</f>
        <v>0.8</v>
      </c>
      <c r="S230" s="4" t="n">
        <f aca="false">IF(R230="","",IF(R230&gt;=0.8,50,IF(R230&gt;=0.5,30,IF(R230&gt;=0.01,10,0))))</f>
        <v>50</v>
      </c>
      <c r="T230" s="4" t="n">
        <f aca="false">IF(TRIM(AI230)="Yes",2.5,0)</f>
        <v>2.5</v>
      </c>
      <c r="U230" s="4" t="n">
        <f aca="false">IF(TRIM(AJ230)="Yes",10,0)</f>
        <v>10</v>
      </c>
      <c r="V230" s="4" t="n">
        <f aca="false">IF(TRIM(AK230)="Yes",5,0)</f>
        <v>5</v>
      </c>
      <c r="W230" s="4" t="n">
        <f aca="false">IF(TRIM(AM230)="Yes",5,0)</f>
        <v>5</v>
      </c>
      <c r="X230" s="4" t="n">
        <f aca="false">IF(OR(TRIM(AN230)="Fully Available",TRIM(AN230)="Not Applicable"),5,IF(TRIM(AN230)="Partially Available",2.5,0))</f>
        <v>5</v>
      </c>
      <c r="Y230" s="4" t="n">
        <f aca="false">IF(TRIM(AO230)="Yes",5,0)</f>
        <v>5</v>
      </c>
      <c r="Z230" s="4" t="n">
        <f aca="false">IF(TRIM(AP230)="Yes",2.5,0)</f>
        <v>2.5</v>
      </c>
      <c r="AA230" s="4" t="n">
        <f aca="false">IF(TRIM(AQ230)="Yes",5,0)</f>
        <v>5</v>
      </c>
      <c r="AB230" s="4" t="n">
        <f aca="false">IF(OR(TRIM(AR230)="Yes",TRIM(AR230)="Not Applicable"),5,0)</f>
        <v>5</v>
      </c>
      <c r="AC230" s="4" t="n">
        <f aca="false">IF(TRIM(AS230)="Excellent",5,IF(TRIM(AS230)="Very Good",4,IF(TRIM(AS230)="Good",3,IF(TRIM(AS230)="Average",2,0))))</f>
        <v>5</v>
      </c>
      <c r="AD230" s="7" t="n">
        <f aca="false">IF(COUNT(S230:AC230)=0,"",SUM(S230:AC230))</f>
        <v>100</v>
      </c>
      <c r="AE230" s="7"/>
      <c r="AF230" s="8"/>
      <c r="AG230" s="5"/>
      <c r="AH230" s="4"/>
      <c r="AI230" s="4" t="s">
        <v>62</v>
      </c>
      <c r="AJ230" s="4" t="s">
        <v>62</v>
      </c>
      <c r="AK230" s="4" t="s">
        <v>62</v>
      </c>
      <c r="AL230" s="4" t="s">
        <v>63</v>
      </c>
      <c r="AM230" s="4" t="s">
        <v>62</v>
      </c>
      <c r="AN230" s="4" t="s">
        <v>64</v>
      </c>
      <c r="AO230" s="4" t="s">
        <v>62</v>
      </c>
      <c r="AP230" s="4" t="s">
        <v>62</v>
      </c>
      <c r="AQ230" s="4" t="s">
        <v>62</v>
      </c>
      <c r="AR230" s="4" t="s">
        <v>73</v>
      </c>
      <c r="AS230" s="4" t="s">
        <v>65</v>
      </c>
      <c r="AT230" s="4" t="n">
        <v>6</v>
      </c>
      <c r="AU230" s="4" t="s">
        <v>66</v>
      </c>
      <c r="AV230" s="4" t="s">
        <v>208</v>
      </c>
      <c r="AW230" s="4" t="s">
        <v>786</v>
      </c>
      <c r="AX230" s="4" t="s">
        <v>199</v>
      </c>
      <c r="AY230" s="4" t="n">
        <v>4</v>
      </c>
      <c r="AZ230" s="4" t="s">
        <v>62</v>
      </c>
      <c r="BA230" s="4" t="s">
        <v>787</v>
      </c>
      <c r="BB230" s="4" t="s">
        <v>760</v>
      </c>
      <c r="BC230" s="6" t="n">
        <v>0.5</v>
      </c>
      <c r="BD230" s="4" t="n">
        <v>85</v>
      </c>
    </row>
    <row r="231" customFormat="false" ht="72.35" hidden="false" customHeight="false" outlineLevel="0" collapsed="false">
      <c r="A231" s="4" t="n">
        <v>104</v>
      </c>
      <c r="B231" s="4" t="s">
        <v>753</v>
      </c>
      <c r="C231" s="4" t="s">
        <v>57</v>
      </c>
      <c r="D231" s="4" t="s">
        <v>754</v>
      </c>
      <c r="E231" s="4" t="s">
        <v>779</v>
      </c>
      <c r="F231" s="4" t="n">
        <v>1807</v>
      </c>
      <c r="G231" s="5" t="s">
        <v>788</v>
      </c>
      <c r="H231" s="5" t="s">
        <v>273</v>
      </c>
      <c r="I231" s="4"/>
      <c r="J231" s="4"/>
      <c r="K231" s="4"/>
      <c r="L231" s="4" t="n">
        <v>20</v>
      </c>
      <c r="M231" s="4" t="n">
        <v>20</v>
      </c>
      <c r="N231" s="4" t="n">
        <v>0</v>
      </c>
      <c r="O231" s="4" t="n">
        <v>19</v>
      </c>
      <c r="P231" s="4" t="n">
        <v>1</v>
      </c>
      <c r="Q231" s="4" t="n">
        <v>5</v>
      </c>
      <c r="R231" s="6" t="n">
        <f aca="false">IF(N(L231)=0,0,O231/L231)</f>
        <v>0.95</v>
      </c>
      <c r="S231" s="4" t="n">
        <f aca="false">IF(R231="","",IF(R231&gt;=0.8,50,IF(R231&gt;=0.5,30,IF(R231&gt;=0.01,10,0))))</f>
        <v>50</v>
      </c>
      <c r="T231" s="4" t="n">
        <f aca="false">IF(TRIM(AI231)="Yes",2.5,0)</f>
        <v>2.5</v>
      </c>
      <c r="U231" s="4" t="n">
        <f aca="false">IF(TRIM(AJ231)="Yes",10,0)</f>
        <v>0</v>
      </c>
      <c r="V231" s="4" t="n">
        <f aca="false">IF(TRIM(AK231)="Yes",5,0)</f>
        <v>5</v>
      </c>
      <c r="W231" s="4" t="n">
        <f aca="false">IF(TRIM(AM231)="Yes",5,0)</f>
        <v>5</v>
      </c>
      <c r="X231" s="4" t="n">
        <f aca="false">IF(OR(TRIM(AN231)="Fully Available",TRIM(AN231)="Not Applicable"),5,IF(TRIM(AN231)="Partially Available",2.5,0))</f>
        <v>5</v>
      </c>
      <c r="Y231" s="4" t="n">
        <f aca="false">IF(TRIM(AO231)="Yes",5,0)</f>
        <v>5</v>
      </c>
      <c r="Z231" s="4" t="n">
        <f aca="false">IF(TRIM(AP231)="Yes",2.5,0)</f>
        <v>2.5</v>
      </c>
      <c r="AA231" s="4" t="n">
        <f aca="false">IF(TRIM(AQ231)="Yes",5,0)</f>
        <v>5</v>
      </c>
      <c r="AB231" s="4" t="n">
        <f aca="false">IF(OR(TRIM(AR231)="Yes",TRIM(AR231)="Not Applicable"),5,0)</f>
        <v>5</v>
      </c>
      <c r="AC231" s="4" t="n">
        <f aca="false">IF(TRIM(AS231)="Excellent",5,IF(TRIM(AS231)="Very Good",4,IF(TRIM(AS231)="Good",3,IF(TRIM(AS231)="Average",2,0))))</f>
        <v>4</v>
      </c>
      <c r="AD231" s="7" t="n">
        <f aca="false">IF(COUNT(S231:AC231)=0,"",SUM(S231:AC231))</f>
        <v>89</v>
      </c>
      <c r="AE231" s="7" t="n">
        <f aca="false">IF(COUNTIF($F$2:F231,F231)=1,IFERROR(AVERAGEIF($F:$F,F231,$AD:$AD),""),"")</f>
        <v>89</v>
      </c>
      <c r="AF231" s="8" t="str">
        <f aca="false">IF(AH231&lt;&gt;"",AH231,IF(AE231="","",IF(AE231&gt;=80,"Excellent",IF(AE231&gt;=70,"Very Good",IF(AE231&gt;=60,"Good",IF(AE231&gt;=50,"Average","Poor"))))))</f>
        <v>Excellent</v>
      </c>
      <c r="AG231" s="5"/>
      <c r="AH231" s="4"/>
      <c r="AI231" s="4" t="s">
        <v>62</v>
      </c>
      <c r="AJ231" s="4" t="s">
        <v>82</v>
      </c>
      <c r="AK231" s="4" t="s">
        <v>62</v>
      </c>
      <c r="AL231" s="4" t="s">
        <v>63</v>
      </c>
      <c r="AM231" s="4" t="s">
        <v>62</v>
      </c>
      <c r="AN231" s="4" t="s">
        <v>64</v>
      </c>
      <c r="AO231" s="4" t="s">
        <v>62</v>
      </c>
      <c r="AP231" s="4" t="s">
        <v>62</v>
      </c>
      <c r="AQ231" s="4" t="s">
        <v>62</v>
      </c>
      <c r="AR231" s="4" t="s">
        <v>73</v>
      </c>
      <c r="AS231" s="4" t="s">
        <v>74</v>
      </c>
      <c r="AT231" s="4" t="n">
        <v>8</v>
      </c>
      <c r="AU231" s="4" t="s">
        <v>66</v>
      </c>
      <c r="AV231" s="4" t="s">
        <v>350</v>
      </c>
      <c r="AW231" s="4" t="s">
        <v>789</v>
      </c>
      <c r="AX231" s="4" t="s">
        <v>790</v>
      </c>
      <c r="AY231" s="4" t="n">
        <v>4</v>
      </c>
      <c r="AZ231" s="4" t="s">
        <v>62</v>
      </c>
      <c r="BA231" s="4" t="s">
        <v>791</v>
      </c>
      <c r="BB231" s="4" t="s">
        <v>760</v>
      </c>
      <c r="BC231" s="6" t="n">
        <v>0.2632</v>
      </c>
      <c r="BD231" s="4" t="n">
        <v>91</v>
      </c>
    </row>
    <row r="232" customFormat="false" ht="72.35" hidden="false" customHeight="false" outlineLevel="0" collapsed="false">
      <c r="A232" s="4"/>
      <c r="B232" s="4" t="s">
        <v>753</v>
      </c>
      <c r="C232" s="4" t="s">
        <v>57</v>
      </c>
      <c r="D232" s="4" t="s">
        <v>754</v>
      </c>
      <c r="E232" s="4" t="s">
        <v>779</v>
      </c>
      <c r="F232" s="4" t="n">
        <v>1807</v>
      </c>
      <c r="G232" s="5" t="s">
        <v>788</v>
      </c>
      <c r="H232" s="5" t="s">
        <v>177</v>
      </c>
      <c r="I232" s="4"/>
      <c r="J232" s="4"/>
      <c r="K232" s="4"/>
      <c r="L232" s="4" t="n">
        <v>20</v>
      </c>
      <c r="M232" s="4" t="n">
        <v>20</v>
      </c>
      <c r="N232" s="4" t="n">
        <v>0</v>
      </c>
      <c r="O232" s="4" t="n">
        <v>20</v>
      </c>
      <c r="P232" s="4" t="n">
        <v>0</v>
      </c>
      <c r="Q232" s="4" t="n">
        <v>10</v>
      </c>
      <c r="R232" s="6" t="n">
        <f aca="false">IF(N(L232)=0,0,O232/L232)</f>
        <v>1</v>
      </c>
      <c r="S232" s="4" t="n">
        <f aca="false">IF(R232="","",IF(R232&gt;=0.8,50,IF(R232&gt;=0.5,30,IF(R232&gt;=0.01,10,0))))</f>
        <v>50</v>
      </c>
      <c r="T232" s="4" t="n">
        <f aca="false">IF(TRIM(AI232)="Yes",2.5,0)</f>
        <v>2.5</v>
      </c>
      <c r="U232" s="4" t="n">
        <f aca="false">IF(TRIM(AJ232)="Yes",10,0)</f>
        <v>0</v>
      </c>
      <c r="V232" s="4" t="n">
        <f aca="false">IF(TRIM(AK232)="Yes",5,0)</f>
        <v>5</v>
      </c>
      <c r="W232" s="4" t="n">
        <f aca="false">IF(TRIM(AM232)="Yes",5,0)</f>
        <v>5</v>
      </c>
      <c r="X232" s="4" t="n">
        <f aca="false">IF(OR(TRIM(AN232)="Fully Available",TRIM(AN232)="Not Applicable"),5,IF(TRIM(AN232)="Partially Available",2.5,0))</f>
        <v>5</v>
      </c>
      <c r="Y232" s="4" t="n">
        <f aca="false">IF(TRIM(AO232)="Yes",5,0)</f>
        <v>5</v>
      </c>
      <c r="Z232" s="4" t="n">
        <f aca="false">IF(TRIM(AP232)="Yes",2.5,0)</f>
        <v>2.5</v>
      </c>
      <c r="AA232" s="4" t="n">
        <f aca="false">IF(TRIM(AQ232)="Yes",5,0)</f>
        <v>5</v>
      </c>
      <c r="AB232" s="4" t="n">
        <f aca="false">IF(OR(TRIM(AR232)="Yes",TRIM(AR232)="Not Applicable"),5,0)</f>
        <v>5</v>
      </c>
      <c r="AC232" s="4" t="n">
        <f aca="false">IF(TRIM(AS232)="Excellent",5,IF(TRIM(AS232)="Very Good",4,IF(TRIM(AS232)="Good",3,IF(TRIM(AS232)="Average",2,0))))</f>
        <v>4</v>
      </c>
      <c r="AD232" s="7" t="n">
        <f aca="false">IF(COUNT(S232:AC232)=0,"",SUM(S232:AC232))</f>
        <v>89</v>
      </c>
      <c r="AE232" s="7"/>
      <c r="AF232" s="8"/>
      <c r="AG232" s="5"/>
      <c r="AH232" s="4"/>
      <c r="AI232" s="4" t="s">
        <v>62</v>
      </c>
      <c r="AJ232" s="4" t="s">
        <v>82</v>
      </c>
      <c r="AK232" s="4" t="s">
        <v>62</v>
      </c>
      <c r="AL232" s="4" t="s">
        <v>63</v>
      </c>
      <c r="AM232" s="4" t="s">
        <v>62</v>
      </c>
      <c r="AN232" s="4" t="s">
        <v>64</v>
      </c>
      <c r="AO232" s="4" t="s">
        <v>62</v>
      </c>
      <c r="AP232" s="4" t="s">
        <v>62</v>
      </c>
      <c r="AQ232" s="4" t="s">
        <v>62</v>
      </c>
      <c r="AR232" s="4" t="s">
        <v>73</v>
      </c>
      <c r="AS232" s="4" t="s">
        <v>74</v>
      </c>
      <c r="AT232" s="4" t="n">
        <v>8</v>
      </c>
      <c r="AU232" s="4" t="s">
        <v>66</v>
      </c>
      <c r="AV232" s="4" t="s">
        <v>350</v>
      </c>
      <c r="AW232" s="4" t="s">
        <v>792</v>
      </c>
      <c r="AX232" s="4" t="s">
        <v>793</v>
      </c>
      <c r="AY232" s="4" t="n">
        <v>6</v>
      </c>
      <c r="AZ232" s="4" t="s">
        <v>62</v>
      </c>
      <c r="BA232" s="4" t="s">
        <v>791</v>
      </c>
      <c r="BB232" s="4" t="s">
        <v>760</v>
      </c>
      <c r="BC232" s="6" t="n">
        <v>0.5</v>
      </c>
      <c r="BD232" s="4" t="n">
        <v>91</v>
      </c>
    </row>
    <row r="233" customFormat="false" ht="72.35" hidden="false" customHeight="false" outlineLevel="0" collapsed="false">
      <c r="A233" s="4"/>
      <c r="B233" s="4" t="s">
        <v>753</v>
      </c>
      <c r="C233" s="4" t="s">
        <v>57</v>
      </c>
      <c r="D233" s="4" t="s">
        <v>754</v>
      </c>
      <c r="E233" s="4" t="s">
        <v>779</v>
      </c>
      <c r="F233" s="4" t="n">
        <v>1807</v>
      </c>
      <c r="G233" s="5" t="s">
        <v>788</v>
      </c>
      <c r="H233" s="5" t="s">
        <v>90</v>
      </c>
      <c r="I233" s="4"/>
      <c r="J233" s="4"/>
      <c r="K233" s="4"/>
      <c r="L233" s="4" t="n">
        <v>20</v>
      </c>
      <c r="M233" s="4" t="n">
        <v>20</v>
      </c>
      <c r="N233" s="4" t="n">
        <v>0</v>
      </c>
      <c r="O233" s="4" t="n">
        <v>19</v>
      </c>
      <c r="P233" s="4" t="n">
        <v>1</v>
      </c>
      <c r="Q233" s="4" t="n">
        <v>7</v>
      </c>
      <c r="R233" s="6" t="n">
        <f aca="false">IF(N(L233)=0,0,O233/L233)</f>
        <v>0.95</v>
      </c>
      <c r="S233" s="4" t="n">
        <f aca="false">IF(R233="","",IF(R233&gt;=0.8,50,IF(R233&gt;=0.5,30,IF(R233&gt;=0.01,10,0))))</f>
        <v>50</v>
      </c>
      <c r="T233" s="4" t="n">
        <f aca="false">IF(TRIM(AI233)="Yes",2.5,0)</f>
        <v>2.5</v>
      </c>
      <c r="U233" s="4" t="n">
        <f aca="false">IF(TRIM(AJ233)="Yes",10,0)</f>
        <v>0</v>
      </c>
      <c r="V233" s="4" t="n">
        <f aca="false">IF(TRIM(AK233)="Yes",5,0)</f>
        <v>5</v>
      </c>
      <c r="W233" s="4" t="n">
        <f aca="false">IF(TRIM(AM233)="Yes",5,0)</f>
        <v>5</v>
      </c>
      <c r="X233" s="4" t="n">
        <f aca="false">IF(OR(TRIM(AN233)="Fully Available",TRIM(AN233)="Not Applicable"),5,IF(TRIM(AN233)="Partially Available",2.5,0))</f>
        <v>5</v>
      </c>
      <c r="Y233" s="4" t="n">
        <f aca="false">IF(TRIM(AO233)="Yes",5,0)</f>
        <v>5</v>
      </c>
      <c r="Z233" s="4" t="n">
        <f aca="false">IF(TRIM(AP233)="Yes",2.5,0)</f>
        <v>2.5</v>
      </c>
      <c r="AA233" s="4" t="n">
        <f aca="false">IF(TRIM(AQ233)="Yes",5,0)</f>
        <v>5</v>
      </c>
      <c r="AB233" s="4" t="n">
        <f aca="false">IF(OR(TRIM(AR233)="Yes",TRIM(AR233)="Not Applicable"),5,0)</f>
        <v>5</v>
      </c>
      <c r="AC233" s="4" t="n">
        <f aca="false">IF(TRIM(AS233)="Excellent",5,IF(TRIM(AS233)="Very Good",4,IF(TRIM(AS233)="Good",3,IF(TRIM(AS233)="Average",2,0))))</f>
        <v>4</v>
      </c>
      <c r="AD233" s="7" t="n">
        <f aca="false">IF(COUNT(S233:AC233)=0,"",SUM(S233:AC233))</f>
        <v>89</v>
      </c>
      <c r="AE233" s="7"/>
      <c r="AF233" s="8"/>
      <c r="AG233" s="5"/>
      <c r="AH233" s="4"/>
      <c r="AI233" s="4" t="s">
        <v>62</v>
      </c>
      <c r="AJ233" s="4" t="s">
        <v>82</v>
      </c>
      <c r="AK233" s="4" t="s">
        <v>62</v>
      </c>
      <c r="AL233" s="4" t="s">
        <v>63</v>
      </c>
      <c r="AM233" s="4" t="s">
        <v>62</v>
      </c>
      <c r="AN233" s="4" t="s">
        <v>64</v>
      </c>
      <c r="AO233" s="4" t="s">
        <v>62</v>
      </c>
      <c r="AP233" s="4" t="s">
        <v>62</v>
      </c>
      <c r="AQ233" s="4" t="s">
        <v>62</v>
      </c>
      <c r="AR233" s="4" t="s">
        <v>73</v>
      </c>
      <c r="AS233" s="4" t="s">
        <v>74</v>
      </c>
      <c r="AT233" s="4" t="n">
        <v>8</v>
      </c>
      <c r="AU233" s="4" t="s">
        <v>66</v>
      </c>
      <c r="AV233" s="4" t="s">
        <v>350</v>
      </c>
      <c r="AW233" s="4" t="s">
        <v>794</v>
      </c>
      <c r="AX233" s="4" t="s">
        <v>793</v>
      </c>
      <c r="AY233" s="4" t="n">
        <v>6</v>
      </c>
      <c r="AZ233" s="4" t="s">
        <v>62</v>
      </c>
      <c r="BA233" s="4" t="s">
        <v>791</v>
      </c>
      <c r="BB233" s="4" t="s">
        <v>760</v>
      </c>
      <c r="BC233" s="6" t="n">
        <v>0.3684</v>
      </c>
      <c r="BD233" s="4" t="n">
        <v>91</v>
      </c>
    </row>
    <row r="234" customFormat="false" ht="72.35" hidden="false" customHeight="false" outlineLevel="0" collapsed="false">
      <c r="A234" s="4"/>
      <c r="B234" s="4" t="s">
        <v>753</v>
      </c>
      <c r="C234" s="4" t="s">
        <v>57</v>
      </c>
      <c r="D234" s="4" t="s">
        <v>754</v>
      </c>
      <c r="E234" s="4" t="s">
        <v>779</v>
      </c>
      <c r="F234" s="4" t="n">
        <v>1807</v>
      </c>
      <c r="G234" s="5" t="s">
        <v>788</v>
      </c>
      <c r="H234" s="5" t="s">
        <v>318</v>
      </c>
      <c r="I234" s="4"/>
      <c r="J234" s="4"/>
      <c r="K234" s="4"/>
      <c r="L234" s="4" t="n">
        <v>20</v>
      </c>
      <c r="M234" s="4" t="n">
        <v>20</v>
      </c>
      <c r="N234" s="4" t="n">
        <v>0</v>
      </c>
      <c r="O234" s="4" t="n">
        <v>18</v>
      </c>
      <c r="P234" s="4" t="n">
        <v>2</v>
      </c>
      <c r="Q234" s="4" t="n">
        <v>7</v>
      </c>
      <c r="R234" s="6" t="n">
        <f aca="false">IF(N(L234)=0,0,O234/L234)</f>
        <v>0.9</v>
      </c>
      <c r="S234" s="4" t="n">
        <f aca="false">IF(R234="","",IF(R234&gt;=0.8,50,IF(R234&gt;=0.5,30,IF(R234&gt;=0.01,10,0))))</f>
        <v>50</v>
      </c>
      <c r="T234" s="4" t="n">
        <f aca="false">IF(TRIM(AI234)="Yes",2.5,0)</f>
        <v>2.5</v>
      </c>
      <c r="U234" s="4" t="n">
        <f aca="false">IF(TRIM(AJ234)="Yes",10,0)</f>
        <v>0</v>
      </c>
      <c r="V234" s="4" t="n">
        <f aca="false">IF(TRIM(AK234)="Yes",5,0)</f>
        <v>5</v>
      </c>
      <c r="W234" s="4" t="n">
        <f aca="false">IF(TRIM(AM234)="Yes",5,0)</f>
        <v>5</v>
      </c>
      <c r="X234" s="4" t="n">
        <f aca="false">IF(OR(TRIM(AN234)="Fully Available",TRIM(AN234)="Not Applicable"),5,IF(TRIM(AN234)="Partially Available",2.5,0))</f>
        <v>5</v>
      </c>
      <c r="Y234" s="4" t="n">
        <f aca="false">IF(TRIM(AO234)="Yes",5,0)</f>
        <v>5</v>
      </c>
      <c r="Z234" s="4" t="n">
        <f aca="false">IF(TRIM(AP234)="Yes",2.5,0)</f>
        <v>2.5</v>
      </c>
      <c r="AA234" s="4" t="n">
        <f aca="false">IF(TRIM(AQ234)="Yes",5,0)</f>
        <v>5</v>
      </c>
      <c r="AB234" s="4" t="n">
        <f aca="false">IF(OR(TRIM(AR234)="Yes",TRIM(AR234)="Not Applicable"),5,0)</f>
        <v>5</v>
      </c>
      <c r="AC234" s="4" t="n">
        <f aca="false">IF(TRIM(AS234)="Excellent",5,IF(TRIM(AS234)="Very Good",4,IF(TRIM(AS234)="Good",3,IF(TRIM(AS234)="Average",2,0))))</f>
        <v>4</v>
      </c>
      <c r="AD234" s="7" t="n">
        <f aca="false">IF(COUNT(S234:AC234)=0,"",SUM(S234:AC234))</f>
        <v>89</v>
      </c>
      <c r="AE234" s="7"/>
      <c r="AF234" s="8"/>
      <c r="AG234" s="5"/>
      <c r="AH234" s="4"/>
      <c r="AI234" s="4" t="s">
        <v>62</v>
      </c>
      <c r="AJ234" s="4" t="s">
        <v>82</v>
      </c>
      <c r="AK234" s="4" t="s">
        <v>62</v>
      </c>
      <c r="AL234" s="4" t="s">
        <v>63</v>
      </c>
      <c r="AM234" s="4" t="s">
        <v>62</v>
      </c>
      <c r="AN234" s="4" t="s">
        <v>64</v>
      </c>
      <c r="AO234" s="4" t="s">
        <v>62</v>
      </c>
      <c r="AP234" s="4" t="s">
        <v>62</v>
      </c>
      <c r="AQ234" s="4" t="s">
        <v>62</v>
      </c>
      <c r="AR234" s="4" t="s">
        <v>62</v>
      </c>
      <c r="AS234" s="4" t="s">
        <v>74</v>
      </c>
      <c r="AT234" s="4" t="n">
        <v>8</v>
      </c>
      <c r="AU234" s="4" t="s">
        <v>66</v>
      </c>
      <c r="AV234" s="4" t="s">
        <v>350</v>
      </c>
      <c r="AW234" s="4" t="s">
        <v>795</v>
      </c>
      <c r="AX234" s="4" t="s">
        <v>796</v>
      </c>
      <c r="AY234" s="4" t="n">
        <v>5</v>
      </c>
      <c r="AZ234" s="4" t="s">
        <v>62</v>
      </c>
      <c r="BA234" s="4" t="s">
        <v>791</v>
      </c>
      <c r="BB234" s="4" t="s">
        <v>760</v>
      </c>
      <c r="BC234" s="6" t="n">
        <v>0.3889</v>
      </c>
      <c r="BD234" s="4" t="n">
        <v>91</v>
      </c>
    </row>
    <row r="235" customFormat="false" ht="72.35" hidden="false" customHeight="false" outlineLevel="0" collapsed="false">
      <c r="A235" s="4"/>
      <c r="B235" s="4" t="s">
        <v>753</v>
      </c>
      <c r="C235" s="4" t="s">
        <v>57</v>
      </c>
      <c r="D235" s="4" t="s">
        <v>754</v>
      </c>
      <c r="E235" s="4" t="s">
        <v>779</v>
      </c>
      <c r="F235" s="4" t="n">
        <v>1807</v>
      </c>
      <c r="G235" s="5" t="s">
        <v>788</v>
      </c>
      <c r="H235" s="5" t="s">
        <v>261</v>
      </c>
      <c r="I235" s="4"/>
      <c r="J235" s="4"/>
      <c r="K235" s="4"/>
      <c r="L235" s="4" t="n">
        <v>20</v>
      </c>
      <c r="M235" s="4" t="n">
        <v>20</v>
      </c>
      <c r="N235" s="4" t="n">
        <v>0</v>
      </c>
      <c r="O235" s="4" t="n">
        <v>20</v>
      </c>
      <c r="P235" s="4" t="n">
        <v>0</v>
      </c>
      <c r="Q235" s="4" t="n">
        <v>7</v>
      </c>
      <c r="R235" s="6" t="n">
        <f aca="false">IF(N(L235)=0,0,O235/L235)</f>
        <v>1</v>
      </c>
      <c r="S235" s="4" t="n">
        <f aca="false">IF(R235="","",IF(R235&gt;=0.8,50,IF(R235&gt;=0.5,30,IF(R235&gt;=0.01,10,0))))</f>
        <v>50</v>
      </c>
      <c r="T235" s="4" t="n">
        <f aca="false">IF(TRIM(AI235)="Yes",2.5,0)</f>
        <v>2.5</v>
      </c>
      <c r="U235" s="4" t="n">
        <f aca="false">IF(TRIM(AJ235)="Yes",10,0)</f>
        <v>0</v>
      </c>
      <c r="V235" s="4" t="n">
        <f aca="false">IF(TRIM(AK235)="Yes",5,0)</f>
        <v>5</v>
      </c>
      <c r="W235" s="4" t="n">
        <f aca="false">IF(TRIM(AM235)="Yes",5,0)</f>
        <v>5</v>
      </c>
      <c r="X235" s="4" t="n">
        <f aca="false">IF(OR(TRIM(AN235)="Fully Available",TRIM(AN235)="Not Applicable"),5,IF(TRIM(AN235)="Partially Available",2.5,0))</f>
        <v>5</v>
      </c>
      <c r="Y235" s="4" t="n">
        <f aca="false">IF(TRIM(AO235)="Yes",5,0)</f>
        <v>5</v>
      </c>
      <c r="Z235" s="4" t="n">
        <f aca="false">IF(TRIM(AP235)="Yes",2.5,0)</f>
        <v>2.5</v>
      </c>
      <c r="AA235" s="4" t="n">
        <f aca="false">IF(TRIM(AQ235)="Yes",5,0)</f>
        <v>5</v>
      </c>
      <c r="AB235" s="4" t="n">
        <f aca="false">IF(OR(TRIM(AR235)="Yes",TRIM(AR235)="Not Applicable"),5,0)</f>
        <v>5</v>
      </c>
      <c r="AC235" s="4" t="n">
        <f aca="false">IF(TRIM(AS235)="Excellent",5,IF(TRIM(AS235)="Very Good",4,IF(TRIM(AS235)="Good",3,IF(TRIM(AS235)="Average",2,0))))</f>
        <v>4</v>
      </c>
      <c r="AD235" s="7" t="n">
        <f aca="false">IF(COUNT(S235:AC235)=0,"",SUM(S235:AC235))</f>
        <v>89</v>
      </c>
      <c r="AE235" s="7"/>
      <c r="AF235" s="8"/>
      <c r="AG235" s="5"/>
      <c r="AH235" s="4"/>
      <c r="AI235" s="4" t="s">
        <v>62</v>
      </c>
      <c r="AJ235" s="4" t="s">
        <v>82</v>
      </c>
      <c r="AK235" s="4" t="s">
        <v>62</v>
      </c>
      <c r="AL235" s="4" t="s">
        <v>63</v>
      </c>
      <c r="AM235" s="4" t="s">
        <v>62</v>
      </c>
      <c r="AN235" s="4" t="s">
        <v>64</v>
      </c>
      <c r="AO235" s="4" t="s">
        <v>62</v>
      </c>
      <c r="AP235" s="4" t="s">
        <v>62</v>
      </c>
      <c r="AQ235" s="4" t="s">
        <v>62</v>
      </c>
      <c r="AR235" s="4" t="s">
        <v>62</v>
      </c>
      <c r="AS235" s="4" t="s">
        <v>74</v>
      </c>
      <c r="AT235" s="4" t="n">
        <v>8</v>
      </c>
      <c r="AU235" s="4" t="s">
        <v>66</v>
      </c>
      <c r="AV235" s="4" t="s">
        <v>350</v>
      </c>
      <c r="AW235" s="4" t="s">
        <v>797</v>
      </c>
      <c r="AX235" s="4" t="s">
        <v>519</v>
      </c>
      <c r="AY235" s="4" t="n">
        <v>4</v>
      </c>
      <c r="AZ235" s="4" t="s">
        <v>62</v>
      </c>
      <c r="BA235" s="4" t="s">
        <v>791</v>
      </c>
      <c r="BB235" s="4" t="s">
        <v>760</v>
      </c>
      <c r="BC235" s="6" t="n">
        <v>0.35</v>
      </c>
      <c r="BD235" s="4" t="n">
        <v>91</v>
      </c>
    </row>
    <row r="236" customFormat="false" ht="44" hidden="false" customHeight="false" outlineLevel="0" collapsed="false">
      <c r="A236" s="4" t="n">
        <v>105</v>
      </c>
      <c r="B236" s="4" t="s">
        <v>753</v>
      </c>
      <c r="C236" s="4" t="s">
        <v>57</v>
      </c>
      <c r="D236" s="4" t="s">
        <v>754</v>
      </c>
      <c r="E236" s="4" t="s">
        <v>755</v>
      </c>
      <c r="F236" s="4" t="n">
        <v>2095</v>
      </c>
      <c r="G236" s="5" t="s">
        <v>798</v>
      </c>
      <c r="H236" s="5" t="s">
        <v>404</v>
      </c>
      <c r="I236" s="4"/>
      <c r="J236" s="4"/>
      <c r="K236" s="4"/>
      <c r="L236" s="4" t="n">
        <v>20</v>
      </c>
      <c r="M236" s="4" t="n">
        <v>20</v>
      </c>
      <c r="N236" s="4" t="n">
        <v>0</v>
      </c>
      <c r="O236" s="4" t="n">
        <v>18</v>
      </c>
      <c r="P236" s="4" t="n">
        <v>2</v>
      </c>
      <c r="Q236" s="4" t="n">
        <v>5</v>
      </c>
      <c r="R236" s="6" t="n">
        <f aca="false">IF(N(L236)=0,0,O236/L236)</f>
        <v>0.9</v>
      </c>
      <c r="S236" s="4" t="n">
        <f aca="false">IF(R236="","",IF(R236&gt;=0.8,50,IF(R236&gt;=0.5,30,IF(R236&gt;=0.01,10,0))))</f>
        <v>50</v>
      </c>
      <c r="T236" s="4" t="n">
        <f aca="false">IF(TRIM(AI236)="Yes",2.5,0)</f>
        <v>2.5</v>
      </c>
      <c r="U236" s="4" t="n">
        <f aca="false">IF(TRIM(AJ236)="Yes",10,0)</f>
        <v>0</v>
      </c>
      <c r="V236" s="4" t="n">
        <f aca="false">IF(TRIM(AK236)="Yes",5,0)</f>
        <v>5</v>
      </c>
      <c r="W236" s="4" t="n">
        <f aca="false">IF(TRIM(AM236)="Yes",5,0)</f>
        <v>5</v>
      </c>
      <c r="X236" s="4" t="n">
        <f aca="false">IF(OR(TRIM(AN236)="Fully Available",TRIM(AN236)="Not Applicable"),5,IF(TRIM(AN236)="Partially Available",2.5,0))</f>
        <v>5</v>
      </c>
      <c r="Y236" s="4" t="n">
        <f aca="false">IF(TRIM(AO236)="Yes",5,0)</f>
        <v>5</v>
      </c>
      <c r="Z236" s="4" t="n">
        <f aca="false">IF(TRIM(AP236)="Yes",2.5,0)</f>
        <v>2.5</v>
      </c>
      <c r="AA236" s="4" t="n">
        <f aca="false">IF(TRIM(AQ236)="Yes",5,0)</f>
        <v>5</v>
      </c>
      <c r="AB236" s="4" t="n">
        <f aca="false">IF(OR(TRIM(AR236)="Yes",TRIM(AR236)="Not Applicable"),5,0)</f>
        <v>5</v>
      </c>
      <c r="AC236" s="4" t="n">
        <f aca="false">IF(TRIM(AS236)="Excellent",5,IF(TRIM(AS236)="Very Good",4,IF(TRIM(AS236)="Good",3,IF(TRIM(AS236)="Average",2,0))))</f>
        <v>3</v>
      </c>
      <c r="AD236" s="7" t="n">
        <f aca="false">IF(COUNT(S236:AC236)=0,"",SUM(S236:AC236))</f>
        <v>88</v>
      </c>
      <c r="AE236" s="7" t="n">
        <f aca="false">IF(COUNTIF($F$2:F236,F236)=1,IFERROR(AVERAGEIF($F:$F,F236,$AD:$AD),""),"")</f>
        <v>88</v>
      </c>
      <c r="AF236" s="8" t="str">
        <f aca="false">IF(AH236&lt;&gt;"",AH236,IF(AE236="","",IF(AE236&gt;=80,"Excellent",IF(AE236&gt;=70,"Very Good",IF(AE236&gt;=60,"Good",IF(AE236&gt;=50,"Average","Poor"))))))</f>
        <v>Excellent</v>
      </c>
      <c r="AG236" s="5"/>
      <c r="AH236" s="4"/>
      <c r="AI236" s="4" t="s">
        <v>62</v>
      </c>
      <c r="AJ236" s="4" t="s">
        <v>82</v>
      </c>
      <c r="AK236" s="4" t="s">
        <v>62</v>
      </c>
      <c r="AL236" s="4" t="s">
        <v>63</v>
      </c>
      <c r="AM236" s="4" t="s">
        <v>62</v>
      </c>
      <c r="AN236" s="4" t="s">
        <v>64</v>
      </c>
      <c r="AO236" s="4" t="s">
        <v>62</v>
      </c>
      <c r="AP236" s="4" t="s">
        <v>62</v>
      </c>
      <c r="AQ236" s="4" t="s">
        <v>62</v>
      </c>
      <c r="AR236" s="4" t="s">
        <v>62</v>
      </c>
      <c r="AS236" s="4" t="s">
        <v>185</v>
      </c>
      <c r="AT236" s="4" t="n">
        <v>6</v>
      </c>
      <c r="AU236" s="4" t="s">
        <v>66</v>
      </c>
      <c r="AV236" s="4" t="s">
        <v>128</v>
      </c>
      <c r="AW236" s="4" t="s">
        <v>799</v>
      </c>
      <c r="AX236" s="4" t="s">
        <v>508</v>
      </c>
      <c r="AY236" s="4" t="n">
        <v>9</v>
      </c>
      <c r="AZ236" s="4" t="s">
        <v>62</v>
      </c>
      <c r="BA236" s="4" t="s">
        <v>800</v>
      </c>
      <c r="BB236" s="4" t="s">
        <v>760</v>
      </c>
      <c r="BC236" s="6" t="n">
        <v>0.2778</v>
      </c>
      <c r="BD236" s="4" t="n">
        <v>89</v>
      </c>
    </row>
    <row r="237" customFormat="false" ht="44" hidden="false" customHeight="false" outlineLevel="0" collapsed="false">
      <c r="A237" s="4"/>
      <c r="B237" s="4" t="s">
        <v>753</v>
      </c>
      <c r="C237" s="4" t="s">
        <v>57</v>
      </c>
      <c r="D237" s="4" t="s">
        <v>754</v>
      </c>
      <c r="E237" s="4" t="s">
        <v>755</v>
      </c>
      <c r="F237" s="4" t="n">
        <v>2095</v>
      </c>
      <c r="G237" s="5" t="s">
        <v>798</v>
      </c>
      <c r="H237" s="5" t="s">
        <v>181</v>
      </c>
      <c r="I237" s="4"/>
      <c r="J237" s="4"/>
      <c r="K237" s="4"/>
      <c r="L237" s="4" t="n">
        <v>40</v>
      </c>
      <c r="M237" s="4" t="n">
        <v>40</v>
      </c>
      <c r="N237" s="4" t="n">
        <v>0</v>
      </c>
      <c r="O237" s="4" t="n">
        <v>34</v>
      </c>
      <c r="P237" s="4" t="n">
        <v>6</v>
      </c>
      <c r="Q237" s="4" t="n">
        <v>10</v>
      </c>
      <c r="R237" s="6" t="n">
        <f aca="false">IF(N(L237)=0,0,O237/L237)</f>
        <v>0.85</v>
      </c>
      <c r="S237" s="4" t="n">
        <f aca="false">IF(R237="","",IF(R237&gt;=0.8,50,IF(R237&gt;=0.5,30,IF(R237&gt;=0.01,10,0))))</f>
        <v>50</v>
      </c>
      <c r="T237" s="4" t="n">
        <f aca="false">IF(TRIM(AI237)="Yes",2.5,0)</f>
        <v>2.5</v>
      </c>
      <c r="U237" s="4" t="n">
        <f aca="false">IF(TRIM(AJ237)="Yes",10,0)</f>
        <v>0</v>
      </c>
      <c r="V237" s="4" t="n">
        <f aca="false">IF(TRIM(AK237)="Yes",5,0)</f>
        <v>5</v>
      </c>
      <c r="W237" s="4" t="n">
        <f aca="false">IF(TRIM(AM237)="Yes",5,0)</f>
        <v>5</v>
      </c>
      <c r="X237" s="4" t="n">
        <f aca="false">IF(OR(TRIM(AN237)="Fully Available",TRIM(AN237)="Not Applicable"),5,IF(TRIM(AN237)="Partially Available",2.5,0))</f>
        <v>5</v>
      </c>
      <c r="Y237" s="4" t="n">
        <f aca="false">IF(TRIM(AO237)="Yes",5,0)</f>
        <v>5</v>
      </c>
      <c r="Z237" s="4" t="n">
        <f aca="false">IF(TRIM(AP237)="Yes",2.5,0)</f>
        <v>2.5</v>
      </c>
      <c r="AA237" s="4" t="n">
        <f aca="false">IF(TRIM(AQ237)="Yes",5,0)</f>
        <v>5</v>
      </c>
      <c r="AB237" s="4" t="n">
        <f aca="false">IF(OR(TRIM(AR237)="Yes",TRIM(AR237)="Not Applicable"),5,0)</f>
        <v>5</v>
      </c>
      <c r="AC237" s="4" t="n">
        <f aca="false">IF(TRIM(AS237)="Excellent",5,IF(TRIM(AS237)="Very Good",4,IF(TRIM(AS237)="Good",3,IF(TRIM(AS237)="Average",2,0))))</f>
        <v>3</v>
      </c>
      <c r="AD237" s="7" t="n">
        <f aca="false">IF(COUNT(S237:AC237)=0,"",SUM(S237:AC237))</f>
        <v>88</v>
      </c>
      <c r="AE237" s="7"/>
      <c r="AF237" s="8"/>
      <c r="AG237" s="5"/>
      <c r="AH237" s="4"/>
      <c r="AI237" s="4" t="s">
        <v>62</v>
      </c>
      <c r="AJ237" s="4" t="s">
        <v>82</v>
      </c>
      <c r="AK237" s="4" t="s">
        <v>62</v>
      </c>
      <c r="AL237" s="4" t="s">
        <v>63</v>
      </c>
      <c r="AM237" s="4" t="s">
        <v>62</v>
      </c>
      <c r="AN237" s="4" t="s">
        <v>64</v>
      </c>
      <c r="AO237" s="4" t="s">
        <v>62</v>
      </c>
      <c r="AP237" s="4" t="s">
        <v>62</v>
      </c>
      <c r="AQ237" s="4" t="s">
        <v>62</v>
      </c>
      <c r="AR237" s="4" t="s">
        <v>62</v>
      </c>
      <c r="AS237" s="4" t="s">
        <v>185</v>
      </c>
      <c r="AT237" s="4" t="n">
        <v>6</v>
      </c>
      <c r="AU237" s="4" t="s">
        <v>66</v>
      </c>
      <c r="AV237" s="4" t="s">
        <v>128</v>
      </c>
      <c r="AW237" s="4" t="s">
        <v>801</v>
      </c>
      <c r="AX237" s="4" t="s">
        <v>508</v>
      </c>
      <c r="AY237" s="4" t="n">
        <v>23</v>
      </c>
      <c r="AZ237" s="4" t="s">
        <v>62</v>
      </c>
      <c r="BA237" s="4" t="s">
        <v>800</v>
      </c>
      <c r="BB237" s="4" t="s">
        <v>760</v>
      </c>
      <c r="BC237" s="6" t="n">
        <v>0.2941</v>
      </c>
      <c r="BD237" s="4" t="n">
        <v>89</v>
      </c>
    </row>
    <row r="238" customFormat="false" ht="44" hidden="false" customHeight="false" outlineLevel="0" collapsed="false">
      <c r="A238" s="4"/>
      <c r="B238" s="4" t="s">
        <v>753</v>
      </c>
      <c r="C238" s="4" t="s">
        <v>57</v>
      </c>
      <c r="D238" s="4" t="s">
        <v>754</v>
      </c>
      <c r="E238" s="4" t="s">
        <v>755</v>
      </c>
      <c r="F238" s="4" t="n">
        <v>2095</v>
      </c>
      <c r="G238" s="5" t="s">
        <v>798</v>
      </c>
      <c r="H238" s="5" t="s">
        <v>115</v>
      </c>
      <c r="I238" s="4"/>
      <c r="J238" s="4"/>
      <c r="K238" s="4"/>
      <c r="L238" s="4" t="n">
        <v>20</v>
      </c>
      <c r="M238" s="4" t="n">
        <v>20</v>
      </c>
      <c r="N238" s="4" t="n">
        <v>0</v>
      </c>
      <c r="O238" s="4" t="n">
        <v>19</v>
      </c>
      <c r="P238" s="4" t="n">
        <v>1</v>
      </c>
      <c r="Q238" s="4" t="n">
        <v>7</v>
      </c>
      <c r="R238" s="6" t="n">
        <f aca="false">IF(N(L238)=0,0,O238/L238)</f>
        <v>0.95</v>
      </c>
      <c r="S238" s="4" t="n">
        <f aca="false">IF(R238="","",IF(R238&gt;=0.8,50,IF(R238&gt;=0.5,30,IF(R238&gt;=0.01,10,0))))</f>
        <v>50</v>
      </c>
      <c r="T238" s="4" t="n">
        <f aca="false">IF(TRIM(AI238)="Yes",2.5,0)</f>
        <v>2.5</v>
      </c>
      <c r="U238" s="4" t="n">
        <f aca="false">IF(TRIM(AJ238)="Yes",10,0)</f>
        <v>0</v>
      </c>
      <c r="V238" s="4" t="n">
        <f aca="false">IF(TRIM(AK238)="Yes",5,0)</f>
        <v>5</v>
      </c>
      <c r="W238" s="4" t="n">
        <f aca="false">IF(TRIM(AM238)="Yes",5,0)</f>
        <v>5</v>
      </c>
      <c r="X238" s="4" t="n">
        <f aca="false">IF(OR(TRIM(AN238)="Fully Available",TRIM(AN238)="Not Applicable"),5,IF(TRIM(AN238)="Partially Available",2.5,0))</f>
        <v>5</v>
      </c>
      <c r="Y238" s="4" t="n">
        <f aca="false">IF(TRIM(AO238)="Yes",5,0)</f>
        <v>5</v>
      </c>
      <c r="Z238" s="4" t="n">
        <f aca="false">IF(TRIM(AP238)="Yes",2.5,0)</f>
        <v>2.5</v>
      </c>
      <c r="AA238" s="4" t="n">
        <f aca="false">IF(TRIM(AQ238)="Yes",5,0)</f>
        <v>5</v>
      </c>
      <c r="AB238" s="4" t="n">
        <f aca="false">IF(OR(TRIM(AR238)="Yes",TRIM(AR238)="Not Applicable"),5,0)</f>
        <v>5</v>
      </c>
      <c r="AC238" s="4" t="n">
        <f aca="false">IF(TRIM(AS238)="Excellent",5,IF(TRIM(AS238)="Very Good",4,IF(TRIM(AS238)="Good",3,IF(TRIM(AS238)="Average",2,0))))</f>
        <v>3</v>
      </c>
      <c r="AD238" s="7" t="n">
        <f aca="false">IF(COUNT(S238:AC238)=0,"",SUM(S238:AC238))</f>
        <v>88</v>
      </c>
      <c r="AE238" s="7"/>
      <c r="AF238" s="8"/>
      <c r="AG238" s="5"/>
      <c r="AH238" s="4"/>
      <c r="AI238" s="4" t="s">
        <v>62</v>
      </c>
      <c r="AJ238" s="4" t="s">
        <v>82</v>
      </c>
      <c r="AK238" s="4" t="s">
        <v>62</v>
      </c>
      <c r="AL238" s="4" t="s">
        <v>63</v>
      </c>
      <c r="AM238" s="4" t="s">
        <v>62</v>
      </c>
      <c r="AN238" s="4" t="s">
        <v>64</v>
      </c>
      <c r="AO238" s="4" t="s">
        <v>62</v>
      </c>
      <c r="AP238" s="4" t="s">
        <v>62</v>
      </c>
      <c r="AQ238" s="4" t="s">
        <v>62</v>
      </c>
      <c r="AR238" s="4" t="s">
        <v>62</v>
      </c>
      <c r="AS238" s="4" t="s">
        <v>185</v>
      </c>
      <c r="AT238" s="4" t="n">
        <v>6</v>
      </c>
      <c r="AU238" s="4" t="s">
        <v>66</v>
      </c>
      <c r="AV238" s="4" t="s">
        <v>128</v>
      </c>
      <c r="AW238" s="4" t="s">
        <v>802</v>
      </c>
      <c r="AX238" s="4" t="s">
        <v>803</v>
      </c>
      <c r="AY238" s="4" t="n">
        <v>3</v>
      </c>
      <c r="AZ238" s="4" t="s">
        <v>62</v>
      </c>
      <c r="BA238" s="4" t="s">
        <v>800</v>
      </c>
      <c r="BB238" s="4" t="s">
        <v>760</v>
      </c>
      <c r="BC238" s="6" t="n">
        <v>0.3684</v>
      </c>
      <c r="BD238" s="4" t="n">
        <v>89</v>
      </c>
    </row>
    <row r="239" customFormat="false" ht="114.9" hidden="false" customHeight="false" outlineLevel="0" collapsed="false">
      <c r="A239" s="4" t="n">
        <v>106</v>
      </c>
      <c r="B239" s="4" t="s">
        <v>753</v>
      </c>
      <c r="C239" s="4" t="s">
        <v>57</v>
      </c>
      <c r="D239" s="4" t="s">
        <v>754</v>
      </c>
      <c r="E239" s="4" t="s">
        <v>755</v>
      </c>
      <c r="F239" s="4" t="n">
        <v>53</v>
      </c>
      <c r="G239" s="5" t="s">
        <v>804</v>
      </c>
      <c r="H239" s="5" t="s">
        <v>78</v>
      </c>
      <c r="I239" s="4"/>
      <c r="J239" s="4"/>
      <c r="K239" s="4"/>
      <c r="L239" s="4" t="n">
        <v>20</v>
      </c>
      <c r="M239" s="4" t="n">
        <v>20</v>
      </c>
      <c r="N239" s="4" t="n">
        <v>0</v>
      </c>
      <c r="O239" s="4" t="n">
        <v>20</v>
      </c>
      <c r="P239" s="4" t="n">
        <v>0</v>
      </c>
      <c r="Q239" s="4" t="n">
        <v>10</v>
      </c>
      <c r="R239" s="6" t="n">
        <f aca="false">IF(N(L239)=0,0,O239/L239)</f>
        <v>1</v>
      </c>
      <c r="S239" s="4" t="n">
        <f aca="false">IF(R239="","",IF(R239&gt;=0.8,50,IF(R239&gt;=0.5,30,IF(R239&gt;=0.01,10,0))))</f>
        <v>50</v>
      </c>
      <c r="T239" s="4" t="n">
        <f aca="false">IF(TRIM(AI239)="Yes",2.5,0)</f>
        <v>2.5</v>
      </c>
      <c r="U239" s="4" t="n">
        <f aca="false">IF(TRIM(AJ239)="Yes",10,0)</f>
        <v>0</v>
      </c>
      <c r="V239" s="4" t="n">
        <f aca="false">IF(TRIM(AK239)="Yes",5,0)</f>
        <v>5</v>
      </c>
      <c r="W239" s="4" t="n">
        <f aca="false">IF(TRIM(AM239)="Yes",5,0)</f>
        <v>5</v>
      </c>
      <c r="X239" s="4" t="n">
        <f aca="false">IF(OR(TRIM(AN239)="Fully Available",TRIM(AN239)="Not Applicable"),5,IF(TRIM(AN239)="Partially Available",2.5,0))</f>
        <v>5</v>
      </c>
      <c r="Y239" s="4" t="n">
        <f aca="false">IF(TRIM(AO239)="Yes",5,0)</f>
        <v>5</v>
      </c>
      <c r="Z239" s="4" t="n">
        <f aca="false">IF(TRIM(AP239)="Yes",2.5,0)</f>
        <v>2.5</v>
      </c>
      <c r="AA239" s="4" t="n">
        <f aca="false">IF(TRIM(AQ239)="Yes",5,0)</f>
        <v>5</v>
      </c>
      <c r="AB239" s="4" t="n">
        <f aca="false">IF(OR(TRIM(AR239)="Yes",TRIM(AR239)="Not Applicable"),5,0)</f>
        <v>5</v>
      </c>
      <c r="AC239" s="4" t="n">
        <f aca="false">IF(TRIM(AS239)="Excellent",5,IF(TRIM(AS239)="Very Good",4,IF(TRIM(AS239)="Good",3,IF(TRIM(AS239)="Average",2,0))))</f>
        <v>3</v>
      </c>
      <c r="AD239" s="7" t="n">
        <f aca="false">IF(COUNT(S239:AC239)=0,"",SUM(S239:AC239))</f>
        <v>88</v>
      </c>
      <c r="AE239" s="7" t="n">
        <f aca="false">IF(COUNTIF($F$2:F239,F239)=1,IFERROR(AVERAGEIF($F:$F,F239,$AD:$AD),""),"")</f>
        <v>88</v>
      </c>
      <c r="AF239" s="8" t="str">
        <f aca="false">IF(AH239&lt;&gt;"",AH239,IF(AE239="","",IF(AE239&gt;=80,"Excellent",IF(AE239&gt;=70,"Very Good",IF(AE239&gt;=60,"Good",IF(AE239&gt;=50,"Average","Poor"))))))</f>
        <v>Excellent</v>
      </c>
      <c r="AG239" s="5"/>
      <c r="AH239" s="4"/>
      <c r="AI239" s="4" t="s">
        <v>62</v>
      </c>
      <c r="AJ239" s="4" t="s">
        <v>82</v>
      </c>
      <c r="AK239" s="4" t="s">
        <v>62</v>
      </c>
      <c r="AL239" s="4" t="s">
        <v>63</v>
      </c>
      <c r="AM239" s="4" t="s">
        <v>62</v>
      </c>
      <c r="AN239" s="4" t="s">
        <v>64</v>
      </c>
      <c r="AO239" s="4" t="s">
        <v>62</v>
      </c>
      <c r="AP239" s="4" t="s">
        <v>62</v>
      </c>
      <c r="AQ239" s="4" t="s">
        <v>62</v>
      </c>
      <c r="AR239" s="4" t="s">
        <v>73</v>
      </c>
      <c r="AS239" s="4" t="s">
        <v>185</v>
      </c>
      <c r="AT239" s="4" t="n">
        <v>7</v>
      </c>
      <c r="AU239" s="4" t="s">
        <v>66</v>
      </c>
      <c r="AV239" s="4" t="s">
        <v>67</v>
      </c>
      <c r="AW239" s="4" t="s">
        <v>805</v>
      </c>
      <c r="AX239" s="4" t="s">
        <v>806</v>
      </c>
      <c r="AY239" s="4" t="n">
        <v>2</v>
      </c>
      <c r="AZ239" s="4" t="s">
        <v>62</v>
      </c>
      <c r="BA239" s="4" t="s">
        <v>807</v>
      </c>
      <c r="BB239" s="4" t="s">
        <v>760</v>
      </c>
      <c r="BC239" s="6" t="n">
        <v>0.5</v>
      </c>
      <c r="BD239" s="4" t="n">
        <v>83</v>
      </c>
    </row>
    <row r="240" customFormat="false" ht="114.9" hidden="false" customHeight="false" outlineLevel="0" collapsed="false">
      <c r="A240" s="4"/>
      <c r="B240" s="4" t="s">
        <v>753</v>
      </c>
      <c r="C240" s="4" t="s">
        <v>57</v>
      </c>
      <c r="D240" s="4" t="s">
        <v>754</v>
      </c>
      <c r="E240" s="4" t="s">
        <v>755</v>
      </c>
      <c r="F240" s="4" t="n">
        <v>53</v>
      </c>
      <c r="G240" s="5" t="s">
        <v>804</v>
      </c>
      <c r="H240" s="5" t="s">
        <v>238</v>
      </c>
      <c r="I240" s="4"/>
      <c r="J240" s="4"/>
      <c r="K240" s="4"/>
      <c r="L240" s="4" t="n">
        <v>20</v>
      </c>
      <c r="M240" s="4" t="n">
        <v>20</v>
      </c>
      <c r="N240" s="4" t="n">
        <v>0</v>
      </c>
      <c r="O240" s="4" t="n">
        <v>20</v>
      </c>
      <c r="P240" s="4" t="n">
        <v>0</v>
      </c>
      <c r="Q240" s="4" t="n">
        <v>8</v>
      </c>
      <c r="R240" s="6" t="n">
        <f aca="false">IF(N(L240)=0,0,O240/L240)</f>
        <v>1</v>
      </c>
      <c r="S240" s="4" t="n">
        <f aca="false">IF(R240="","",IF(R240&gt;=0.8,50,IF(R240&gt;=0.5,30,IF(R240&gt;=0.01,10,0))))</f>
        <v>50</v>
      </c>
      <c r="T240" s="4" t="n">
        <f aca="false">IF(TRIM(AI240)="Yes",2.5,0)</f>
        <v>2.5</v>
      </c>
      <c r="U240" s="4" t="n">
        <f aca="false">IF(TRIM(AJ240)="Yes",10,0)</f>
        <v>0</v>
      </c>
      <c r="V240" s="4" t="n">
        <f aca="false">IF(TRIM(AK240)="Yes",5,0)</f>
        <v>5</v>
      </c>
      <c r="W240" s="4" t="n">
        <f aca="false">IF(TRIM(AM240)="Yes",5,0)</f>
        <v>5</v>
      </c>
      <c r="X240" s="4" t="n">
        <f aca="false">IF(OR(TRIM(AN240)="Fully Available",TRIM(AN240)="Not Applicable"),5,IF(TRIM(AN240)="Partially Available",2.5,0))</f>
        <v>5</v>
      </c>
      <c r="Y240" s="4" t="n">
        <f aca="false">IF(TRIM(AO240)="Yes",5,0)</f>
        <v>5</v>
      </c>
      <c r="Z240" s="4" t="n">
        <f aca="false">IF(TRIM(AP240)="Yes",2.5,0)</f>
        <v>2.5</v>
      </c>
      <c r="AA240" s="4" t="n">
        <f aca="false">IF(TRIM(AQ240)="Yes",5,0)</f>
        <v>5</v>
      </c>
      <c r="AB240" s="4" t="n">
        <f aca="false">IF(OR(TRIM(AR240)="Yes",TRIM(AR240)="Not Applicable"),5,0)</f>
        <v>5</v>
      </c>
      <c r="AC240" s="4" t="n">
        <f aca="false">IF(TRIM(AS240)="Excellent",5,IF(TRIM(AS240)="Very Good",4,IF(TRIM(AS240)="Good",3,IF(TRIM(AS240)="Average",2,0))))</f>
        <v>3</v>
      </c>
      <c r="AD240" s="7" t="n">
        <f aca="false">IF(COUNT(S240:AC240)=0,"",SUM(S240:AC240))</f>
        <v>88</v>
      </c>
      <c r="AE240" s="7"/>
      <c r="AF240" s="8"/>
      <c r="AG240" s="5"/>
      <c r="AH240" s="4"/>
      <c r="AI240" s="4" t="s">
        <v>62</v>
      </c>
      <c r="AJ240" s="4" t="s">
        <v>82</v>
      </c>
      <c r="AK240" s="4" t="s">
        <v>62</v>
      </c>
      <c r="AL240" s="4" t="s">
        <v>63</v>
      </c>
      <c r="AM240" s="4" t="s">
        <v>62</v>
      </c>
      <c r="AN240" s="4" t="s">
        <v>64</v>
      </c>
      <c r="AO240" s="4" t="s">
        <v>62</v>
      </c>
      <c r="AP240" s="4" t="s">
        <v>62</v>
      </c>
      <c r="AQ240" s="4" t="s">
        <v>62</v>
      </c>
      <c r="AR240" s="4" t="s">
        <v>73</v>
      </c>
      <c r="AS240" s="4" t="s">
        <v>185</v>
      </c>
      <c r="AT240" s="4" t="n">
        <v>7</v>
      </c>
      <c r="AU240" s="4" t="s">
        <v>66</v>
      </c>
      <c r="AV240" s="4" t="s">
        <v>67</v>
      </c>
      <c r="AW240" s="4" t="s">
        <v>808</v>
      </c>
      <c r="AX240" s="4" t="s">
        <v>809</v>
      </c>
      <c r="AY240" s="4" t="n">
        <v>6</v>
      </c>
      <c r="AZ240" s="4" t="s">
        <v>62</v>
      </c>
      <c r="BA240" s="4" t="s">
        <v>807</v>
      </c>
      <c r="BB240" s="4" t="s">
        <v>760</v>
      </c>
      <c r="BC240" s="6" t="n">
        <v>0.4</v>
      </c>
      <c r="BD240" s="4" t="n">
        <v>83</v>
      </c>
    </row>
    <row r="241" customFormat="false" ht="58.2" hidden="false" customHeight="false" outlineLevel="0" collapsed="false">
      <c r="A241" s="4" t="n">
        <v>107</v>
      </c>
      <c r="B241" s="4" t="s">
        <v>753</v>
      </c>
      <c r="C241" s="4" t="s">
        <v>57</v>
      </c>
      <c r="D241" s="4" t="s">
        <v>754</v>
      </c>
      <c r="E241" s="4" t="s">
        <v>810</v>
      </c>
      <c r="F241" s="4" t="n">
        <v>1665</v>
      </c>
      <c r="G241" s="5" t="s">
        <v>811</v>
      </c>
      <c r="H241" s="5" t="s">
        <v>812</v>
      </c>
      <c r="I241" s="4"/>
      <c r="J241" s="4"/>
      <c r="K241" s="4"/>
      <c r="L241" s="4" t="n">
        <v>20</v>
      </c>
      <c r="M241" s="4" t="n">
        <v>20</v>
      </c>
      <c r="N241" s="4" t="n">
        <v>0</v>
      </c>
      <c r="O241" s="4" t="n">
        <v>12</v>
      </c>
      <c r="P241" s="4" t="n">
        <v>8</v>
      </c>
      <c r="Q241" s="4" t="n">
        <v>5</v>
      </c>
      <c r="R241" s="6" t="n">
        <f aca="false">IF(N(L241)=0,0,O241/L241)</f>
        <v>0.6</v>
      </c>
      <c r="S241" s="4" t="n">
        <f aca="false">IF(R241="","",IF(R241&gt;=0.8,50,IF(R241&gt;=0.5,30,IF(R241&gt;=0.01,10,0))))</f>
        <v>30</v>
      </c>
      <c r="T241" s="4" t="n">
        <f aca="false">IF(TRIM(AI241)="Yes",2.5,0)</f>
        <v>2.5</v>
      </c>
      <c r="U241" s="4" t="n">
        <f aca="false">IF(TRIM(AJ241)="Yes",10,0)</f>
        <v>10</v>
      </c>
      <c r="V241" s="4" t="n">
        <f aca="false">IF(TRIM(AK241)="Yes",5,0)</f>
        <v>5</v>
      </c>
      <c r="W241" s="4" t="n">
        <f aca="false">IF(TRIM(AM241)="Yes",5,0)</f>
        <v>5</v>
      </c>
      <c r="X241" s="4" t="n">
        <f aca="false">IF(OR(TRIM(AN241)="Fully Available",TRIM(AN241)="Not Applicable"),5,IF(TRIM(AN241)="Partially Available",2.5,0))</f>
        <v>2.5</v>
      </c>
      <c r="Y241" s="4" t="n">
        <f aca="false">IF(TRIM(AO241)="Yes",5,0)</f>
        <v>5</v>
      </c>
      <c r="Z241" s="4" t="n">
        <f aca="false">IF(TRIM(AP241)="Yes",2.5,0)</f>
        <v>2.5</v>
      </c>
      <c r="AA241" s="4" t="n">
        <f aca="false">IF(TRIM(AQ241)="Yes",5,0)</f>
        <v>5</v>
      </c>
      <c r="AB241" s="4" t="n">
        <f aca="false">IF(OR(TRIM(AR241)="Yes",TRIM(AR241)="Not Applicable"),5,0)</f>
        <v>5</v>
      </c>
      <c r="AC241" s="4" t="n">
        <f aca="false">IF(TRIM(AS241)="Excellent",5,IF(TRIM(AS241)="Very Good",4,IF(TRIM(AS241)="Good",3,IF(TRIM(AS241)="Average",2,0))))</f>
        <v>2</v>
      </c>
      <c r="AD241" s="7" t="n">
        <f aca="false">IF(COUNT(S241:AC241)=0,"",SUM(S241:AC241))</f>
        <v>74.5</v>
      </c>
      <c r="AE241" s="7" t="n">
        <f aca="false">IF(COUNTIF($F$2:F241,F241)=1,IFERROR(AVERAGEIF($F:$F,F241,$AD:$AD),""),"")</f>
        <v>64.5</v>
      </c>
      <c r="AF241" s="8" t="str">
        <f aca="false">IF(AH241&lt;&gt;"",AH241,IF(AE241="","",IF(AE241&gt;=80,"Excellent",IF(AE241&gt;=70,"Very Good",IF(AE241&gt;=60,"Good",IF(AE241&gt;=50,"Average","Poor"))))))</f>
        <v>Good</v>
      </c>
      <c r="AG241" s="5"/>
      <c r="AH241" s="4"/>
      <c r="AI241" s="4" t="s">
        <v>62</v>
      </c>
      <c r="AJ241" s="4" t="s">
        <v>62</v>
      </c>
      <c r="AK241" s="4" t="s">
        <v>62</v>
      </c>
      <c r="AL241" s="4" t="s">
        <v>63</v>
      </c>
      <c r="AM241" s="4" t="s">
        <v>62</v>
      </c>
      <c r="AN241" s="4" t="s">
        <v>147</v>
      </c>
      <c r="AO241" s="4" t="s">
        <v>62</v>
      </c>
      <c r="AP241" s="4" t="s">
        <v>62</v>
      </c>
      <c r="AQ241" s="4" t="s">
        <v>62</v>
      </c>
      <c r="AR241" s="4" t="s">
        <v>62</v>
      </c>
      <c r="AS241" s="4" t="s">
        <v>173</v>
      </c>
      <c r="AT241" s="4" t="n">
        <v>2</v>
      </c>
      <c r="AU241" s="4" t="s">
        <v>66</v>
      </c>
      <c r="AV241" s="4" t="s">
        <v>67</v>
      </c>
      <c r="AW241" s="4" t="s">
        <v>813</v>
      </c>
      <c r="AX241" s="4" t="s">
        <v>153</v>
      </c>
      <c r="AY241" s="4" t="n">
        <v>4</v>
      </c>
      <c r="AZ241" s="4" t="s">
        <v>62</v>
      </c>
      <c r="BA241" s="4" t="s">
        <v>814</v>
      </c>
      <c r="BB241" s="4" t="s">
        <v>760</v>
      </c>
      <c r="BC241" s="6" t="n">
        <v>0.4167</v>
      </c>
      <c r="BD241" s="4" t="n">
        <v>75</v>
      </c>
    </row>
    <row r="242" customFormat="false" ht="58.2" hidden="false" customHeight="false" outlineLevel="0" collapsed="false">
      <c r="A242" s="4"/>
      <c r="B242" s="4" t="s">
        <v>753</v>
      </c>
      <c r="C242" s="4" t="s">
        <v>57</v>
      </c>
      <c r="D242" s="4" t="s">
        <v>754</v>
      </c>
      <c r="E242" s="4" t="s">
        <v>810</v>
      </c>
      <c r="F242" s="4" t="n">
        <v>1665</v>
      </c>
      <c r="G242" s="5" t="s">
        <v>811</v>
      </c>
      <c r="H242" s="5" t="s">
        <v>693</v>
      </c>
      <c r="I242" s="4"/>
      <c r="J242" s="4"/>
      <c r="K242" s="4"/>
      <c r="L242" s="4" t="n">
        <v>20</v>
      </c>
      <c r="M242" s="4" t="n">
        <v>20</v>
      </c>
      <c r="N242" s="4" t="n">
        <v>0</v>
      </c>
      <c r="O242" s="4" t="n">
        <v>8</v>
      </c>
      <c r="P242" s="4" t="n">
        <v>12</v>
      </c>
      <c r="Q242" s="4" t="n">
        <v>5</v>
      </c>
      <c r="R242" s="6" t="n">
        <f aca="false">IF(N(L242)=0,0,O242/L242)</f>
        <v>0.4</v>
      </c>
      <c r="S242" s="4" t="n">
        <f aca="false">IF(R242="","",IF(R242&gt;=0.8,50,IF(R242&gt;=0.5,30,IF(R242&gt;=0.01,10,0))))</f>
        <v>10</v>
      </c>
      <c r="T242" s="4" t="n">
        <f aca="false">IF(TRIM(AI242)="Yes",2.5,0)</f>
        <v>2.5</v>
      </c>
      <c r="U242" s="4" t="n">
        <f aca="false">IF(TRIM(AJ242)="Yes",10,0)</f>
        <v>10</v>
      </c>
      <c r="V242" s="4" t="n">
        <f aca="false">IF(TRIM(AK242)="Yes",5,0)</f>
        <v>5</v>
      </c>
      <c r="W242" s="4" t="n">
        <f aca="false">IF(TRIM(AM242)="Yes",5,0)</f>
        <v>5</v>
      </c>
      <c r="X242" s="4" t="n">
        <f aca="false">IF(OR(TRIM(AN242)="Fully Available",TRIM(AN242)="Not Applicable"),5,IF(TRIM(AN242)="Partially Available",2.5,0))</f>
        <v>2.5</v>
      </c>
      <c r="Y242" s="4" t="n">
        <f aca="false">IF(TRIM(AO242)="Yes",5,0)</f>
        <v>5</v>
      </c>
      <c r="Z242" s="4" t="n">
        <f aca="false">IF(TRIM(AP242)="Yes",2.5,0)</f>
        <v>2.5</v>
      </c>
      <c r="AA242" s="4" t="n">
        <f aca="false">IF(TRIM(AQ242)="Yes",5,0)</f>
        <v>5</v>
      </c>
      <c r="AB242" s="4" t="n">
        <f aca="false">IF(OR(TRIM(AR242)="Yes",TRIM(AR242)="Not Applicable"),5,0)</f>
        <v>5</v>
      </c>
      <c r="AC242" s="4" t="n">
        <f aca="false">IF(TRIM(AS242)="Excellent",5,IF(TRIM(AS242)="Very Good",4,IF(TRIM(AS242)="Good",3,IF(TRIM(AS242)="Average",2,0))))</f>
        <v>2</v>
      </c>
      <c r="AD242" s="7" t="n">
        <f aca="false">IF(COUNT(S242:AC242)=0,"",SUM(S242:AC242))</f>
        <v>54.5</v>
      </c>
      <c r="AE242" s="7"/>
      <c r="AF242" s="8"/>
      <c r="AG242" s="5"/>
      <c r="AH242" s="4"/>
      <c r="AI242" s="4" t="s">
        <v>62</v>
      </c>
      <c r="AJ242" s="4" t="s">
        <v>62</v>
      </c>
      <c r="AK242" s="4" t="s">
        <v>62</v>
      </c>
      <c r="AL242" s="4" t="s">
        <v>63</v>
      </c>
      <c r="AM242" s="4" t="s">
        <v>62</v>
      </c>
      <c r="AN242" s="4" t="s">
        <v>147</v>
      </c>
      <c r="AO242" s="4" t="s">
        <v>62</v>
      </c>
      <c r="AP242" s="4" t="s">
        <v>62</v>
      </c>
      <c r="AQ242" s="4" t="s">
        <v>62</v>
      </c>
      <c r="AR242" s="4" t="s">
        <v>62</v>
      </c>
      <c r="AS242" s="4" t="s">
        <v>173</v>
      </c>
      <c r="AT242" s="4" t="n">
        <v>2</v>
      </c>
      <c r="AU242" s="4" t="s">
        <v>112</v>
      </c>
      <c r="AV242" s="4" t="s">
        <v>67</v>
      </c>
      <c r="AW242" s="4" t="s">
        <v>815</v>
      </c>
      <c r="AX242" s="4" t="s">
        <v>816</v>
      </c>
      <c r="AY242" s="4" t="n">
        <v>9</v>
      </c>
      <c r="AZ242" s="4" t="s">
        <v>62</v>
      </c>
      <c r="BA242" s="4" t="s">
        <v>814</v>
      </c>
      <c r="BB242" s="4" t="s">
        <v>760</v>
      </c>
      <c r="BC242" s="6" t="n">
        <v>0.625</v>
      </c>
      <c r="BD242" s="4" t="n">
        <v>75</v>
      </c>
    </row>
    <row r="243" customFormat="false" ht="242.5" hidden="false" customHeight="false" outlineLevel="0" collapsed="false">
      <c r="A243" s="4" t="n">
        <v>108</v>
      </c>
      <c r="B243" s="4" t="s">
        <v>753</v>
      </c>
      <c r="C243" s="4" t="s">
        <v>57</v>
      </c>
      <c r="D243" s="4" t="s">
        <v>754</v>
      </c>
      <c r="E243" s="4" t="s">
        <v>817</v>
      </c>
      <c r="F243" s="4" t="n">
        <v>4846</v>
      </c>
      <c r="G243" s="5" t="s">
        <v>818</v>
      </c>
      <c r="H243" s="5" t="s">
        <v>78</v>
      </c>
      <c r="I243" s="4"/>
      <c r="J243" s="4"/>
      <c r="K243" s="4"/>
      <c r="L243" s="4" t="n">
        <v>60</v>
      </c>
      <c r="M243" s="4" t="n">
        <v>60</v>
      </c>
      <c r="N243" s="4" t="n">
        <v>0</v>
      </c>
      <c r="O243" s="4" t="n">
        <v>51</v>
      </c>
      <c r="P243" s="4" t="n">
        <v>9</v>
      </c>
      <c r="Q243" s="4" t="n">
        <v>51</v>
      </c>
      <c r="R243" s="6" t="n">
        <f aca="false">IF(N(L243)=0,0,O243/L243)</f>
        <v>0.85</v>
      </c>
      <c r="S243" s="4" t="n">
        <f aca="false">IF(R243="","",IF(R243&gt;=0.8,50,IF(R243&gt;=0.5,30,IF(R243&gt;=0.01,10,0))))</f>
        <v>50</v>
      </c>
      <c r="T243" s="4" t="n">
        <f aca="false">IF(TRIM(AI243)="Yes",2.5,0)</f>
        <v>2.5</v>
      </c>
      <c r="U243" s="4" t="n">
        <f aca="false">IF(TRIM(AJ243)="Yes",10,0)</f>
        <v>0</v>
      </c>
      <c r="V243" s="4" t="n">
        <f aca="false">IF(TRIM(AK243)="Yes",5,0)</f>
        <v>5</v>
      </c>
      <c r="W243" s="4" t="n">
        <f aca="false">IF(TRIM(AM243)="Yes",5,0)</f>
        <v>5</v>
      </c>
      <c r="X243" s="4" t="n">
        <f aca="false">IF(OR(TRIM(AN243)="Fully Available",TRIM(AN243)="Not Applicable"),5,IF(TRIM(AN243)="Partially Available",2.5,0))</f>
        <v>2.5</v>
      </c>
      <c r="Y243" s="4" t="n">
        <f aca="false">IF(TRIM(AO243)="Yes",5,0)</f>
        <v>5</v>
      </c>
      <c r="Z243" s="4" t="n">
        <f aca="false">IF(TRIM(AP243)="Yes",2.5,0)</f>
        <v>2.5</v>
      </c>
      <c r="AA243" s="4" t="n">
        <f aca="false">IF(TRIM(AQ243)="Yes",5,0)</f>
        <v>5</v>
      </c>
      <c r="AB243" s="4" t="n">
        <f aca="false">IF(OR(TRIM(AR243)="Yes",TRIM(AR243)="Not Applicable"),5,0)</f>
        <v>5</v>
      </c>
      <c r="AC243" s="4" t="n">
        <f aca="false">IF(TRIM(AS243)="Excellent",5,IF(TRIM(AS243)="Very Good",4,IF(TRIM(AS243)="Good",3,IF(TRIM(AS243)="Average",2,0))))</f>
        <v>4</v>
      </c>
      <c r="AD243" s="7" t="n">
        <f aca="false">IF(COUNT(S243:AC243)=0,"",SUM(S243:AC243))</f>
        <v>86.5</v>
      </c>
      <c r="AE243" s="7" t="n">
        <f aca="false">IF(COUNTIF($F$2:F243,F243)=1,IFERROR(AVERAGEIF($F:$F,F243,$AD:$AD),""),"")</f>
        <v>86.5</v>
      </c>
      <c r="AF243" s="8" t="str">
        <f aca="false">IF(AH243&lt;&gt;"",AH243,IF(AE243="","",IF(AE243&gt;=80,"Excellent",IF(AE243&gt;=70,"Very Good",IF(AE243&gt;=60,"Good",IF(AE243&gt;=50,"Average","Poor"))))))</f>
        <v>Excellent</v>
      </c>
      <c r="AG243" s="5"/>
      <c r="AH243" s="4"/>
      <c r="AI243" s="4" t="s">
        <v>62</v>
      </c>
      <c r="AJ243" s="4" t="s">
        <v>82</v>
      </c>
      <c r="AK243" s="4" t="s">
        <v>62</v>
      </c>
      <c r="AL243" s="4" t="s">
        <v>63</v>
      </c>
      <c r="AM243" s="4" t="s">
        <v>62</v>
      </c>
      <c r="AN243" s="4" t="s">
        <v>147</v>
      </c>
      <c r="AO243" s="4" t="s">
        <v>62</v>
      </c>
      <c r="AP243" s="4" t="s">
        <v>62</v>
      </c>
      <c r="AQ243" s="4" t="s">
        <v>62</v>
      </c>
      <c r="AR243" s="4" t="s">
        <v>73</v>
      </c>
      <c r="AS243" s="4" t="s">
        <v>74</v>
      </c>
      <c r="AT243" s="4" t="n">
        <v>4</v>
      </c>
      <c r="AU243" s="4" t="s">
        <v>66</v>
      </c>
      <c r="AV243" s="4" t="s">
        <v>67</v>
      </c>
      <c r="AW243" s="4" t="s">
        <v>819</v>
      </c>
      <c r="AX243" s="4" t="s">
        <v>519</v>
      </c>
      <c r="AY243" s="4" t="n">
        <v>2</v>
      </c>
      <c r="AZ243" s="4" t="s">
        <v>62</v>
      </c>
      <c r="BA243" s="4" t="s">
        <v>820</v>
      </c>
      <c r="BB243" s="4" t="s">
        <v>760</v>
      </c>
      <c r="BC243" s="6" t="n">
        <v>1</v>
      </c>
      <c r="BD243" s="4" t="n">
        <v>68</v>
      </c>
    </row>
    <row r="244" customFormat="false" ht="242.5" hidden="false" customHeight="false" outlineLevel="0" collapsed="false">
      <c r="A244" s="4"/>
      <c r="B244" s="4" t="s">
        <v>753</v>
      </c>
      <c r="C244" s="4" t="s">
        <v>57</v>
      </c>
      <c r="D244" s="4" t="s">
        <v>754</v>
      </c>
      <c r="E244" s="4" t="s">
        <v>817</v>
      </c>
      <c r="F244" s="4" t="n">
        <v>4846</v>
      </c>
      <c r="G244" s="5" t="s">
        <v>818</v>
      </c>
      <c r="H244" s="5" t="s">
        <v>72</v>
      </c>
      <c r="I244" s="4"/>
      <c r="J244" s="4"/>
      <c r="K244" s="4"/>
      <c r="L244" s="4" t="n">
        <v>60</v>
      </c>
      <c r="M244" s="4" t="n">
        <v>60</v>
      </c>
      <c r="N244" s="4" t="n">
        <v>0</v>
      </c>
      <c r="O244" s="4" t="n">
        <v>49</v>
      </c>
      <c r="P244" s="4" t="n">
        <v>11</v>
      </c>
      <c r="Q244" s="4" t="n">
        <v>49</v>
      </c>
      <c r="R244" s="6" t="n">
        <f aca="false">IF(N(L244)=0,0,O244/L244)</f>
        <v>0.816666666666667</v>
      </c>
      <c r="S244" s="4" t="n">
        <f aca="false">IF(R244="","",IF(R244&gt;=0.8,50,IF(R244&gt;=0.5,30,IF(R244&gt;=0.01,10,0))))</f>
        <v>50</v>
      </c>
      <c r="T244" s="4" t="n">
        <f aca="false">IF(TRIM(AI244)="Yes",2.5,0)</f>
        <v>2.5</v>
      </c>
      <c r="U244" s="4" t="n">
        <f aca="false">IF(TRIM(AJ244)="Yes",10,0)</f>
        <v>0</v>
      </c>
      <c r="V244" s="4" t="n">
        <f aca="false">IF(TRIM(AK244)="Yes",5,0)</f>
        <v>5</v>
      </c>
      <c r="W244" s="4" t="n">
        <f aca="false">IF(TRIM(AM244)="Yes",5,0)</f>
        <v>5</v>
      </c>
      <c r="X244" s="4" t="n">
        <f aca="false">IF(OR(TRIM(AN244)="Fully Available",TRIM(AN244)="Not Applicable"),5,IF(TRIM(AN244)="Partially Available",2.5,0))</f>
        <v>2.5</v>
      </c>
      <c r="Y244" s="4" t="n">
        <f aca="false">IF(TRIM(AO244)="Yes",5,0)</f>
        <v>5</v>
      </c>
      <c r="Z244" s="4" t="n">
        <f aca="false">IF(TRIM(AP244)="Yes",2.5,0)</f>
        <v>2.5</v>
      </c>
      <c r="AA244" s="4" t="n">
        <f aca="false">IF(TRIM(AQ244)="Yes",5,0)</f>
        <v>5</v>
      </c>
      <c r="AB244" s="4" t="n">
        <f aca="false">IF(OR(TRIM(AR244)="Yes",TRIM(AR244)="Not Applicable"),5,0)</f>
        <v>5</v>
      </c>
      <c r="AC244" s="4" t="n">
        <f aca="false">IF(TRIM(AS244)="Excellent",5,IF(TRIM(AS244)="Very Good",4,IF(TRIM(AS244)="Good",3,IF(TRIM(AS244)="Average",2,0))))</f>
        <v>4</v>
      </c>
      <c r="AD244" s="7" t="n">
        <f aca="false">IF(COUNT(S244:AC244)=0,"",SUM(S244:AC244))</f>
        <v>86.5</v>
      </c>
      <c r="AE244" s="7"/>
      <c r="AF244" s="8"/>
      <c r="AG244" s="5"/>
      <c r="AH244" s="4"/>
      <c r="AI244" s="4" t="s">
        <v>62</v>
      </c>
      <c r="AJ244" s="4" t="s">
        <v>82</v>
      </c>
      <c r="AK244" s="4" t="s">
        <v>62</v>
      </c>
      <c r="AL244" s="4" t="s">
        <v>63</v>
      </c>
      <c r="AM244" s="4" t="s">
        <v>62</v>
      </c>
      <c r="AN244" s="4" t="s">
        <v>147</v>
      </c>
      <c r="AO244" s="4" t="s">
        <v>62</v>
      </c>
      <c r="AP244" s="4" t="s">
        <v>62</v>
      </c>
      <c r="AQ244" s="4" t="s">
        <v>62</v>
      </c>
      <c r="AR244" s="4" t="s">
        <v>73</v>
      </c>
      <c r="AS244" s="4" t="s">
        <v>74</v>
      </c>
      <c r="AT244" s="4" t="n">
        <v>4</v>
      </c>
      <c r="AU244" s="4" t="s">
        <v>66</v>
      </c>
      <c r="AV244" s="4" t="s">
        <v>67</v>
      </c>
      <c r="AW244" s="4" t="s">
        <v>821</v>
      </c>
      <c r="AX244" s="4" t="s">
        <v>822</v>
      </c>
      <c r="AY244" s="4" t="n">
        <v>7</v>
      </c>
      <c r="AZ244" s="4" t="s">
        <v>62</v>
      </c>
      <c r="BA244" s="4" t="s">
        <v>820</v>
      </c>
      <c r="BB244" s="4" t="s">
        <v>760</v>
      </c>
      <c r="BC244" s="6" t="n">
        <v>1</v>
      </c>
      <c r="BD244" s="4" t="n">
        <v>68</v>
      </c>
    </row>
    <row r="245" customFormat="false" ht="72.35" hidden="false" customHeight="false" outlineLevel="0" collapsed="false">
      <c r="A245" s="4" t="n">
        <v>109</v>
      </c>
      <c r="B245" s="4" t="s">
        <v>753</v>
      </c>
      <c r="C245" s="4" t="s">
        <v>57</v>
      </c>
      <c r="D245" s="4" t="s">
        <v>754</v>
      </c>
      <c r="E245" s="4" t="s">
        <v>823</v>
      </c>
      <c r="F245" s="4" t="n">
        <v>4532</v>
      </c>
      <c r="G245" s="5" t="s">
        <v>824</v>
      </c>
      <c r="H245" s="5" t="s">
        <v>61</v>
      </c>
      <c r="I245" s="4"/>
      <c r="J245" s="4"/>
      <c r="K245" s="4"/>
      <c r="L245" s="4" t="n">
        <v>15</v>
      </c>
      <c r="M245" s="4" t="n">
        <v>13</v>
      </c>
      <c r="N245" s="4" t="n">
        <v>2</v>
      </c>
      <c r="O245" s="4" t="n">
        <v>13</v>
      </c>
      <c r="P245" s="4" t="n">
        <v>0</v>
      </c>
      <c r="Q245" s="4" t="n">
        <v>5</v>
      </c>
      <c r="R245" s="6" t="n">
        <f aca="false">IF(N(L245)=0,0,O245/L245)</f>
        <v>0.866666666666667</v>
      </c>
      <c r="S245" s="4" t="n">
        <f aca="false">IF(R245="","",IF(R245&gt;=0.8,50,IF(R245&gt;=0.5,30,IF(R245&gt;=0.01,10,0))))</f>
        <v>50</v>
      </c>
      <c r="T245" s="4" t="n">
        <f aca="false">IF(TRIM(AI245)="Yes",2.5,0)</f>
        <v>2.5</v>
      </c>
      <c r="U245" s="4" t="n">
        <f aca="false">IF(TRIM(AJ245)="Yes",10,0)</f>
        <v>0</v>
      </c>
      <c r="V245" s="4" t="n">
        <f aca="false">IF(TRIM(AK245)="Yes",5,0)</f>
        <v>0</v>
      </c>
      <c r="W245" s="4" t="n">
        <f aca="false">IF(TRIM(AM245)="Yes",5,0)</f>
        <v>5</v>
      </c>
      <c r="X245" s="4" t="n">
        <f aca="false">IF(OR(TRIM(AN245)="Fully Available",TRIM(AN245)="Not Applicable"),5,IF(TRIM(AN245)="Partially Available",2.5,0))</f>
        <v>5</v>
      </c>
      <c r="Y245" s="4" t="n">
        <f aca="false">IF(TRIM(AO245)="Yes",5,0)</f>
        <v>5</v>
      </c>
      <c r="Z245" s="4" t="n">
        <f aca="false">IF(TRIM(AP245)="Yes",2.5,0)</f>
        <v>2.5</v>
      </c>
      <c r="AA245" s="4" t="n">
        <f aca="false">IF(TRIM(AQ245)="Yes",5,0)</f>
        <v>5</v>
      </c>
      <c r="AB245" s="4" t="n">
        <f aca="false">IF(OR(TRIM(AR245)="Yes",TRIM(AR245)="Not Applicable"),5,0)</f>
        <v>5</v>
      </c>
      <c r="AC245" s="4" t="n">
        <f aca="false">IF(TRIM(AS245)="Excellent",5,IF(TRIM(AS245)="Very Good",4,IF(TRIM(AS245)="Good",3,IF(TRIM(AS245)="Average",2,0))))</f>
        <v>5</v>
      </c>
      <c r="AD245" s="7" t="n">
        <f aca="false">IF(COUNT(S245:AC245)=0,"",SUM(S245:AC245))</f>
        <v>85</v>
      </c>
      <c r="AE245" s="7" t="n">
        <f aca="false">IF(COUNTIF($F$2:F245,F245)=1,IFERROR(AVERAGEIF($F:$F,F245,$AD:$AD),""),"")</f>
        <v>85</v>
      </c>
      <c r="AF245" s="8" t="str">
        <f aca="false">IF(AH245&lt;&gt;"",AH245,IF(AE245="","",IF(AE245&gt;=80,"Excellent",IF(AE245&gt;=70,"Very Good",IF(AE245&gt;=60,"Good",IF(AE245&gt;=50,"Average","Poor"))))))</f>
        <v>Excellent</v>
      </c>
      <c r="AG245" s="5"/>
      <c r="AH245" s="4"/>
      <c r="AI245" s="4" t="s">
        <v>62</v>
      </c>
      <c r="AJ245" s="4" t="s">
        <v>82</v>
      </c>
      <c r="AK245" s="4" t="s">
        <v>82</v>
      </c>
      <c r="AL245" s="4" t="s">
        <v>63</v>
      </c>
      <c r="AM245" s="4" t="s">
        <v>62</v>
      </c>
      <c r="AN245" s="4" t="s">
        <v>64</v>
      </c>
      <c r="AO245" s="4" t="s">
        <v>62</v>
      </c>
      <c r="AP245" s="4" t="s">
        <v>62</v>
      </c>
      <c r="AQ245" s="4" t="s">
        <v>62</v>
      </c>
      <c r="AR245" s="4" t="s">
        <v>62</v>
      </c>
      <c r="AS245" s="4" t="s">
        <v>65</v>
      </c>
      <c r="AT245" s="4" t="n">
        <v>7</v>
      </c>
      <c r="AU245" s="4" t="s">
        <v>66</v>
      </c>
      <c r="AV245" s="4" t="s">
        <v>67</v>
      </c>
      <c r="AW245" s="4" t="s">
        <v>825</v>
      </c>
      <c r="AX245" s="4" t="s">
        <v>826</v>
      </c>
      <c r="AY245" s="4" t="n">
        <v>8</v>
      </c>
      <c r="AZ245" s="4" t="s">
        <v>62</v>
      </c>
      <c r="BA245" s="4" t="s">
        <v>827</v>
      </c>
      <c r="BB245" s="4" t="s">
        <v>760</v>
      </c>
      <c r="BC245" s="6" t="n">
        <v>0.3846</v>
      </c>
      <c r="BD245" s="4" t="n">
        <v>81</v>
      </c>
    </row>
    <row r="246" customFormat="false" ht="242.5" hidden="false" customHeight="false" outlineLevel="0" collapsed="false">
      <c r="A246" s="4" t="n">
        <v>110</v>
      </c>
      <c r="B246" s="4" t="s">
        <v>753</v>
      </c>
      <c r="C246" s="4" t="s">
        <v>57</v>
      </c>
      <c r="D246" s="4" t="s">
        <v>754</v>
      </c>
      <c r="E246" s="4" t="s">
        <v>828</v>
      </c>
      <c r="F246" s="4" t="n">
        <v>951</v>
      </c>
      <c r="G246" s="5" t="s">
        <v>829</v>
      </c>
      <c r="H246" s="5" t="s">
        <v>172</v>
      </c>
      <c r="I246" s="4"/>
      <c r="J246" s="4"/>
      <c r="K246" s="4"/>
      <c r="L246" s="4" t="n">
        <v>20</v>
      </c>
      <c r="M246" s="4" t="n">
        <v>20</v>
      </c>
      <c r="N246" s="4" t="n">
        <v>0</v>
      </c>
      <c r="O246" s="4" t="n">
        <v>18</v>
      </c>
      <c r="P246" s="4" t="n">
        <v>2</v>
      </c>
      <c r="Q246" s="4" t="n">
        <v>5</v>
      </c>
      <c r="R246" s="6" t="n">
        <f aca="false">IF(N(L246)=0,0,O246/L246)</f>
        <v>0.9</v>
      </c>
      <c r="S246" s="4" t="n">
        <f aca="false">IF(R246="","",IF(R246&gt;=0.8,50,IF(R246&gt;=0.5,30,IF(R246&gt;=0.01,10,0))))</f>
        <v>50</v>
      </c>
      <c r="T246" s="4" t="n">
        <f aca="false">IF(TRIM(AI246)="Yes",2.5,0)</f>
        <v>2.5</v>
      </c>
      <c r="U246" s="4" t="n">
        <f aca="false">IF(TRIM(AJ246)="Yes",10,0)</f>
        <v>10</v>
      </c>
      <c r="V246" s="4" t="n">
        <f aca="false">IF(TRIM(AK246)="Yes",5,0)</f>
        <v>5</v>
      </c>
      <c r="W246" s="4" t="n">
        <f aca="false">IF(TRIM(AM246)="Yes",5,0)</f>
        <v>5</v>
      </c>
      <c r="X246" s="4" t="n">
        <f aca="false">IF(OR(TRIM(AN246)="Fully Available",TRIM(AN246)="Not Applicable"),5,IF(TRIM(AN246)="Partially Available",2.5,0))</f>
        <v>2.5</v>
      </c>
      <c r="Y246" s="4" t="n">
        <f aca="false">IF(TRIM(AO246)="Yes",5,0)</f>
        <v>5</v>
      </c>
      <c r="Z246" s="4" t="n">
        <f aca="false">IF(TRIM(AP246)="Yes",2.5,0)</f>
        <v>2.5</v>
      </c>
      <c r="AA246" s="4" t="n">
        <f aca="false">IF(TRIM(AQ246)="Yes",5,0)</f>
        <v>5</v>
      </c>
      <c r="AB246" s="4" t="n">
        <f aca="false">IF(OR(TRIM(AR246)="Yes",TRIM(AR246)="Not Applicable"),5,0)</f>
        <v>5</v>
      </c>
      <c r="AC246" s="4" t="n">
        <f aca="false">IF(TRIM(AS246)="Excellent",5,IF(TRIM(AS246)="Very Good",4,IF(TRIM(AS246)="Good",3,IF(TRIM(AS246)="Average",2,0))))</f>
        <v>4</v>
      </c>
      <c r="AD246" s="7" t="n">
        <f aca="false">IF(COUNT(S246:AC246)=0,"",SUM(S246:AC246))</f>
        <v>96.5</v>
      </c>
      <c r="AE246" s="7" t="n">
        <f aca="false">IF(COUNTIF($F$2:F246,F246)=1,IFERROR(AVERAGEIF($F:$F,F246,$AD:$AD),""),"")</f>
        <v>98.5</v>
      </c>
      <c r="AF246" s="8" t="str">
        <f aca="false">IF(AH246&lt;&gt;"",AH246,IF(AE246="","",IF(AE246&gt;=80,"Excellent",IF(AE246&gt;=70,"Very Good",IF(AE246&gt;=60,"Good",IF(AE246&gt;=50,"Average","Poor"))))))</f>
        <v>Excellent</v>
      </c>
      <c r="AG246" s="5"/>
      <c r="AH246" s="4"/>
      <c r="AI246" s="4" t="s">
        <v>62</v>
      </c>
      <c r="AJ246" s="4" t="s">
        <v>62</v>
      </c>
      <c r="AK246" s="4" t="s">
        <v>62</v>
      </c>
      <c r="AL246" s="4" t="s">
        <v>63</v>
      </c>
      <c r="AM246" s="4" t="s">
        <v>62</v>
      </c>
      <c r="AN246" s="4" t="s">
        <v>147</v>
      </c>
      <c r="AO246" s="4" t="s">
        <v>62</v>
      </c>
      <c r="AP246" s="4" t="s">
        <v>62</v>
      </c>
      <c r="AQ246" s="4" t="s">
        <v>62</v>
      </c>
      <c r="AR246" s="4" t="s">
        <v>62</v>
      </c>
      <c r="AS246" s="4" t="s">
        <v>74</v>
      </c>
      <c r="AT246" s="4" t="n">
        <v>10</v>
      </c>
      <c r="AU246" s="4" t="s">
        <v>66</v>
      </c>
      <c r="AV246" s="4" t="s">
        <v>208</v>
      </c>
      <c r="AW246" s="4" t="s">
        <v>830</v>
      </c>
      <c r="AX246" s="4" t="s">
        <v>831</v>
      </c>
      <c r="AY246" s="4" t="n">
        <v>1</v>
      </c>
      <c r="AZ246" s="4" t="s">
        <v>62</v>
      </c>
      <c r="BA246" s="4" t="s">
        <v>832</v>
      </c>
      <c r="BB246" s="4" t="s">
        <v>760</v>
      </c>
      <c r="BC246" s="6" t="n">
        <v>0.2778</v>
      </c>
      <c r="BD246" s="4" t="n">
        <v>95</v>
      </c>
    </row>
    <row r="247" customFormat="false" ht="242.5" hidden="false" customHeight="false" outlineLevel="0" collapsed="false">
      <c r="A247" s="4"/>
      <c r="B247" s="4" t="s">
        <v>753</v>
      </c>
      <c r="C247" s="4" t="s">
        <v>57</v>
      </c>
      <c r="D247" s="4" t="s">
        <v>754</v>
      </c>
      <c r="E247" s="4" t="s">
        <v>828</v>
      </c>
      <c r="F247" s="4" t="n">
        <v>951</v>
      </c>
      <c r="G247" s="5" t="s">
        <v>829</v>
      </c>
      <c r="H247" s="5" t="s">
        <v>662</v>
      </c>
      <c r="I247" s="4"/>
      <c r="J247" s="4"/>
      <c r="K247" s="4"/>
      <c r="L247" s="4" t="n">
        <v>20</v>
      </c>
      <c r="M247" s="4" t="n">
        <v>20</v>
      </c>
      <c r="N247" s="4" t="n">
        <v>0</v>
      </c>
      <c r="O247" s="4" t="n">
        <v>18</v>
      </c>
      <c r="P247" s="4" t="n">
        <v>2</v>
      </c>
      <c r="Q247" s="4" t="n">
        <v>5</v>
      </c>
      <c r="R247" s="6" t="n">
        <f aca="false">IF(N(L247)=0,0,O247/L247)</f>
        <v>0.9</v>
      </c>
      <c r="S247" s="4" t="n">
        <f aca="false">IF(R247="","",IF(R247&gt;=0.8,50,IF(R247&gt;=0.5,30,IF(R247&gt;=0.01,10,0))))</f>
        <v>50</v>
      </c>
      <c r="T247" s="4" t="n">
        <f aca="false">IF(TRIM(AI247)="Yes",2.5,0)</f>
        <v>2.5</v>
      </c>
      <c r="U247" s="4" t="n">
        <f aca="false">IF(TRIM(AJ247)="Yes",10,0)</f>
        <v>10</v>
      </c>
      <c r="V247" s="4" t="n">
        <f aca="false">IF(TRIM(AK247)="Yes",5,0)</f>
        <v>5</v>
      </c>
      <c r="W247" s="4" t="n">
        <f aca="false">IF(TRIM(AM247)="Yes",5,0)</f>
        <v>5</v>
      </c>
      <c r="X247" s="4" t="n">
        <f aca="false">IF(OR(TRIM(AN247)="Fully Available",TRIM(AN247)="Not Applicable"),5,IF(TRIM(AN247)="Partially Available",2.5,0))</f>
        <v>5</v>
      </c>
      <c r="Y247" s="4" t="n">
        <f aca="false">IF(TRIM(AO247)="Yes",5,0)</f>
        <v>5</v>
      </c>
      <c r="Z247" s="4" t="n">
        <f aca="false">IF(TRIM(AP247)="Yes",2.5,0)</f>
        <v>2.5</v>
      </c>
      <c r="AA247" s="4" t="n">
        <f aca="false">IF(TRIM(AQ247)="Yes",5,0)</f>
        <v>5</v>
      </c>
      <c r="AB247" s="4" t="n">
        <f aca="false">IF(OR(TRIM(AR247)="Yes",TRIM(AR247)="Not Applicable"),5,0)</f>
        <v>5</v>
      </c>
      <c r="AC247" s="4" t="n">
        <f aca="false">IF(TRIM(AS247)="Excellent",5,IF(TRIM(AS247)="Very Good",4,IF(TRIM(AS247)="Good",3,IF(TRIM(AS247)="Average",2,0))))</f>
        <v>4</v>
      </c>
      <c r="AD247" s="7" t="n">
        <f aca="false">IF(COUNT(S247:AC247)=0,"",SUM(S247:AC247))</f>
        <v>99</v>
      </c>
      <c r="AE247" s="7"/>
      <c r="AF247" s="8"/>
      <c r="AG247" s="5"/>
      <c r="AH247" s="4"/>
      <c r="AI247" s="4" t="s">
        <v>62</v>
      </c>
      <c r="AJ247" s="4" t="s">
        <v>62</v>
      </c>
      <c r="AK247" s="4" t="s">
        <v>62</v>
      </c>
      <c r="AL247" s="4" t="s">
        <v>63</v>
      </c>
      <c r="AM247" s="4" t="s">
        <v>62</v>
      </c>
      <c r="AN247" s="4" t="s">
        <v>64</v>
      </c>
      <c r="AO247" s="4" t="s">
        <v>62</v>
      </c>
      <c r="AP247" s="4" t="s">
        <v>62</v>
      </c>
      <c r="AQ247" s="4" t="s">
        <v>62</v>
      </c>
      <c r="AR247" s="4" t="s">
        <v>62</v>
      </c>
      <c r="AS247" s="4" t="s">
        <v>74</v>
      </c>
      <c r="AT247" s="4" t="n">
        <v>11</v>
      </c>
      <c r="AU247" s="4" t="s">
        <v>66</v>
      </c>
      <c r="AV247" s="4" t="s">
        <v>208</v>
      </c>
      <c r="AW247" s="4" t="s">
        <v>833</v>
      </c>
      <c r="AX247" s="4" t="s">
        <v>834</v>
      </c>
      <c r="AY247" s="4" t="n">
        <v>8</v>
      </c>
      <c r="AZ247" s="4" t="s">
        <v>62</v>
      </c>
      <c r="BA247" s="4" t="s">
        <v>832</v>
      </c>
      <c r="BB247" s="4" t="s">
        <v>760</v>
      </c>
      <c r="BC247" s="6" t="n">
        <v>0.2778</v>
      </c>
      <c r="BD247" s="4" t="n">
        <v>95</v>
      </c>
    </row>
    <row r="248" customFormat="false" ht="242.5" hidden="false" customHeight="false" outlineLevel="0" collapsed="false">
      <c r="A248" s="4"/>
      <c r="B248" s="4" t="s">
        <v>753</v>
      </c>
      <c r="C248" s="4" t="s">
        <v>57</v>
      </c>
      <c r="D248" s="4" t="s">
        <v>754</v>
      </c>
      <c r="E248" s="4" t="s">
        <v>828</v>
      </c>
      <c r="F248" s="4" t="n">
        <v>951</v>
      </c>
      <c r="G248" s="5" t="s">
        <v>829</v>
      </c>
      <c r="H248" s="5" t="s">
        <v>250</v>
      </c>
      <c r="I248" s="4"/>
      <c r="J248" s="4"/>
      <c r="K248" s="4"/>
      <c r="L248" s="4" t="n">
        <v>20</v>
      </c>
      <c r="M248" s="4" t="n">
        <v>20</v>
      </c>
      <c r="N248" s="4" t="n">
        <v>0</v>
      </c>
      <c r="O248" s="4" t="n">
        <v>20</v>
      </c>
      <c r="P248" s="4" t="n">
        <v>0</v>
      </c>
      <c r="Q248" s="4" t="n">
        <v>7</v>
      </c>
      <c r="R248" s="6" t="n">
        <f aca="false">IF(N(L248)=0,0,O248/L248)</f>
        <v>1</v>
      </c>
      <c r="S248" s="4" t="n">
        <f aca="false">IF(R248="","",IF(R248&gt;=0.8,50,IF(R248&gt;=0.5,30,IF(R248&gt;=0.01,10,0))))</f>
        <v>50</v>
      </c>
      <c r="T248" s="4" t="n">
        <f aca="false">IF(TRIM(AI248)="Yes",2.5,0)</f>
        <v>2.5</v>
      </c>
      <c r="U248" s="4" t="n">
        <f aca="false">IF(TRIM(AJ248)="Yes",10,0)</f>
        <v>10</v>
      </c>
      <c r="V248" s="4" t="n">
        <f aca="false">IF(TRIM(AK248)="Yes",5,0)</f>
        <v>5</v>
      </c>
      <c r="W248" s="4" t="n">
        <f aca="false">IF(TRIM(AM248)="Yes",5,0)</f>
        <v>5</v>
      </c>
      <c r="X248" s="4" t="n">
        <f aca="false">IF(OR(TRIM(AN248)="Fully Available",TRIM(AN248)="Not Applicable"),5,IF(TRIM(AN248)="Partially Available",2.5,0))</f>
        <v>5</v>
      </c>
      <c r="Y248" s="4" t="n">
        <f aca="false">IF(TRIM(AO248)="Yes",5,0)</f>
        <v>5</v>
      </c>
      <c r="Z248" s="4" t="n">
        <f aca="false">IF(TRIM(AP248)="Yes",2.5,0)</f>
        <v>2.5</v>
      </c>
      <c r="AA248" s="4" t="n">
        <f aca="false">IF(TRIM(AQ248)="Yes",5,0)</f>
        <v>5</v>
      </c>
      <c r="AB248" s="4" t="n">
        <f aca="false">IF(OR(TRIM(AR248)="Yes",TRIM(AR248)="Not Applicable"),5,0)</f>
        <v>5</v>
      </c>
      <c r="AC248" s="4" t="n">
        <f aca="false">IF(TRIM(AS248)="Excellent",5,IF(TRIM(AS248)="Very Good",4,IF(TRIM(AS248)="Good",3,IF(TRIM(AS248)="Average",2,0))))</f>
        <v>4</v>
      </c>
      <c r="AD248" s="7" t="n">
        <f aca="false">IF(COUNT(S248:AC248)=0,"",SUM(S248:AC248))</f>
        <v>99</v>
      </c>
      <c r="AE248" s="7"/>
      <c r="AF248" s="8"/>
      <c r="AG248" s="5"/>
      <c r="AH248" s="4"/>
      <c r="AI248" s="4" t="s">
        <v>62</v>
      </c>
      <c r="AJ248" s="4" t="s">
        <v>62</v>
      </c>
      <c r="AK248" s="4" t="s">
        <v>62</v>
      </c>
      <c r="AL248" s="4" t="s">
        <v>63</v>
      </c>
      <c r="AM248" s="4" t="s">
        <v>62</v>
      </c>
      <c r="AN248" s="4" t="s">
        <v>64</v>
      </c>
      <c r="AO248" s="4" t="s">
        <v>62</v>
      </c>
      <c r="AP248" s="4" t="s">
        <v>62</v>
      </c>
      <c r="AQ248" s="4" t="s">
        <v>62</v>
      </c>
      <c r="AR248" s="4" t="s">
        <v>62</v>
      </c>
      <c r="AS248" s="4" t="s">
        <v>74</v>
      </c>
      <c r="AT248" s="4" t="n">
        <v>16</v>
      </c>
      <c r="AU248" s="4" t="s">
        <v>66</v>
      </c>
      <c r="AV248" s="4" t="s">
        <v>208</v>
      </c>
      <c r="AW248" s="4" t="s">
        <v>835</v>
      </c>
      <c r="AX248" s="4" t="s">
        <v>836</v>
      </c>
      <c r="AY248" s="4" t="n">
        <v>15</v>
      </c>
      <c r="AZ248" s="4" t="s">
        <v>62</v>
      </c>
      <c r="BA248" s="4" t="s">
        <v>832</v>
      </c>
      <c r="BB248" s="4" t="s">
        <v>760</v>
      </c>
      <c r="BC248" s="6" t="n">
        <v>0.35</v>
      </c>
      <c r="BD248" s="4" t="n">
        <v>95</v>
      </c>
    </row>
    <row r="249" customFormat="false" ht="242.5" hidden="false" customHeight="false" outlineLevel="0" collapsed="false">
      <c r="A249" s="4"/>
      <c r="B249" s="4" t="s">
        <v>753</v>
      </c>
      <c r="C249" s="4" t="s">
        <v>57</v>
      </c>
      <c r="D249" s="4" t="s">
        <v>754</v>
      </c>
      <c r="E249" s="4" t="s">
        <v>828</v>
      </c>
      <c r="F249" s="4" t="n">
        <v>951</v>
      </c>
      <c r="G249" s="5" t="s">
        <v>829</v>
      </c>
      <c r="H249" s="5" t="s">
        <v>181</v>
      </c>
      <c r="I249" s="4"/>
      <c r="J249" s="4"/>
      <c r="K249" s="4"/>
      <c r="L249" s="4" t="n">
        <v>100</v>
      </c>
      <c r="M249" s="4" t="n">
        <v>100</v>
      </c>
      <c r="N249" s="4" t="n">
        <v>0</v>
      </c>
      <c r="O249" s="4" t="n">
        <v>84</v>
      </c>
      <c r="P249" s="4" t="n">
        <v>16</v>
      </c>
      <c r="Q249" s="4" t="n">
        <v>25</v>
      </c>
      <c r="R249" s="6" t="n">
        <f aca="false">IF(N(L249)=0,0,O249/L249)</f>
        <v>0.84</v>
      </c>
      <c r="S249" s="4" t="n">
        <f aca="false">IF(R249="","",IF(R249&gt;=0.8,50,IF(R249&gt;=0.5,30,IF(R249&gt;=0.01,10,0))))</f>
        <v>50</v>
      </c>
      <c r="T249" s="4" t="n">
        <f aca="false">IF(TRIM(AI249)="Yes",2.5,0)</f>
        <v>2.5</v>
      </c>
      <c r="U249" s="4" t="n">
        <f aca="false">IF(TRIM(AJ249)="Yes",10,0)</f>
        <v>10</v>
      </c>
      <c r="V249" s="4" t="n">
        <f aca="false">IF(TRIM(AK249)="Yes",5,0)</f>
        <v>5</v>
      </c>
      <c r="W249" s="4" t="n">
        <f aca="false">IF(TRIM(AM249)="Yes",5,0)</f>
        <v>5</v>
      </c>
      <c r="X249" s="4" t="n">
        <f aca="false">IF(OR(TRIM(AN249)="Fully Available",TRIM(AN249)="Not Applicable"),5,IF(TRIM(AN249)="Partially Available",2.5,0))</f>
        <v>5</v>
      </c>
      <c r="Y249" s="4" t="n">
        <f aca="false">IF(TRIM(AO249)="Yes",5,0)</f>
        <v>5</v>
      </c>
      <c r="Z249" s="4" t="n">
        <f aca="false">IF(TRIM(AP249)="Yes",2.5,0)</f>
        <v>2.5</v>
      </c>
      <c r="AA249" s="4" t="n">
        <f aca="false">IF(TRIM(AQ249)="Yes",5,0)</f>
        <v>5</v>
      </c>
      <c r="AB249" s="4" t="n">
        <f aca="false">IF(OR(TRIM(AR249)="Yes",TRIM(AR249)="Not Applicable"),5,0)</f>
        <v>5</v>
      </c>
      <c r="AC249" s="4" t="n">
        <f aca="false">IF(TRIM(AS249)="Excellent",5,IF(TRIM(AS249)="Very Good",4,IF(TRIM(AS249)="Good",3,IF(TRIM(AS249)="Average",2,0))))</f>
        <v>4</v>
      </c>
      <c r="AD249" s="7" t="n">
        <f aca="false">IF(COUNT(S249:AC249)=0,"",SUM(S249:AC249))</f>
        <v>99</v>
      </c>
      <c r="AE249" s="7"/>
      <c r="AF249" s="8"/>
      <c r="AG249" s="5"/>
      <c r="AH249" s="4"/>
      <c r="AI249" s="4" t="s">
        <v>62</v>
      </c>
      <c r="AJ249" s="4" t="s">
        <v>62</v>
      </c>
      <c r="AK249" s="4" t="s">
        <v>62</v>
      </c>
      <c r="AL249" s="4" t="s">
        <v>63</v>
      </c>
      <c r="AM249" s="4" t="s">
        <v>62</v>
      </c>
      <c r="AN249" s="4" t="s">
        <v>64</v>
      </c>
      <c r="AO249" s="4" t="s">
        <v>62</v>
      </c>
      <c r="AP249" s="4" t="s">
        <v>62</v>
      </c>
      <c r="AQ249" s="4" t="s">
        <v>62</v>
      </c>
      <c r="AR249" s="4" t="s">
        <v>62</v>
      </c>
      <c r="AS249" s="4" t="s">
        <v>74</v>
      </c>
      <c r="AT249" s="4" t="n">
        <v>10</v>
      </c>
      <c r="AU249" s="4" t="s">
        <v>66</v>
      </c>
      <c r="AV249" s="4" t="s">
        <v>208</v>
      </c>
      <c r="AW249" s="4" t="s">
        <v>437</v>
      </c>
      <c r="AX249" s="4" t="s">
        <v>837</v>
      </c>
      <c r="AY249" s="4" t="n">
        <v>6</v>
      </c>
      <c r="AZ249" s="4" t="s">
        <v>62</v>
      </c>
      <c r="BA249" s="4" t="s">
        <v>832</v>
      </c>
      <c r="BB249" s="4" t="s">
        <v>760</v>
      </c>
      <c r="BC249" s="6" t="n">
        <v>0.2976</v>
      </c>
      <c r="BD249" s="4" t="n">
        <v>95</v>
      </c>
    </row>
    <row r="250" customFormat="false" ht="242.5" hidden="false" customHeight="false" outlineLevel="0" collapsed="false">
      <c r="A250" s="4"/>
      <c r="B250" s="4" t="s">
        <v>753</v>
      </c>
      <c r="C250" s="4" t="s">
        <v>57</v>
      </c>
      <c r="D250" s="4" t="s">
        <v>754</v>
      </c>
      <c r="E250" s="4" t="s">
        <v>828</v>
      </c>
      <c r="F250" s="4" t="n">
        <v>951</v>
      </c>
      <c r="G250" s="5" t="s">
        <v>829</v>
      </c>
      <c r="H250" s="5" t="s">
        <v>404</v>
      </c>
      <c r="I250" s="4"/>
      <c r="J250" s="4"/>
      <c r="K250" s="4"/>
      <c r="L250" s="4" t="n">
        <v>20</v>
      </c>
      <c r="M250" s="4" t="n">
        <v>20</v>
      </c>
      <c r="N250" s="4" t="n">
        <v>0</v>
      </c>
      <c r="O250" s="4" t="n">
        <v>19</v>
      </c>
      <c r="P250" s="4" t="n">
        <v>1</v>
      </c>
      <c r="Q250" s="4" t="n">
        <v>8</v>
      </c>
      <c r="R250" s="6" t="n">
        <f aca="false">IF(N(L250)=0,0,O250/L250)</f>
        <v>0.95</v>
      </c>
      <c r="S250" s="4" t="n">
        <f aca="false">IF(R250="","",IF(R250&gt;=0.8,50,IF(R250&gt;=0.5,30,IF(R250&gt;=0.01,10,0))))</f>
        <v>50</v>
      </c>
      <c r="T250" s="4" t="n">
        <f aca="false">IF(TRIM(AI250)="Yes",2.5,0)</f>
        <v>2.5</v>
      </c>
      <c r="U250" s="4" t="n">
        <f aca="false">IF(TRIM(AJ250)="Yes",10,0)</f>
        <v>10</v>
      </c>
      <c r="V250" s="4" t="n">
        <f aca="false">IF(TRIM(AK250)="Yes",5,0)</f>
        <v>5</v>
      </c>
      <c r="W250" s="4" t="n">
        <f aca="false">IF(TRIM(AM250)="Yes",5,0)</f>
        <v>5</v>
      </c>
      <c r="X250" s="4" t="n">
        <f aca="false">IF(OR(TRIM(AN250)="Fully Available",TRIM(AN250)="Not Applicable"),5,IF(TRIM(AN250)="Partially Available",2.5,0))</f>
        <v>5</v>
      </c>
      <c r="Y250" s="4" t="n">
        <f aca="false">IF(TRIM(AO250)="Yes",5,0)</f>
        <v>5</v>
      </c>
      <c r="Z250" s="4" t="n">
        <f aca="false">IF(TRIM(AP250)="Yes",2.5,0)</f>
        <v>2.5</v>
      </c>
      <c r="AA250" s="4" t="n">
        <f aca="false">IF(TRIM(AQ250)="Yes",5,0)</f>
        <v>5</v>
      </c>
      <c r="AB250" s="4" t="n">
        <f aca="false">IF(OR(TRIM(AR250)="Yes",TRIM(AR250)="Not Applicable"),5,0)</f>
        <v>5</v>
      </c>
      <c r="AC250" s="4" t="n">
        <f aca="false">IF(TRIM(AS250)="Excellent",5,IF(TRIM(AS250)="Very Good",4,IF(TRIM(AS250)="Good",3,IF(TRIM(AS250)="Average",2,0))))</f>
        <v>4</v>
      </c>
      <c r="AD250" s="7" t="n">
        <f aca="false">IF(COUNT(S250:AC250)=0,"",SUM(S250:AC250))</f>
        <v>99</v>
      </c>
      <c r="AE250" s="7"/>
      <c r="AF250" s="8"/>
      <c r="AG250" s="5"/>
      <c r="AH250" s="4"/>
      <c r="AI250" s="4" t="s">
        <v>62</v>
      </c>
      <c r="AJ250" s="4" t="s">
        <v>62</v>
      </c>
      <c r="AK250" s="4" t="s">
        <v>62</v>
      </c>
      <c r="AL250" s="4" t="s">
        <v>63</v>
      </c>
      <c r="AM250" s="4" t="s">
        <v>62</v>
      </c>
      <c r="AN250" s="4" t="s">
        <v>64</v>
      </c>
      <c r="AO250" s="4" t="s">
        <v>62</v>
      </c>
      <c r="AP250" s="4" t="s">
        <v>62</v>
      </c>
      <c r="AQ250" s="4" t="s">
        <v>62</v>
      </c>
      <c r="AR250" s="4" t="s">
        <v>62</v>
      </c>
      <c r="AS250" s="4" t="s">
        <v>74</v>
      </c>
      <c r="AT250" s="4" t="n">
        <v>10</v>
      </c>
      <c r="AU250" s="4" t="s">
        <v>66</v>
      </c>
      <c r="AV250" s="4" t="s">
        <v>208</v>
      </c>
      <c r="AW250" s="4" t="s">
        <v>838</v>
      </c>
      <c r="AX250" s="4" t="s">
        <v>839</v>
      </c>
      <c r="AY250" s="4" t="n">
        <v>1</v>
      </c>
      <c r="AZ250" s="4" t="s">
        <v>62</v>
      </c>
      <c r="BA250" s="4" t="s">
        <v>832</v>
      </c>
      <c r="BB250" s="4" t="s">
        <v>760</v>
      </c>
      <c r="BC250" s="6" t="n">
        <v>0.4211</v>
      </c>
      <c r="BD250" s="4" t="n">
        <v>95</v>
      </c>
    </row>
    <row r="251" customFormat="false" ht="86.55" hidden="false" customHeight="false" outlineLevel="0" collapsed="false">
      <c r="A251" s="4" t="n">
        <v>111</v>
      </c>
      <c r="B251" s="4" t="s">
        <v>753</v>
      </c>
      <c r="C251" s="4" t="s">
        <v>57</v>
      </c>
      <c r="D251" s="4" t="s">
        <v>754</v>
      </c>
      <c r="E251" s="4" t="s">
        <v>817</v>
      </c>
      <c r="F251" s="4" t="n">
        <v>35</v>
      </c>
      <c r="G251" s="5" t="s">
        <v>840</v>
      </c>
      <c r="H251" s="5" t="s">
        <v>397</v>
      </c>
      <c r="I251" s="4"/>
      <c r="J251" s="4"/>
      <c r="K251" s="4"/>
      <c r="L251" s="4" t="n">
        <v>20</v>
      </c>
      <c r="M251" s="4" t="n">
        <v>20</v>
      </c>
      <c r="N251" s="4" t="n">
        <v>0</v>
      </c>
      <c r="O251" s="4" t="n">
        <v>18</v>
      </c>
      <c r="P251" s="4" t="n">
        <v>2</v>
      </c>
      <c r="Q251" s="4" t="n">
        <v>15</v>
      </c>
      <c r="R251" s="6" t="n">
        <f aca="false">IF(N(L251)=0,0,O251/L251)</f>
        <v>0.9</v>
      </c>
      <c r="S251" s="4" t="n">
        <f aca="false">IF(R251="","",IF(R251&gt;=0.8,50,IF(R251&gt;=0.5,30,IF(R251&gt;=0.01,10,0))))</f>
        <v>50</v>
      </c>
      <c r="T251" s="4" t="n">
        <f aca="false">IF(TRIM(AI251)="Yes",2.5,0)</f>
        <v>2.5</v>
      </c>
      <c r="U251" s="4" t="n">
        <f aca="false">IF(TRIM(AJ251)="Yes",10,0)</f>
        <v>10</v>
      </c>
      <c r="V251" s="4" t="n">
        <f aca="false">IF(TRIM(AK251)="Yes",5,0)</f>
        <v>5</v>
      </c>
      <c r="W251" s="4" t="n">
        <f aca="false">IF(TRIM(AM251)="Yes",5,0)</f>
        <v>5</v>
      </c>
      <c r="X251" s="4" t="n">
        <f aca="false">IF(OR(TRIM(AN251)="Fully Available",TRIM(AN251)="Not Applicable"),5,IF(TRIM(AN251)="Partially Available",2.5,0))</f>
        <v>5</v>
      </c>
      <c r="Y251" s="4" t="n">
        <f aca="false">IF(TRIM(AO251)="Yes",5,0)</f>
        <v>5</v>
      </c>
      <c r="Z251" s="4" t="n">
        <f aca="false">IF(TRIM(AP251)="Yes",2.5,0)</f>
        <v>2.5</v>
      </c>
      <c r="AA251" s="4" t="n">
        <f aca="false">IF(TRIM(AQ251)="Yes",5,0)</f>
        <v>5</v>
      </c>
      <c r="AB251" s="4" t="n">
        <f aca="false">IF(OR(TRIM(AR251)="Yes",TRIM(AR251)="Not Applicable"),5,0)</f>
        <v>5</v>
      </c>
      <c r="AC251" s="4" t="n">
        <f aca="false">IF(TRIM(AS251)="Excellent",5,IF(TRIM(AS251)="Very Good",4,IF(TRIM(AS251)="Good",3,IF(TRIM(AS251)="Average",2,0))))</f>
        <v>3</v>
      </c>
      <c r="AD251" s="7" t="n">
        <f aca="false">IF(COUNT(S251:AC251)=0,"",SUM(S251:AC251))</f>
        <v>98</v>
      </c>
      <c r="AE251" s="7" t="n">
        <f aca="false">IF(COUNTIF($F$2:F251,F251)=1,IFERROR(AVERAGEIF($F:$F,F251,$AD:$AD),""),"")</f>
        <v>98</v>
      </c>
      <c r="AF251" s="8" t="str">
        <f aca="false">IF(AH251&lt;&gt;"",AH251,IF(AE251="","",IF(AE251&gt;=80,"Excellent",IF(AE251&gt;=70,"Very Good",IF(AE251&gt;=60,"Good",IF(AE251&gt;=50,"Average","Poor"))))))</f>
        <v>Excellent</v>
      </c>
      <c r="AG251" s="5"/>
      <c r="AH251" s="4"/>
      <c r="AI251" s="4" t="s">
        <v>62</v>
      </c>
      <c r="AJ251" s="4" t="s">
        <v>62</v>
      </c>
      <c r="AK251" s="4" t="s">
        <v>62</v>
      </c>
      <c r="AL251" s="4" t="s">
        <v>63</v>
      </c>
      <c r="AM251" s="4" t="s">
        <v>62</v>
      </c>
      <c r="AN251" s="4" t="s">
        <v>64</v>
      </c>
      <c r="AO251" s="4" t="s">
        <v>62</v>
      </c>
      <c r="AP251" s="4" t="s">
        <v>62</v>
      </c>
      <c r="AQ251" s="4" t="s">
        <v>62</v>
      </c>
      <c r="AR251" s="4" t="s">
        <v>62</v>
      </c>
      <c r="AS251" s="4" t="s">
        <v>185</v>
      </c>
      <c r="AT251" s="4" t="n">
        <v>2</v>
      </c>
      <c r="AU251" s="4" t="s">
        <v>112</v>
      </c>
      <c r="AV251" s="4" t="s">
        <v>151</v>
      </c>
      <c r="AW251" s="4" t="s">
        <v>841</v>
      </c>
      <c r="AX251" s="4" t="s">
        <v>842</v>
      </c>
      <c r="AY251" s="4" t="n">
        <v>20</v>
      </c>
      <c r="AZ251" s="4" t="s">
        <v>62</v>
      </c>
      <c r="BA251" s="4" t="s">
        <v>843</v>
      </c>
      <c r="BB251" s="4" t="s">
        <v>760</v>
      </c>
      <c r="BC251" s="6" t="n">
        <v>0.8333</v>
      </c>
      <c r="BD251" s="4" t="n">
        <v>97</v>
      </c>
    </row>
    <row r="252" customFormat="false" ht="86.55" hidden="false" customHeight="false" outlineLevel="0" collapsed="false">
      <c r="A252" s="4"/>
      <c r="B252" s="4" t="s">
        <v>753</v>
      </c>
      <c r="C252" s="4" t="s">
        <v>57</v>
      </c>
      <c r="D252" s="4" t="s">
        <v>754</v>
      </c>
      <c r="E252" s="4" t="s">
        <v>817</v>
      </c>
      <c r="F252" s="4" t="n">
        <v>35</v>
      </c>
      <c r="G252" s="5" t="s">
        <v>840</v>
      </c>
      <c r="H252" s="5" t="s">
        <v>844</v>
      </c>
      <c r="I252" s="4"/>
      <c r="J252" s="4"/>
      <c r="K252" s="4"/>
      <c r="L252" s="4" t="n">
        <v>20</v>
      </c>
      <c r="M252" s="4" t="n">
        <v>20</v>
      </c>
      <c r="N252" s="4" t="n">
        <v>0</v>
      </c>
      <c r="O252" s="4" t="n">
        <v>20</v>
      </c>
      <c r="P252" s="4" t="n">
        <v>0</v>
      </c>
      <c r="Q252" s="4" t="n">
        <v>15</v>
      </c>
      <c r="R252" s="6" t="n">
        <f aca="false">IF(N(L252)=0,0,O252/L252)</f>
        <v>1</v>
      </c>
      <c r="S252" s="4" t="n">
        <f aca="false">IF(R252="","",IF(R252&gt;=0.8,50,IF(R252&gt;=0.5,30,IF(R252&gt;=0.01,10,0))))</f>
        <v>50</v>
      </c>
      <c r="T252" s="4" t="n">
        <f aca="false">IF(TRIM(AI252)="Yes",2.5,0)</f>
        <v>2.5</v>
      </c>
      <c r="U252" s="4" t="n">
        <f aca="false">IF(TRIM(AJ252)="Yes",10,0)</f>
        <v>10</v>
      </c>
      <c r="V252" s="4" t="n">
        <f aca="false">IF(TRIM(AK252)="Yes",5,0)</f>
        <v>5</v>
      </c>
      <c r="W252" s="4" t="n">
        <f aca="false">IF(TRIM(AM252)="Yes",5,0)</f>
        <v>5</v>
      </c>
      <c r="X252" s="4" t="n">
        <f aca="false">IF(OR(TRIM(AN252)="Fully Available",TRIM(AN252)="Not Applicable"),5,IF(TRIM(AN252)="Partially Available",2.5,0))</f>
        <v>5</v>
      </c>
      <c r="Y252" s="4" t="n">
        <f aca="false">IF(TRIM(AO252)="Yes",5,0)</f>
        <v>5</v>
      </c>
      <c r="Z252" s="4" t="n">
        <f aca="false">IF(TRIM(AP252)="Yes",2.5,0)</f>
        <v>2.5</v>
      </c>
      <c r="AA252" s="4" t="n">
        <f aca="false">IF(TRIM(AQ252)="Yes",5,0)</f>
        <v>5</v>
      </c>
      <c r="AB252" s="4" t="n">
        <f aca="false">IF(OR(TRIM(AR252)="Yes",TRIM(AR252)="Not Applicable"),5,0)</f>
        <v>5</v>
      </c>
      <c r="AC252" s="4" t="n">
        <f aca="false">IF(TRIM(AS252)="Excellent",5,IF(TRIM(AS252)="Very Good",4,IF(TRIM(AS252)="Good",3,IF(TRIM(AS252)="Average",2,0))))</f>
        <v>3</v>
      </c>
      <c r="AD252" s="7" t="n">
        <f aca="false">IF(COUNT(S252:AC252)=0,"",SUM(S252:AC252))</f>
        <v>98</v>
      </c>
      <c r="AE252" s="7"/>
      <c r="AF252" s="8"/>
      <c r="AG252" s="5"/>
      <c r="AH252" s="4"/>
      <c r="AI252" s="4" t="s">
        <v>62</v>
      </c>
      <c r="AJ252" s="4" t="s">
        <v>62</v>
      </c>
      <c r="AK252" s="4" t="s">
        <v>62</v>
      </c>
      <c r="AL252" s="4" t="s">
        <v>63</v>
      </c>
      <c r="AM252" s="4" t="s">
        <v>62</v>
      </c>
      <c r="AN252" s="4" t="s">
        <v>64</v>
      </c>
      <c r="AO252" s="4" t="s">
        <v>62</v>
      </c>
      <c r="AP252" s="4" t="s">
        <v>62</v>
      </c>
      <c r="AQ252" s="4" t="s">
        <v>62</v>
      </c>
      <c r="AR252" s="4" t="s">
        <v>62</v>
      </c>
      <c r="AS252" s="4" t="s">
        <v>185</v>
      </c>
      <c r="AT252" s="4" t="n">
        <v>2</v>
      </c>
      <c r="AU252" s="4" t="s">
        <v>112</v>
      </c>
      <c r="AV252" s="4" t="s">
        <v>151</v>
      </c>
      <c r="AW252" s="4" t="s">
        <v>845</v>
      </c>
      <c r="AX252" s="4" t="s">
        <v>846</v>
      </c>
      <c r="AY252" s="4" t="n">
        <v>12</v>
      </c>
      <c r="AZ252" s="4" t="s">
        <v>62</v>
      </c>
      <c r="BA252" s="4" t="s">
        <v>843</v>
      </c>
      <c r="BB252" s="4" t="s">
        <v>760</v>
      </c>
      <c r="BC252" s="6" t="n">
        <v>0.75</v>
      </c>
      <c r="BD252" s="4" t="n">
        <v>97</v>
      </c>
    </row>
    <row r="253" customFormat="false" ht="86.55" hidden="false" customHeight="false" outlineLevel="0" collapsed="false">
      <c r="A253" s="4"/>
      <c r="B253" s="4" t="s">
        <v>753</v>
      </c>
      <c r="C253" s="4" t="s">
        <v>57</v>
      </c>
      <c r="D253" s="4" t="s">
        <v>754</v>
      </c>
      <c r="E253" s="4" t="s">
        <v>817</v>
      </c>
      <c r="F253" s="4" t="n">
        <v>35</v>
      </c>
      <c r="G253" s="5" t="s">
        <v>840</v>
      </c>
      <c r="H253" s="5" t="s">
        <v>812</v>
      </c>
      <c r="I253" s="4"/>
      <c r="J253" s="4"/>
      <c r="K253" s="4"/>
      <c r="L253" s="4" t="n">
        <v>20</v>
      </c>
      <c r="M253" s="4" t="n">
        <v>20</v>
      </c>
      <c r="N253" s="4" t="n">
        <v>0</v>
      </c>
      <c r="O253" s="4" t="n">
        <v>19</v>
      </c>
      <c r="P253" s="4" t="n">
        <v>1</v>
      </c>
      <c r="Q253" s="4" t="n">
        <v>10</v>
      </c>
      <c r="R253" s="6" t="n">
        <f aca="false">IF(N(L253)=0,0,O253/L253)</f>
        <v>0.95</v>
      </c>
      <c r="S253" s="4" t="n">
        <f aca="false">IF(R253="","",IF(R253&gt;=0.8,50,IF(R253&gt;=0.5,30,IF(R253&gt;=0.01,10,0))))</f>
        <v>50</v>
      </c>
      <c r="T253" s="4" t="n">
        <f aca="false">IF(TRIM(AI253)="Yes",2.5,0)</f>
        <v>2.5</v>
      </c>
      <c r="U253" s="4" t="n">
        <f aca="false">IF(TRIM(AJ253)="Yes",10,0)</f>
        <v>10</v>
      </c>
      <c r="V253" s="4" t="n">
        <f aca="false">IF(TRIM(AK253)="Yes",5,0)</f>
        <v>5</v>
      </c>
      <c r="W253" s="4" t="n">
        <f aca="false">IF(TRIM(AM253)="Yes",5,0)</f>
        <v>5</v>
      </c>
      <c r="X253" s="4" t="n">
        <f aca="false">IF(OR(TRIM(AN253)="Fully Available",TRIM(AN253)="Not Applicable"),5,IF(TRIM(AN253)="Partially Available",2.5,0))</f>
        <v>5</v>
      </c>
      <c r="Y253" s="4" t="n">
        <f aca="false">IF(TRIM(AO253)="Yes",5,0)</f>
        <v>5</v>
      </c>
      <c r="Z253" s="4" t="n">
        <f aca="false">IF(TRIM(AP253)="Yes",2.5,0)</f>
        <v>2.5</v>
      </c>
      <c r="AA253" s="4" t="n">
        <f aca="false">IF(TRIM(AQ253)="Yes",5,0)</f>
        <v>5</v>
      </c>
      <c r="AB253" s="4" t="n">
        <f aca="false">IF(OR(TRIM(AR253)="Yes",TRIM(AR253)="Not Applicable"),5,0)</f>
        <v>5</v>
      </c>
      <c r="AC253" s="4" t="n">
        <f aca="false">IF(TRIM(AS253)="Excellent",5,IF(TRIM(AS253)="Very Good",4,IF(TRIM(AS253)="Good",3,IF(TRIM(AS253)="Average",2,0))))</f>
        <v>3</v>
      </c>
      <c r="AD253" s="7" t="n">
        <f aca="false">IF(COUNT(S253:AC253)=0,"",SUM(S253:AC253))</f>
        <v>98</v>
      </c>
      <c r="AE253" s="7"/>
      <c r="AF253" s="8"/>
      <c r="AG253" s="5"/>
      <c r="AH253" s="4"/>
      <c r="AI253" s="4" t="s">
        <v>62</v>
      </c>
      <c r="AJ253" s="4" t="s">
        <v>62</v>
      </c>
      <c r="AK253" s="4" t="s">
        <v>62</v>
      </c>
      <c r="AL253" s="4" t="s">
        <v>63</v>
      </c>
      <c r="AM253" s="4" t="s">
        <v>62</v>
      </c>
      <c r="AN253" s="4" t="s">
        <v>64</v>
      </c>
      <c r="AO253" s="4" t="s">
        <v>62</v>
      </c>
      <c r="AP253" s="4" t="s">
        <v>62</v>
      </c>
      <c r="AQ253" s="4" t="s">
        <v>62</v>
      </c>
      <c r="AR253" s="4" t="s">
        <v>62</v>
      </c>
      <c r="AS253" s="4" t="s">
        <v>185</v>
      </c>
      <c r="AT253" s="4" t="n">
        <v>3</v>
      </c>
      <c r="AU253" s="4" t="s">
        <v>66</v>
      </c>
      <c r="AV253" s="4" t="s">
        <v>151</v>
      </c>
      <c r="AW253" s="4" t="s">
        <v>847</v>
      </c>
      <c r="AX253" s="4" t="s">
        <v>848</v>
      </c>
      <c r="AY253" s="4" t="n">
        <v>2</v>
      </c>
      <c r="AZ253" s="4" t="s">
        <v>62</v>
      </c>
      <c r="BA253" s="4" t="s">
        <v>843</v>
      </c>
      <c r="BB253" s="4" t="s">
        <v>760</v>
      </c>
      <c r="BC253" s="6" t="n">
        <v>0.5263</v>
      </c>
      <c r="BD253" s="4" t="n">
        <v>97</v>
      </c>
    </row>
    <row r="254" customFormat="false" ht="86.55" hidden="false" customHeight="false" outlineLevel="0" collapsed="false">
      <c r="A254" s="4"/>
      <c r="B254" s="4" t="s">
        <v>753</v>
      </c>
      <c r="C254" s="4" t="s">
        <v>57</v>
      </c>
      <c r="D254" s="4" t="s">
        <v>754</v>
      </c>
      <c r="E254" s="4" t="s">
        <v>817</v>
      </c>
      <c r="F254" s="4" t="n">
        <v>35</v>
      </c>
      <c r="G254" s="5" t="s">
        <v>840</v>
      </c>
      <c r="H254" s="5" t="s">
        <v>118</v>
      </c>
      <c r="I254" s="4"/>
      <c r="J254" s="4"/>
      <c r="K254" s="4"/>
      <c r="L254" s="4" t="n">
        <v>20</v>
      </c>
      <c r="M254" s="4" t="n">
        <v>20</v>
      </c>
      <c r="N254" s="4" t="n">
        <v>0</v>
      </c>
      <c r="O254" s="4" t="n">
        <v>16</v>
      </c>
      <c r="P254" s="4" t="n">
        <v>4</v>
      </c>
      <c r="Q254" s="4" t="n">
        <v>15</v>
      </c>
      <c r="R254" s="6" t="n">
        <f aca="false">IF(N(L254)=0,0,O254/L254)</f>
        <v>0.8</v>
      </c>
      <c r="S254" s="4" t="n">
        <f aca="false">IF(R254="","",IF(R254&gt;=0.8,50,IF(R254&gt;=0.5,30,IF(R254&gt;=0.01,10,0))))</f>
        <v>50</v>
      </c>
      <c r="T254" s="4" t="n">
        <f aca="false">IF(TRIM(AI254)="Yes",2.5,0)</f>
        <v>2.5</v>
      </c>
      <c r="U254" s="4" t="n">
        <f aca="false">IF(TRIM(AJ254)="Yes",10,0)</f>
        <v>10</v>
      </c>
      <c r="V254" s="4" t="n">
        <f aca="false">IF(TRIM(AK254)="Yes",5,0)</f>
        <v>5</v>
      </c>
      <c r="W254" s="4" t="n">
        <f aca="false">IF(TRIM(AM254)="Yes",5,0)</f>
        <v>5</v>
      </c>
      <c r="X254" s="4" t="n">
        <f aca="false">IF(OR(TRIM(AN254)="Fully Available",TRIM(AN254)="Not Applicable"),5,IF(TRIM(AN254)="Partially Available",2.5,0))</f>
        <v>5</v>
      </c>
      <c r="Y254" s="4" t="n">
        <f aca="false">IF(TRIM(AO254)="Yes",5,0)</f>
        <v>5</v>
      </c>
      <c r="Z254" s="4" t="n">
        <f aca="false">IF(TRIM(AP254)="Yes",2.5,0)</f>
        <v>2.5</v>
      </c>
      <c r="AA254" s="4" t="n">
        <f aca="false">IF(TRIM(AQ254)="Yes",5,0)</f>
        <v>5</v>
      </c>
      <c r="AB254" s="4" t="n">
        <f aca="false">IF(OR(TRIM(AR254)="Yes",TRIM(AR254)="Not Applicable"),5,0)</f>
        <v>5</v>
      </c>
      <c r="AC254" s="4" t="n">
        <f aca="false">IF(TRIM(AS254)="Excellent",5,IF(TRIM(AS254)="Very Good",4,IF(TRIM(AS254)="Good",3,IF(TRIM(AS254)="Average",2,0))))</f>
        <v>3</v>
      </c>
      <c r="AD254" s="7" t="n">
        <f aca="false">IF(COUNT(S254:AC254)=0,"",SUM(S254:AC254))</f>
        <v>98</v>
      </c>
      <c r="AE254" s="7"/>
      <c r="AF254" s="8"/>
      <c r="AG254" s="5"/>
      <c r="AH254" s="4"/>
      <c r="AI254" s="4" t="s">
        <v>62</v>
      </c>
      <c r="AJ254" s="4" t="s">
        <v>62</v>
      </c>
      <c r="AK254" s="4" t="s">
        <v>62</v>
      </c>
      <c r="AL254" s="4" t="s">
        <v>63</v>
      </c>
      <c r="AM254" s="4" t="s">
        <v>62</v>
      </c>
      <c r="AN254" s="4" t="s">
        <v>64</v>
      </c>
      <c r="AO254" s="4" t="s">
        <v>62</v>
      </c>
      <c r="AP254" s="4" t="s">
        <v>62</v>
      </c>
      <c r="AQ254" s="4" t="s">
        <v>62</v>
      </c>
      <c r="AR254" s="4" t="s">
        <v>62</v>
      </c>
      <c r="AS254" s="4" t="s">
        <v>185</v>
      </c>
      <c r="AT254" s="4" t="n">
        <v>2</v>
      </c>
      <c r="AU254" s="4" t="s">
        <v>112</v>
      </c>
      <c r="AV254" s="4" t="s">
        <v>151</v>
      </c>
      <c r="AW254" s="4" t="s">
        <v>849</v>
      </c>
      <c r="AX254" s="4" t="s">
        <v>850</v>
      </c>
      <c r="AY254" s="4" t="n">
        <v>24</v>
      </c>
      <c r="AZ254" s="4" t="s">
        <v>62</v>
      </c>
      <c r="BA254" s="4" t="s">
        <v>843</v>
      </c>
      <c r="BB254" s="4" t="s">
        <v>760</v>
      </c>
      <c r="BC254" s="6" t="n">
        <v>0.9375</v>
      </c>
      <c r="BD254" s="4" t="n">
        <v>97</v>
      </c>
    </row>
    <row r="255" customFormat="false" ht="86.55" hidden="false" customHeight="false" outlineLevel="0" collapsed="false">
      <c r="A255" s="4"/>
      <c r="B255" s="4" t="s">
        <v>753</v>
      </c>
      <c r="C255" s="4" t="s">
        <v>57</v>
      </c>
      <c r="D255" s="4" t="s">
        <v>754</v>
      </c>
      <c r="E255" s="4" t="s">
        <v>817</v>
      </c>
      <c r="F255" s="4" t="n">
        <v>35</v>
      </c>
      <c r="G255" s="5" t="s">
        <v>840</v>
      </c>
      <c r="H255" s="5" t="s">
        <v>851</v>
      </c>
      <c r="I255" s="4"/>
      <c r="J255" s="4"/>
      <c r="K255" s="4"/>
      <c r="L255" s="4" t="n">
        <v>20</v>
      </c>
      <c r="M255" s="4" t="n">
        <v>20</v>
      </c>
      <c r="N255" s="4" t="n">
        <v>0</v>
      </c>
      <c r="O255" s="4" t="n">
        <v>18</v>
      </c>
      <c r="P255" s="4" t="n">
        <v>2</v>
      </c>
      <c r="Q255" s="4" t="n">
        <v>15</v>
      </c>
      <c r="R255" s="6" t="n">
        <f aca="false">IF(N(L255)=0,0,O255/L255)</f>
        <v>0.9</v>
      </c>
      <c r="S255" s="4" t="n">
        <f aca="false">IF(R255="","",IF(R255&gt;=0.8,50,IF(R255&gt;=0.5,30,IF(R255&gt;=0.01,10,0))))</f>
        <v>50</v>
      </c>
      <c r="T255" s="4" t="n">
        <f aca="false">IF(TRIM(AI255)="Yes",2.5,0)</f>
        <v>2.5</v>
      </c>
      <c r="U255" s="4" t="n">
        <f aca="false">IF(TRIM(AJ255)="Yes",10,0)</f>
        <v>10</v>
      </c>
      <c r="V255" s="4" t="n">
        <f aca="false">IF(TRIM(AK255)="Yes",5,0)</f>
        <v>5</v>
      </c>
      <c r="W255" s="4" t="n">
        <f aca="false">IF(TRIM(AM255)="Yes",5,0)</f>
        <v>5</v>
      </c>
      <c r="X255" s="4" t="n">
        <f aca="false">IF(OR(TRIM(AN255)="Fully Available",TRIM(AN255)="Not Applicable"),5,IF(TRIM(AN255)="Partially Available",2.5,0))</f>
        <v>5</v>
      </c>
      <c r="Y255" s="4" t="n">
        <f aca="false">IF(TRIM(AO255)="Yes",5,0)</f>
        <v>5</v>
      </c>
      <c r="Z255" s="4" t="n">
        <f aca="false">IF(TRIM(AP255)="Yes",2.5,0)</f>
        <v>2.5</v>
      </c>
      <c r="AA255" s="4" t="n">
        <f aca="false">IF(TRIM(AQ255)="Yes",5,0)</f>
        <v>5</v>
      </c>
      <c r="AB255" s="4" t="n">
        <f aca="false">IF(OR(TRIM(AR255)="Yes",TRIM(AR255)="Not Applicable"),5,0)</f>
        <v>5</v>
      </c>
      <c r="AC255" s="4" t="n">
        <f aca="false">IF(TRIM(AS255)="Excellent",5,IF(TRIM(AS255)="Very Good",4,IF(TRIM(AS255)="Good",3,IF(TRIM(AS255)="Average",2,0))))</f>
        <v>3</v>
      </c>
      <c r="AD255" s="7" t="n">
        <f aca="false">IF(COUNT(S255:AC255)=0,"",SUM(S255:AC255))</f>
        <v>98</v>
      </c>
      <c r="AE255" s="7"/>
      <c r="AF255" s="8"/>
      <c r="AG255" s="5"/>
      <c r="AH255" s="4"/>
      <c r="AI255" s="4" t="s">
        <v>62</v>
      </c>
      <c r="AJ255" s="4" t="s">
        <v>62</v>
      </c>
      <c r="AK255" s="4" t="s">
        <v>62</v>
      </c>
      <c r="AL255" s="4" t="s">
        <v>63</v>
      </c>
      <c r="AM255" s="4" t="s">
        <v>62</v>
      </c>
      <c r="AN255" s="4" t="s">
        <v>64</v>
      </c>
      <c r="AO255" s="4" t="s">
        <v>62</v>
      </c>
      <c r="AP255" s="4" t="s">
        <v>62</v>
      </c>
      <c r="AQ255" s="4" t="s">
        <v>62</v>
      </c>
      <c r="AR255" s="4" t="s">
        <v>62</v>
      </c>
      <c r="AS255" s="4" t="s">
        <v>185</v>
      </c>
      <c r="AT255" s="4" t="n">
        <v>2</v>
      </c>
      <c r="AU255" s="4" t="s">
        <v>112</v>
      </c>
      <c r="AV255" s="4" t="s">
        <v>151</v>
      </c>
      <c r="AW255" s="4" t="s">
        <v>852</v>
      </c>
      <c r="AX255" s="4" t="s">
        <v>853</v>
      </c>
      <c r="AY255" s="4" t="n">
        <v>2</v>
      </c>
      <c r="AZ255" s="4" t="s">
        <v>62</v>
      </c>
      <c r="BA255" s="4" t="s">
        <v>843</v>
      </c>
      <c r="BB255" s="4" t="s">
        <v>760</v>
      </c>
      <c r="BC255" s="6" t="n">
        <v>0.8333</v>
      </c>
      <c r="BD255" s="4" t="n">
        <v>97</v>
      </c>
    </row>
    <row r="256" customFormat="false" ht="100.7" hidden="false" customHeight="false" outlineLevel="0" collapsed="false">
      <c r="A256" s="4"/>
      <c r="B256" s="4" t="s">
        <v>753</v>
      </c>
      <c r="C256" s="4" t="s">
        <v>57</v>
      </c>
      <c r="D256" s="4" t="s">
        <v>754</v>
      </c>
      <c r="E256" s="4" t="s">
        <v>817</v>
      </c>
      <c r="F256" s="4" t="n">
        <v>35</v>
      </c>
      <c r="G256" s="5" t="s">
        <v>840</v>
      </c>
      <c r="H256" s="5" t="s">
        <v>662</v>
      </c>
      <c r="I256" s="4"/>
      <c r="J256" s="4"/>
      <c r="K256" s="4"/>
      <c r="L256" s="4" t="n">
        <v>20</v>
      </c>
      <c r="M256" s="4" t="n">
        <v>20</v>
      </c>
      <c r="N256" s="4" t="n">
        <v>0</v>
      </c>
      <c r="O256" s="4" t="n">
        <v>17</v>
      </c>
      <c r="P256" s="4" t="n">
        <v>3</v>
      </c>
      <c r="Q256" s="4" t="n">
        <v>10</v>
      </c>
      <c r="R256" s="6" t="n">
        <f aca="false">IF(N(L256)=0,0,O256/L256)</f>
        <v>0.85</v>
      </c>
      <c r="S256" s="4" t="n">
        <f aca="false">IF(R256="","",IF(R256&gt;=0.8,50,IF(R256&gt;=0.5,30,IF(R256&gt;=0.01,10,0))))</f>
        <v>50</v>
      </c>
      <c r="T256" s="4" t="n">
        <f aca="false">IF(TRIM(AI256)="Yes",2.5,0)</f>
        <v>2.5</v>
      </c>
      <c r="U256" s="4" t="n">
        <f aca="false">IF(TRIM(AJ256)="Yes",10,0)</f>
        <v>10</v>
      </c>
      <c r="V256" s="4" t="n">
        <f aca="false">IF(TRIM(AK256)="Yes",5,0)</f>
        <v>5</v>
      </c>
      <c r="W256" s="4" t="n">
        <f aca="false">IF(TRIM(AM256)="Yes",5,0)</f>
        <v>5</v>
      </c>
      <c r="X256" s="4" t="n">
        <f aca="false">IF(OR(TRIM(AN256)="Fully Available",TRIM(AN256)="Not Applicable"),5,IF(TRIM(AN256)="Partially Available",2.5,0))</f>
        <v>5</v>
      </c>
      <c r="Y256" s="4" t="n">
        <f aca="false">IF(TRIM(AO256)="Yes",5,0)</f>
        <v>5</v>
      </c>
      <c r="Z256" s="4" t="n">
        <f aca="false">IF(TRIM(AP256)="Yes",2.5,0)</f>
        <v>2.5</v>
      </c>
      <c r="AA256" s="4" t="n">
        <f aca="false">IF(TRIM(AQ256)="Yes",5,0)</f>
        <v>5</v>
      </c>
      <c r="AB256" s="4" t="n">
        <f aca="false">IF(OR(TRIM(AR256)="Yes",TRIM(AR256)="Not Applicable"),5,0)</f>
        <v>5</v>
      </c>
      <c r="AC256" s="4" t="n">
        <f aca="false">IF(TRIM(AS256)="Excellent",5,IF(TRIM(AS256)="Very Good",4,IF(TRIM(AS256)="Good",3,IF(TRIM(AS256)="Average",2,0))))</f>
        <v>3</v>
      </c>
      <c r="AD256" s="7" t="n">
        <f aca="false">IF(COUNT(S256:AC256)=0,"",SUM(S256:AC256))</f>
        <v>98</v>
      </c>
      <c r="AE256" s="7"/>
      <c r="AF256" s="8"/>
      <c r="AG256" s="5"/>
      <c r="AH256" s="4"/>
      <c r="AI256" s="4" t="s">
        <v>62</v>
      </c>
      <c r="AJ256" s="4" t="s">
        <v>62</v>
      </c>
      <c r="AK256" s="4" t="s">
        <v>62</v>
      </c>
      <c r="AL256" s="4" t="s">
        <v>63</v>
      </c>
      <c r="AM256" s="4" t="s">
        <v>62</v>
      </c>
      <c r="AN256" s="4" t="s">
        <v>64</v>
      </c>
      <c r="AO256" s="4" t="s">
        <v>62</v>
      </c>
      <c r="AP256" s="4" t="s">
        <v>62</v>
      </c>
      <c r="AQ256" s="4" t="s">
        <v>62</v>
      </c>
      <c r="AR256" s="4" t="s">
        <v>62</v>
      </c>
      <c r="AS256" s="4" t="s">
        <v>185</v>
      </c>
      <c r="AT256" s="4" t="n">
        <v>3</v>
      </c>
      <c r="AU256" s="4" t="s">
        <v>66</v>
      </c>
      <c r="AV256" s="4" t="s">
        <v>151</v>
      </c>
      <c r="AW256" s="4" t="s">
        <v>854</v>
      </c>
      <c r="AX256" s="4" t="s">
        <v>855</v>
      </c>
      <c r="AY256" s="4" t="n">
        <v>7</v>
      </c>
      <c r="AZ256" s="4" t="s">
        <v>62</v>
      </c>
      <c r="BA256" s="4" t="s">
        <v>856</v>
      </c>
      <c r="BB256" s="4" t="s">
        <v>760</v>
      </c>
      <c r="BC256" s="6" t="n">
        <v>0.5882</v>
      </c>
      <c r="BD256" s="4" t="n">
        <v>97</v>
      </c>
    </row>
    <row r="257" customFormat="false" ht="114.9" hidden="false" customHeight="false" outlineLevel="0" collapsed="false">
      <c r="A257" s="4" t="n">
        <v>112</v>
      </c>
      <c r="B257" s="4" t="s">
        <v>753</v>
      </c>
      <c r="C257" s="4" t="s">
        <v>57</v>
      </c>
      <c r="D257" s="4" t="s">
        <v>754</v>
      </c>
      <c r="E257" s="4" t="s">
        <v>779</v>
      </c>
      <c r="F257" s="4" t="n">
        <v>317</v>
      </c>
      <c r="G257" s="5" t="s">
        <v>857</v>
      </c>
      <c r="H257" s="5" t="s">
        <v>858</v>
      </c>
      <c r="I257" s="4"/>
      <c r="J257" s="4"/>
      <c r="K257" s="4"/>
      <c r="L257" s="4" t="n">
        <v>20</v>
      </c>
      <c r="M257" s="4" t="n">
        <v>20</v>
      </c>
      <c r="N257" s="4" t="n">
        <v>0</v>
      </c>
      <c r="O257" s="4" t="n">
        <v>20</v>
      </c>
      <c r="P257" s="4" t="n">
        <v>0</v>
      </c>
      <c r="Q257" s="4" t="n">
        <v>10</v>
      </c>
      <c r="R257" s="6" t="n">
        <f aca="false">IF(N(L257)=0,0,O257/L257)</f>
        <v>1</v>
      </c>
      <c r="S257" s="4" t="n">
        <f aca="false">IF(R257="","",IF(R257&gt;=0.8,50,IF(R257&gt;=0.5,30,IF(R257&gt;=0.01,10,0))))</f>
        <v>50</v>
      </c>
      <c r="T257" s="4" t="n">
        <f aca="false">IF(TRIM(AI257)="Yes",2.5,0)</f>
        <v>2.5</v>
      </c>
      <c r="U257" s="4" t="n">
        <f aca="false">IF(TRIM(AJ257)="Yes",10,0)</f>
        <v>10</v>
      </c>
      <c r="V257" s="4" t="n">
        <f aca="false">IF(TRIM(AK257)="Yes",5,0)</f>
        <v>5</v>
      </c>
      <c r="W257" s="4" t="n">
        <f aca="false">IF(TRIM(AM257)="Yes",5,0)</f>
        <v>5</v>
      </c>
      <c r="X257" s="4" t="n">
        <f aca="false">IF(OR(TRIM(AN257)="Fully Available",TRIM(AN257)="Not Applicable"),5,IF(TRIM(AN257)="Partially Available",2.5,0))</f>
        <v>5</v>
      </c>
      <c r="Y257" s="4" t="n">
        <f aca="false">IF(TRIM(AO257)="Yes",5,0)</f>
        <v>5</v>
      </c>
      <c r="Z257" s="4" t="n">
        <f aca="false">IF(TRIM(AP257)="Yes",2.5,0)</f>
        <v>2.5</v>
      </c>
      <c r="AA257" s="4" t="n">
        <f aca="false">IF(TRIM(AQ257)="Yes",5,0)</f>
        <v>5</v>
      </c>
      <c r="AB257" s="4" t="n">
        <f aca="false">IF(OR(TRIM(AR257)="Yes",TRIM(AR257)="Not Applicable"),5,0)</f>
        <v>5</v>
      </c>
      <c r="AC257" s="4" t="n">
        <f aca="false">IF(TRIM(AS257)="Excellent",5,IF(TRIM(AS257)="Very Good",4,IF(TRIM(AS257)="Good",3,IF(TRIM(AS257)="Average",2,0))))</f>
        <v>4</v>
      </c>
      <c r="AD257" s="7" t="n">
        <f aca="false">IF(COUNT(S257:AC257)=0,"",SUM(S257:AC257))</f>
        <v>99</v>
      </c>
      <c r="AE257" s="7" t="n">
        <f aca="false">IF(COUNTIF($F$2:F257,F257)=1,IFERROR(AVERAGEIF($F:$F,F257,$AD:$AD),""),"")</f>
        <v>99</v>
      </c>
      <c r="AF257" s="8" t="str">
        <f aca="false">IF(AH257&lt;&gt;"",AH257,IF(AE257="","",IF(AE257&gt;=80,"Excellent",IF(AE257&gt;=70,"Very Good",IF(AE257&gt;=60,"Good",IF(AE257&gt;=50,"Average","Poor"))))))</f>
        <v>Excellent</v>
      </c>
      <c r="AG257" s="5"/>
      <c r="AH257" s="4"/>
      <c r="AI257" s="4" t="s">
        <v>62</v>
      </c>
      <c r="AJ257" s="4" t="s">
        <v>62</v>
      </c>
      <c r="AK257" s="4" t="s">
        <v>62</v>
      </c>
      <c r="AL257" s="4" t="s">
        <v>63</v>
      </c>
      <c r="AM257" s="4" t="s">
        <v>62</v>
      </c>
      <c r="AN257" s="4" t="s">
        <v>64</v>
      </c>
      <c r="AO257" s="4" t="s">
        <v>62</v>
      </c>
      <c r="AP257" s="4" t="s">
        <v>62</v>
      </c>
      <c r="AQ257" s="4" t="s">
        <v>62</v>
      </c>
      <c r="AR257" s="4" t="s">
        <v>62</v>
      </c>
      <c r="AS257" s="4" t="s">
        <v>74</v>
      </c>
      <c r="AT257" s="4" t="n">
        <v>8</v>
      </c>
      <c r="AU257" s="4" t="s">
        <v>66</v>
      </c>
      <c r="AV257" s="4" t="s">
        <v>151</v>
      </c>
      <c r="AW257" s="4" t="s">
        <v>859</v>
      </c>
      <c r="AX257" s="4" t="s">
        <v>519</v>
      </c>
      <c r="AY257" s="4" t="n">
        <v>5</v>
      </c>
      <c r="AZ257" s="4" t="s">
        <v>62</v>
      </c>
      <c r="BA257" s="4" t="s">
        <v>860</v>
      </c>
      <c r="BB257" s="4" t="s">
        <v>760</v>
      </c>
      <c r="BC257" s="6" t="n">
        <v>0.5</v>
      </c>
      <c r="BD257" s="4" t="n">
        <v>100</v>
      </c>
    </row>
    <row r="258" customFormat="false" ht="114.9" hidden="false" customHeight="false" outlineLevel="0" collapsed="false">
      <c r="A258" s="4"/>
      <c r="B258" s="4" t="s">
        <v>753</v>
      </c>
      <c r="C258" s="4" t="s">
        <v>57</v>
      </c>
      <c r="D258" s="4" t="s">
        <v>754</v>
      </c>
      <c r="E258" s="4" t="s">
        <v>779</v>
      </c>
      <c r="F258" s="4" t="n">
        <v>317</v>
      </c>
      <c r="G258" s="5" t="s">
        <v>857</v>
      </c>
      <c r="H258" s="5" t="s">
        <v>279</v>
      </c>
      <c r="I258" s="4"/>
      <c r="J258" s="4"/>
      <c r="K258" s="4"/>
      <c r="L258" s="4" t="n">
        <v>20</v>
      </c>
      <c r="M258" s="4" t="n">
        <v>20</v>
      </c>
      <c r="N258" s="4" t="n">
        <v>0</v>
      </c>
      <c r="O258" s="4" t="n">
        <v>20</v>
      </c>
      <c r="P258" s="4" t="n">
        <v>0</v>
      </c>
      <c r="Q258" s="4" t="n">
        <v>8</v>
      </c>
      <c r="R258" s="6" t="n">
        <f aca="false">IF(N(L258)=0,0,O258/L258)</f>
        <v>1</v>
      </c>
      <c r="S258" s="4" t="n">
        <f aca="false">IF(R258="","",IF(R258&gt;=0.8,50,IF(R258&gt;=0.5,30,IF(R258&gt;=0.01,10,0))))</f>
        <v>50</v>
      </c>
      <c r="T258" s="4" t="n">
        <f aca="false">IF(TRIM(AI258)="Yes",2.5,0)</f>
        <v>2.5</v>
      </c>
      <c r="U258" s="4" t="n">
        <f aca="false">IF(TRIM(AJ258)="Yes",10,0)</f>
        <v>10</v>
      </c>
      <c r="V258" s="4" t="n">
        <f aca="false">IF(TRIM(AK258)="Yes",5,0)</f>
        <v>5</v>
      </c>
      <c r="W258" s="4" t="n">
        <f aca="false">IF(TRIM(AM258)="Yes",5,0)</f>
        <v>5</v>
      </c>
      <c r="X258" s="4" t="n">
        <f aca="false">IF(OR(TRIM(AN258)="Fully Available",TRIM(AN258)="Not Applicable"),5,IF(TRIM(AN258)="Partially Available",2.5,0))</f>
        <v>5</v>
      </c>
      <c r="Y258" s="4" t="n">
        <f aca="false">IF(TRIM(AO258)="Yes",5,0)</f>
        <v>5</v>
      </c>
      <c r="Z258" s="4" t="n">
        <f aca="false">IF(TRIM(AP258)="Yes",2.5,0)</f>
        <v>2.5</v>
      </c>
      <c r="AA258" s="4" t="n">
        <f aca="false">IF(TRIM(AQ258)="Yes",5,0)</f>
        <v>5</v>
      </c>
      <c r="AB258" s="4" t="n">
        <f aca="false">IF(OR(TRIM(AR258)="Yes",TRIM(AR258)="Not Applicable"),5,0)</f>
        <v>5</v>
      </c>
      <c r="AC258" s="4" t="n">
        <f aca="false">IF(TRIM(AS258)="Excellent",5,IF(TRIM(AS258)="Very Good",4,IF(TRIM(AS258)="Good",3,IF(TRIM(AS258)="Average",2,0))))</f>
        <v>4</v>
      </c>
      <c r="AD258" s="7" t="n">
        <f aca="false">IF(COUNT(S258:AC258)=0,"",SUM(S258:AC258))</f>
        <v>99</v>
      </c>
      <c r="AE258" s="7"/>
      <c r="AF258" s="8"/>
      <c r="AG258" s="5"/>
      <c r="AH258" s="4"/>
      <c r="AI258" s="4" t="s">
        <v>62</v>
      </c>
      <c r="AJ258" s="4" t="s">
        <v>62</v>
      </c>
      <c r="AK258" s="4" t="s">
        <v>62</v>
      </c>
      <c r="AL258" s="4" t="s">
        <v>63</v>
      </c>
      <c r="AM258" s="4" t="s">
        <v>62</v>
      </c>
      <c r="AN258" s="4" t="s">
        <v>64</v>
      </c>
      <c r="AO258" s="4" t="s">
        <v>62</v>
      </c>
      <c r="AP258" s="4" t="s">
        <v>62</v>
      </c>
      <c r="AQ258" s="4" t="s">
        <v>62</v>
      </c>
      <c r="AR258" s="4" t="s">
        <v>62</v>
      </c>
      <c r="AS258" s="4" t="s">
        <v>74</v>
      </c>
      <c r="AT258" s="4" t="n">
        <v>8</v>
      </c>
      <c r="AU258" s="4" t="s">
        <v>112</v>
      </c>
      <c r="AV258" s="4" t="s">
        <v>151</v>
      </c>
      <c r="AW258" s="4" t="s">
        <v>861</v>
      </c>
      <c r="AX258" s="4" t="s">
        <v>192</v>
      </c>
      <c r="AY258" s="4" t="n">
        <v>5</v>
      </c>
      <c r="AZ258" s="4" t="s">
        <v>62</v>
      </c>
      <c r="BA258" s="4" t="s">
        <v>860</v>
      </c>
      <c r="BB258" s="4" t="s">
        <v>760</v>
      </c>
      <c r="BC258" s="6" t="n">
        <v>0.4</v>
      </c>
      <c r="BD258" s="4" t="n">
        <v>100</v>
      </c>
    </row>
    <row r="259" customFormat="false" ht="100.7" hidden="false" customHeight="false" outlineLevel="0" collapsed="false">
      <c r="A259" s="4" t="n">
        <v>113</v>
      </c>
      <c r="B259" s="4" t="s">
        <v>753</v>
      </c>
      <c r="C259" s="4" t="s">
        <v>57</v>
      </c>
      <c r="D259" s="4" t="s">
        <v>754</v>
      </c>
      <c r="E259" s="4" t="s">
        <v>755</v>
      </c>
      <c r="F259" s="4" t="n">
        <v>1052</v>
      </c>
      <c r="G259" s="5" t="s">
        <v>862</v>
      </c>
      <c r="H259" s="5" t="s">
        <v>61</v>
      </c>
      <c r="I259" s="4"/>
      <c r="J259" s="4"/>
      <c r="K259" s="4"/>
      <c r="L259" s="4" t="n">
        <v>15</v>
      </c>
      <c r="M259" s="4" t="n">
        <v>14</v>
      </c>
      <c r="N259" s="4" t="n">
        <v>1</v>
      </c>
      <c r="O259" s="4" t="n">
        <v>13</v>
      </c>
      <c r="P259" s="4" t="n">
        <v>1</v>
      </c>
      <c r="Q259" s="4" t="n">
        <v>5</v>
      </c>
      <c r="R259" s="6" t="n">
        <f aca="false">IF(N(L259)=0,0,O259/L259)</f>
        <v>0.866666666666667</v>
      </c>
      <c r="S259" s="4" t="n">
        <f aca="false">IF(R259="","",IF(R259&gt;=0.8,50,IF(R259&gt;=0.5,30,IF(R259&gt;=0.01,10,0))))</f>
        <v>50</v>
      </c>
      <c r="T259" s="4" t="n">
        <f aca="false">IF(TRIM(AI259)="Yes",2.5,0)</f>
        <v>2.5</v>
      </c>
      <c r="U259" s="4" t="n">
        <f aca="false">IF(TRIM(AJ259)="Yes",10,0)</f>
        <v>10</v>
      </c>
      <c r="V259" s="4" t="n">
        <f aca="false">IF(TRIM(AK259)="Yes",5,0)</f>
        <v>5</v>
      </c>
      <c r="W259" s="4" t="n">
        <f aca="false">IF(TRIM(AM259)="Yes",5,0)</f>
        <v>5</v>
      </c>
      <c r="X259" s="4" t="n">
        <f aca="false">IF(OR(TRIM(AN259)="Fully Available",TRIM(AN259)="Not Applicable"),5,IF(TRIM(AN259)="Partially Available",2.5,0))</f>
        <v>5</v>
      </c>
      <c r="Y259" s="4" t="n">
        <f aca="false">IF(TRIM(AO259)="Yes",5,0)</f>
        <v>5</v>
      </c>
      <c r="Z259" s="4" t="n">
        <f aca="false">IF(TRIM(AP259)="Yes",2.5,0)</f>
        <v>2.5</v>
      </c>
      <c r="AA259" s="4" t="n">
        <f aca="false">IF(TRIM(AQ259)="Yes",5,0)</f>
        <v>5</v>
      </c>
      <c r="AB259" s="4" t="n">
        <f aca="false">IF(OR(TRIM(AR259)="Yes",TRIM(AR259)="Not Applicable"),5,0)</f>
        <v>5</v>
      </c>
      <c r="AC259" s="4" t="n">
        <f aca="false">IF(TRIM(AS259)="Excellent",5,IF(TRIM(AS259)="Very Good",4,IF(TRIM(AS259)="Good",3,IF(TRIM(AS259)="Average",2,0))))</f>
        <v>5</v>
      </c>
      <c r="AD259" s="7" t="n">
        <f aca="false">IF(COUNT(S259:AC259)=0,"",SUM(S259:AC259))</f>
        <v>100</v>
      </c>
      <c r="AE259" s="7" t="n">
        <f aca="false">IF(COUNTIF($F$2:F259,F259)=1,IFERROR(AVERAGEIF($F:$F,F259,$AD:$AD),""),"")</f>
        <v>100</v>
      </c>
      <c r="AF259" s="8" t="str">
        <f aca="false">IF(AH259&lt;&gt;"",AH259,IF(AE259="","",IF(AE259&gt;=80,"Excellent",IF(AE259&gt;=70,"Very Good",IF(AE259&gt;=60,"Good",IF(AE259&gt;=50,"Average","Poor"))))))</f>
        <v>Excellent</v>
      </c>
      <c r="AG259" s="5"/>
      <c r="AH259" s="4"/>
      <c r="AI259" s="4" t="s">
        <v>62</v>
      </c>
      <c r="AJ259" s="4" t="s">
        <v>62</v>
      </c>
      <c r="AK259" s="4" t="s">
        <v>62</v>
      </c>
      <c r="AL259" s="4" t="s">
        <v>63</v>
      </c>
      <c r="AM259" s="4" t="s">
        <v>62</v>
      </c>
      <c r="AN259" s="4" t="s">
        <v>64</v>
      </c>
      <c r="AO259" s="4" t="s">
        <v>62</v>
      </c>
      <c r="AP259" s="4" t="s">
        <v>62</v>
      </c>
      <c r="AQ259" s="4" t="s">
        <v>62</v>
      </c>
      <c r="AR259" s="4" t="s">
        <v>62</v>
      </c>
      <c r="AS259" s="4" t="s">
        <v>65</v>
      </c>
      <c r="AT259" s="4" t="n">
        <v>36</v>
      </c>
      <c r="AU259" s="4" t="s">
        <v>66</v>
      </c>
      <c r="AV259" s="4" t="s">
        <v>151</v>
      </c>
      <c r="AW259" s="4" t="s">
        <v>863</v>
      </c>
      <c r="AX259" s="4" t="s">
        <v>392</v>
      </c>
      <c r="AY259" s="4" t="n">
        <v>15</v>
      </c>
      <c r="AZ259" s="4" t="s">
        <v>62</v>
      </c>
      <c r="BA259" s="4" t="s">
        <v>864</v>
      </c>
      <c r="BB259" s="4" t="s">
        <v>760</v>
      </c>
      <c r="BC259" s="6" t="n">
        <v>0.3846</v>
      </c>
      <c r="BD259" s="4" t="n">
        <v>95</v>
      </c>
    </row>
    <row r="260" customFormat="false" ht="100.7" hidden="false" customHeight="false" outlineLevel="0" collapsed="false">
      <c r="A260" s="4"/>
      <c r="B260" s="4" t="s">
        <v>753</v>
      </c>
      <c r="C260" s="4" t="s">
        <v>57</v>
      </c>
      <c r="D260" s="4" t="s">
        <v>754</v>
      </c>
      <c r="E260" s="4" t="s">
        <v>755</v>
      </c>
      <c r="F260" s="4" t="n">
        <v>1052</v>
      </c>
      <c r="G260" s="5" t="s">
        <v>862</v>
      </c>
      <c r="H260" s="5" t="s">
        <v>190</v>
      </c>
      <c r="I260" s="4"/>
      <c r="J260" s="4"/>
      <c r="K260" s="4"/>
      <c r="L260" s="4" t="n">
        <v>20</v>
      </c>
      <c r="M260" s="4" t="n">
        <v>19</v>
      </c>
      <c r="N260" s="4" t="n">
        <v>1</v>
      </c>
      <c r="O260" s="4" t="n">
        <v>19</v>
      </c>
      <c r="P260" s="4" t="n">
        <v>0</v>
      </c>
      <c r="Q260" s="4" t="n">
        <v>8</v>
      </c>
      <c r="R260" s="6" t="n">
        <f aca="false">IF(N(L260)=0,0,O260/L260)</f>
        <v>0.95</v>
      </c>
      <c r="S260" s="4" t="n">
        <f aca="false">IF(R260="","",IF(R260&gt;=0.8,50,IF(R260&gt;=0.5,30,IF(R260&gt;=0.01,10,0))))</f>
        <v>50</v>
      </c>
      <c r="T260" s="4" t="n">
        <f aca="false">IF(TRIM(AI260)="Yes",2.5,0)</f>
        <v>2.5</v>
      </c>
      <c r="U260" s="4" t="n">
        <f aca="false">IF(TRIM(AJ260)="Yes",10,0)</f>
        <v>10</v>
      </c>
      <c r="V260" s="4" t="n">
        <f aca="false">IF(TRIM(AK260)="Yes",5,0)</f>
        <v>5</v>
      </c>
      <c r="W260" s="4" t="n">
        <f aca="false">IF(TRIM(AM260)="Yes",5,0)</f>
        <v>5</v>
      </c>
      <c r="X260" s="4" t="n">
        <f aca="false">IF(OR(TRIM(AN260)="Fully Available",TRIM(AN260)="Not Applicable"),5,IF(TRIM(AN260)="Partially Available",2.5,0))</f>
        <v>5</v>
      </c>
      <c r="Y260" s="4" t="n">
        <f aca="false">IF(TRIM(AO260)="Yes",5,0)</f>
        <v>5</v>
      </c>
      <c r="Z260" s="4" t="n">
        <f aca="false">IF(TRIM(AP260)="Yes",2.5,0)</f>
        <v>2.5</v>
      </c>
      <c r="AA260" s="4" t="n">
        <f aca="false">IF(TRIM(AQ260)="Yes",5,0)</f>
        <v>5</v>
      </c>
      <c r="AB260" s="4" t="n">
        <f aca="false">IF(OR(TRIM(AR260)="Yes",TRIM(AR260)="Not Applicable"),5,0)</f>
        <v>5</v>
      </c>
      <c r="AC260" s="4" t="n">
        <f aca="false">IF(TRIM(AS260)="Excellent",5,IF(TRIM(AS260)="Very Good",4,IF(TRIM(AS260)="Good",3,IF(TRIM(AS260)="Average",2,0))))</f>
        <v>5</v>
      </c>
      <c r="AD260" s="7" t="n">
        <f aca="false">IF(COUNT(S260:AC260)=0,"",SUM(S260:AC260))</f>
        <v>100</v>
      </c>
      <c r="AE260" s="7"/>
      <c r="AF260" s="8"/>
      <c r="AG260" s="5"/>
      <c r="AH260" s="4"/>
      <c r="AI260" s="4" t="s">
        <v>62</v>
      </c>
      <c r="AJ260" s="4" t="s">
        <v>62</v>
      </c>
      <c r="AK260" s="4" t="s">
        <v>62</v>
      </c>
      <c r="AL260" s="4" t="s">
        <v>63</v>
      </c>
      <c r="AM260" s="4" t="s">
        <v>62</v>
      </c>
      <c r="AN260" s="4" t="s">
        <v>64</v>
      </c>
      <c r="AO260" s="4" t="s">
        <v>62</v>
      </c>
      <c r="AP260" s="4" t="s">
        <v>62</v>
      </c>
      <c r="AQ260" s="4" t="s">
        <v>62</v>
      </c>
      <c r="AR260" s="4" t="s">
        <v>62</v>
      </c>
      <c r="AS260" s="4" t="s">
        <v>65</v>
      </c>
      <c r="AT260" s="4" t="n">
        <v>8</v>
      </c>
      <c r="AU260" s="4" t="s">
        <v>112</v>
      </c>
      <c r="AV260" s="4" t="s">
        <v>151</v>
      </c>
      <c r="AW260" s="4" t="s">
        <v>865</v>
      </c>
      <c r="AX260" s="4" t="s">
        <v>866</v>
      </c>
      <c r="AY260" s="4" t="n">
        <v>12</v>
      </c>
      <c r="AZ260" s="4" t="s">
        <v>62</v>
      </c>
      <c r="BA260" s="4" t="s">
        <v>864</v>
      </c>
      <c r="BB260" s="4" t="s">
        <v>760</v>
      </c>
      <c r="BC260" s="6" t="n">
        <v>0.4211</v>
      </c>
      <c r="BD260" s="4" t="n">
        <v>95</v>
      </c>
    </row>
    <row r="261" customFormat="false" ht="100.7" hidden="false" customHeight="false" outlineLevel="0" collapsed="false">
      <c r="A261" s="4" t="n">
        <v>114</v>
      </c>
      <c r="B261" s="4" t="s">
        <v>753</v>
      </c>
      <c r="C261" s="4" t="s">
        <v>57</v>
      </c>
      <c r="D261" s="4" t="s">
        <v>754</v>
      </c>
      <c r="E261" s="4" t="s">
        <v>867</v>
      </c>
      <c r="F261" s="4" t="n">
        <v>667</v>
      </c>
      <c r="G261" s="5" t="s">
        <v>868</v>
      </c>
      <c r="H261" s="5" t="s">
        <v>177</v>
      </c>
      <c r="I261" s="4"/>
      <c r="J261" s="4"/>
      <c r="K261" s="4"/>
      <c r="L261" s="4" t="n">
        <v>20</v>
      </c>
      <c r="M261" s="4" t="n">
        <v>20</v>
      </c>
      <c r="N261" s="4" t="n">
        <v>0</v>
      </c>
      <c r="O261" s="4" t="n">
        <v>16</v>
      </c>
      <c r="P261" s="4" t="n">
        <v>4</v>
      </c>
      <c r="Q261" s="4" t="n">
        <v>5</v>
      </c>
      <c r="R261" s="6" t="n">
        <f aca="false">IF(N(L261)=0,0,O261/L261)</f>
        <v>0.8</v>
      </c>
      <c r="S261" s="4" t="n">
        <f aca="false">IF(R261="","",IF(R261&gt;=0.8,50,IF(R261&gt;=0.5,30,IF(R261&gt;=0.01,10,0))))</f>
        <v>50</v>
      </c>
      <c r="T261" s="4" t="n">
        <f aca="false">IF(TRIM(AI261)="Yes",2.5,0)</f>
        <v>2.5</v>
      </c>
      <c r="U261" s="4" t="n">
        <f aca="false">IF(TRIM(AJ261)="Yes",10,0)</f>
        <v>10</v>
      </c>
      <c r="V261" s="4" t="n">
        <f aca="false">IF(TRIM(AK261)="Yes",5,0)</f>
        <v>5</v>
      </c>
      <c r="W261" s="4" t="n">
        <f aca="false">IF(TRIM(AM261)="Yes",5,0)</f>
        <v>5</v>
      </c>
      <c r="X261" s="4" t="n">
        <f aca="false">IF(OR(TRIM(AN261)="Fully Available",TRIM(AN261)="Not Applicable"),5,IF(TRIM(AN261)="Partially Available",2.5,0))</f>
        <v>5</v>
      </c>
      <c r="Y261" s="4" t="n">
        <f aca="false">IF(TRIM(AO261)="Yes",5,0)</f>
        <v>5</v>
      </c>
      <c r="Z261" s="4" t="n">
        <f aca="false">IF(TRIM(AP261)="Yes",2.5,0)</f>
        <v>2.5</v>
      </c>
      <c r="AA261" s="4" t="n">
        <f aca="false">IF(TRIM(AQ261)="Yes",5,0)</f>
        <v>5</v>
      </c>
      <c r="AB261" s="4" t="n">
        <f aca="false">IF(OR(TRIM(AR261)="Yes",TRIM(AR261)="Not Applicable"),5,0)</f>
        <v>5</v>
      </c>
      <c r="AC261" s="4" t="n">
        <f aca="false">IF(TRIM(AS261)="Excellent",5,IF(TRIM(AS261)="Very Good",4,IF(TRIM(AS261)="Good",3,IF(TRIM(AS261)="Average",2,0))))</f>
        <v>4</v>
      </c>
      <c r="AD261" s="7" t="n">
        <f aca="false">IF(COUNT(S261:AC261)=0,"",SUM(S261:AC261))</f>
        <v>99</v>
      </c>
      <c r="AE261" s="7" t="n">
        <f aca="false">IF(COUNTIF($F$2:F261,F261)=1,IFERROR(AVERAGEIF($F:$F,F261,$AD:$AD),""),"")</f>
        <v>99</v>
      </c>
      <c r="AF261" s="8" t="str">
        <f aca="false">IF(AH261&lt;&gt;"",AH261,IF(AE261="","",IF(AE261&gt;=80,"Excellent",IF(AE261&gt;=70,"Very Good",IF(AE261&gt;=60,"Good",IF(AE261&gt;=50,"Average","Poor"))))))</f>
        <v>Excellent</v>
      </c>
      <c r="AG261" s="5"/>
      <c r="AH261" s="4"/>
      <c r="AI261" s="4" t="s">
        <v>62</v>
      </c>
      <c r="AJ261" s="4" t="s">
        <v>62</v>
      </c>
      <c r="AK261" s="4" t="s">
        <v>62</v>
      </c>
      <c r="AL261" s="4" t="s">
        <v>63</v>
      </c>
      <c r="AM261" s="4" t="s">
        <v>62</v>
      </c>
      <c r="AN261" s="4" t="s">
        <v>64</v>
      </c>
      <c r="AO261" s="4" t="s">
        <v>62</v>
      </c>
      <c r="AP261" s="4" t="s">
        <v>62</v>
      </c>
      <c r="AQ261" s="4" t="s">
        <v>62</v>
      </c>
      <c r="AR261" s="4" t="s">
        <v>73</v>
      </c>
      <c r="AS261" s="4" t="s">
        <v>74</v>
      </c>
      <c r="AT261" s="4" t="n">
        <v>3</v>
      </c>
      <c r="AU261" s="4" t="s">
        <v>66</v>
      </c>
      <c r="AV261" s="4" t="s">
        <v>67</v>
      </c>
      <c r="AW261" s="4" t="s">
        <v>869</v>
      </c>
      <c r="AX261" s="4" t="s">
        <v>870</v>
      </c>
      <c r="AY261" s="4" t="n">
        <v>4</v>
      </c>
      <c r="AZ261" s="4" t="s">
        <v>62</v>
      </c>
      <c r="BA261" s="4" t="s">
        <v>871</v>
      </c>
      <c r="BB261" s="4" t="s">
        <v>760</v>
      </c>
      <c r="BC261" s="6" t="n">
        <v>0.3125</v>
      </c>
      <c r="BD261" s="4" t="n">
        <v>79</v>
      </c>
    </row>
    <row r="262" customFormat="false" ht="72.35" hidden="false" customHeight="false" outlineLevel="0" collapsed="false">
      <c r="A262" s="4" t="n">
        <v>115</v>
      </c>
      <c r="B262" s="4" t="s">
        <v>753</v>
      </c>
      <c r="C262" s="4" t="s">
        <v>57</v>
      </c>
      <c r="D262" s="4" t="s">
        <v>754</v>
      </c>
      <c r="E262" s="4" t="s">
        <v>823</v>
      </c>
      <c r="F262" s="4" t="n">
        <v>51</v>
      </c>
      <c r="G262" s="5" t="s">
        <v>872</v>
      </c>
      <c r="H262" s="5" t="s">
        <v>100</v>
      </c>
      <c r="I262" s="4"/>
      <c r="J262" s="4"/>
      <c r="K262" s="4"/>
      <c r="L262" s="4" t="n">
        <v>20</v>
      </c>
      <c r="M262" s="4" t="n">
        <v>20</v>
      </c>
      <c r="N262" s="4" t="n">
        <v>0</v>
      </c>
      <c r="O262" s="4" t="n">
        <v>17</v>
      </c>
      <c r="P262" s="4" t="n">
        <v>3</v>
      </c>
      <c r="Q262" s="4" t="n">
        <v>5</v>
      </c>
      <c r="R262" s="6" t="n">
        <f aca="false">IF(N(L262)=0,0,O262/L262)</f>
        <v>0.85</v>
      </c>
      <c r="S262" s="4" t="n">
        <f aca="false">IF(R262="","",IF(R262&gt;=0.8,50,IF(R262&gt;=0.5,30,IF(R262&gt;=0.01,10,0))))</f>
        <v>50</v>
      </c>
      <c r="T262" s="4" t="n">
        <f aca="false">IF(TRIM(AI262)="Yes",2.5,0)</f>
        <v>2.5</v>
      </c>
      <c r="U262" s="4" t="n">
        <f aca="false">IF(TRIM(AJ262)="Yes",10,0)</f>
        <v>10</v>
      </c>
      <c r="V262" s="4" t="n">
        <f aca="false">IF(TRIM(AK262)="Yes",5,0)</f>
        <v>5</v>
      </c>
      <c r="W262" s="4" t="n">
        <f aca="false">IF(TRIM(AM262)="Yes",5,0)</f>
        <v>5</v>
      </c>
      <c r="X262" s="4" t="n">
        <f aca="false">IF(OR(TRIM(AN262)="Fully Available",TRIM(AN262)="Not Applicable"),5,IF(TRIM(AN262)="Partially Available",2.5,0))</f>
        <v>5</v>
      </c>
      <c r="Y262" s="4" t="n">
        <f aca="false">IF(TRIM(AO262)="Yes",5,0)</f>
        <v>5</v>
      </c>
      <c r="Z262" s="4" t="n">
        <f aca="false">IF(TRIM(AP262)="Yes",2.5,0)</f>
        <v>2.5</v>
      </c>
      <c r="AA262" s="4" t="n">
        <f aca="false">IF(TRIM(AQ262)="Yes",5,0)</f>
        <v>5</v>
      </c>
      <c r="AB262" s="4" t="n">
        <f aca="false">IF(OR(TRIM(AR262)="Yes",TRIM(AR262)="Not Applicable"),5,0)</f>
        <v>0</v>
      </c>
      <c r="AC262" s="4" t="n">
        <f aca="false">IF(TRIM(AS262)="Excellent",5,IF(TRIM(AS262)="Very Good",4,IF(TRIM(AS262)="Good",3,IF(TRIM(AS262)="Average",2,0))))</f>
        <v>4</v>
      </c>
      <c r="AD262" s="7" t="n">
        <f aca="false">IF(COUNT(S262:AC262)=0,"",SUM(S262:AC262))</f>
        <v>94</v>
      </c>
      <c r="AE262" s="7" t="n">
        <f aca="false">IF(COUNTIF($F$2:F262,F262)=1,IFERROR(AVERAGEIF($F:$F,F262,$AD:$AD),""),"")</f>
        <v>94</v>
      </c>
      <c r="AF262" s="8" t="str">
        <f aca="false">IF(AH262&lt;&gt;"",AH262,IF(AE262="","",IF(AE262&gt;=80,"Excellent",IF(AE262&gt;=70,"Very Good",IF(AE262&gt;=60,"Good",IF(AE262&gt;=50,"Average","Poor"))))))</f>
        <v>Excellent</v>
      </c>
      <c r="AG262" s="5"/>
      <c r="AH262" s="4"/>
      <c r="AI262" s="4" t="s">
        <v>62</v>
      </c>
      <c r="AJ262" s="4" t="s">
        <v>62</v>
      </c>
      <c r="AK262" s="4" t="s">
        <v>62</v>
      </c>
      <c r="AL262" s="4" t="s">
        <v>63</v>
      </c>
      <c r="AM262" s="4" t="s">
        <v>62</v>
      </c>
      <c r="AN262" s="4" t="s">
        <v>64</v>
      </c>
      <c r="AO262" s="4" t="s">
        <v>62</v>
      </c>
      <c r="AP262" s="4" t="s">
        <v>62</v>
      </c>
      <c r="AQ262" s="4" t="s">
        <v>62</v>
      </c>
      <c r="AR262" s="4" t="s">
        <v>82</v>
      </c>
      <c r="AS262" s="4" t="s">
        <v>74</v>
      </c>
      <c r="AT262" s="4" t="n">
        <v>7</v>
      </c>
      <c r="AU262" s="4" t="s">
        <v>66</v>
      </c>
      <c r="AV262" s="4" t="s">
        <v>128</v>
      </c>
      <c r="AW262" s="4" t="s">
        <v>873</v>
      </c>
      <c r="AX262" s="4" t="s">
        <v>874</v>
      </c>
      <c r="AY262" s="4" t="n">
        <v>16</v>
      </c>
      <c r="AZ262" s="4" t="s">
        <v>62</v>
      </c>
      <c r="BA262" s="4" t="s">
        <v>875</v>
      </c>
      <c r="BB262" s="4" t="s">
        <v>760</v>
      </c>
      <c r="BC262" s="6" t="n">
        <v>0.2941</v>
      </c>
      <c r="BD262" s="4" t="n">
        <v>88</v>
      </c>
    </row>
    <row r="263" customFormat="false" ht="72.35" hidden="false" customHeight="false" outlineLevel="0" collapsed="false">
      <c r="A263" s="4"/>
      <c r="B263" s="4" t="s">
        <v>753</v>
      </c>
      <c r="C263" s="4" t="s">
        <v>57</v>
      </c>
      <c r="D263" s="4" t="s">
        <v>754</v>
      </c>
      <c r="E263" s="4" t="s">
        <v>823</v>
      </c>
      <c r="F263" s="4" t="n">
        <v>51</v>
      </c>
      <c r="G263" s="5" t="s">
        <v>872</v>
      </c>
      <c r="H263" s="5" t="s">
        <v>265</v>
      </c>
      <c r="I263" s="4"/>
      <c r="J263" s="4"/>
      <c r="K263" s="4"/>
      <c r="L263" s="4" t="n">
        <v>20</v>
      </c>
      <c r="M263" s="4" t="n">
        <v>20</v>
      </c>
      <c r="N263" s="4" t="n">
        <v>0</v>
      </c>
      <c r="O263" s="4" t="n">
        <v>18</v>
      </c>
      <c r="P263" s="4" t="n">
        <v>2</v>
      </c>
      <c r="Q263" s="4" t="n">
        <v>7</v>
      </c>
      <c r="R263" s="6" t="n">
        <f aca="false">IF(N(L263)=0,0,O263/L263)</f>
        <v>0.9</v>
      </c>
      <c r="S263" s="4" t="n">
        <f aca="false">IF(R263="","",IF(R263&gt;=0.8,50,IF(R263&gt;=0.5,30,IF(R263&gt;=0.01,10,0))))</f>
        <v>50</v>
      </c>
      <c r="T263" s="4" t="n">
        <f aca="false">IF(TRIM(AI263)="Yes",2.5,0)</f>
        <v>2.5</v>
      </c>
      <c r="U263" s="4" t="n">
        <f aca="false">IF(TRIM(AJ263)="Yes",10,0)</f>
        <v>10</v>
      </c>
      <c r="V263" s="4" t="n">
        <f aca="false">IF(TRIM(AK263)="Yes",5,0)</f>
        <v>5</v>
      </c>
      <c r="W263" s="4" t="n">
        <f aca="false">IF(TRIM(AM263)="Yes",5,0)</f>
        <v>5</v>
      </c>
      <c r="X263" s="4" t="n">
        <f aca="false">IF(OR(TRIM(AN263)="Fully Available",TRIM(AN263)="Not Applicable"),5,IF(TRIM(AN263)="Partially Available",2.5,0))</f>
        <v>5</v>
      </c>
      <c r="Y263" s="4" t="n">
        <f aca="false">IF(TRIM(AO263)="Yes",5,0)</f>
        <v>5</v>
      </c>
      <c r="Z263" s="4" t="n">
        <f aca="false">IF(TRIM(AP263)="Yes",2.5,0)</f>
        <v>2.5</v>
      </c>
      <c r="AA263" s="4" t="n">
        <f aca="false">IF(TRIM(AQ263)="Yes",5,0)</f>
        <v>5</v>
      </c>
      <c r="AB263" s="4" t="n">
        <f aca="false">IF(OR(TRIM(AR263)="Yes",TRIM(AR263)="Not Applicable"),5,0)</f>
        <v>0</v>
      </c>
      <c r="AC263" s="4" t="n">
        <f aca="false">IF(TRIM(AS263)="Excellent",5,IF(TRIM(AS263)="Very Good",4,IF(TRIM(AS263)="Good",3,IF(TRIM(AS263)="Average",2,0))))</f>
        <v>4</v>
      </c>
      <c r="AD263" s="7" t="n">
        <f aca="false">IF(COUNT(S263:AC263)=0,"",SUM(S263:AC263))</f>
        <v>94</v>
      </c>
      <c r="AE263" s="7"/>
      <c r="AF263" s="8"/>
      <c r="AG263" s="5"/>
      <c r="AH263" s="4"/>
      <c r="AI263" s="4" t="s">
        <v>62</v>
      </c>
      <c r="AJ263" s="4" t="s">
        <v>62</v>
      </c>
      <c r="AK263" s="4" t="s">
        <v>62</v>
      </c>
      <c r="AL263" s="4" t="s">
        <v>63</v>
      </c>
      <c r="AM263" s="4" t="s">
        <v>62</v>
      </c>
      <c r="AN263" s="4" t="s">
        <v>64</v>
      </c>
      <c r="AO263" s="4" t="s">
        <v>62</v>
      </c>
      <c r="AP263" s="4" t="s">
        <v>62</v>
      </c>
      <c r="AQ263" s="4" t="s">
        <v>62</v>
      </c>
      <c r="AR263" s="4" t="s">
        <v>82</v>
      </c>
      <c r="AS263" s="4" t="s">
        <v>74</v>
      </c>
      <c r="AT263" s="4" t="n">
        <v>8</v>
      </c>
      <c r="AU263" s="4" t="s">
        <v>66</v>
      </c>
      <c r="AV263" s="4" t="s">
        <v>128</v>
      </c>
      <c r="AW263" s="4" t="s">
        <v>876</v>
      </c>
      <c r="AX263" s="4" t="s">
        <v>877</v>
      </c>
      <c r="AY263" s="4" t="n">
        <v>19</v>
      </c>
      <c r="AZ263" s="4" t="s">
        <v>62</v>
      </c>
      <c r="BA263" s="4" t="s">
        <v>875</v>
      </c>
      <c r="BB263" s="4" t="s">
        <v>760</v>
      </c>
      <c r="BC263" s="6" t="n">
        <v>0.3889</v>
      </c>
      <c r="BD263" s="4" t="n">
        <v>88</v>
      </c>
    </row>
    <row r="264" customFormat="false" ht="72.35" hidden="false" customHeight="false" outlineLevel="0" collapsed="false">
      <c r="A264" s="4"/>
      <c r="B264" s="4" t="s">
        <v>753</v>
      </c>
      <c r="C264" s="4" t="s">
        <v>57</v>
      </c>
      <c r="D264" s="4" t="s">
        <v>754</v>
      </c>
      <c r="E264" s="4" t="s">
        <v>823</v>
      </c>
      <c r="F264" s="4" t="n">
        <v>51</v>
      </c>
      <c r="G264" s="5" t="s">
        <v>872</v>
      </c>
      <c r="H264" s="5" t="s">
        <v>78</v>
      </c>
      <c r="I264" s="4"/>
      <c r="J264" s="4"/>
      <c r="K264" s="4"/>
      <c r="L264" s="4" t="n">
        <v>20</v>
      </c>
      <c r="M264" s="4" t="n">
        <v>20</v>
      </c>
      <c r="N264" s="4" t="n">
        <v>0</v>
      </c>
      <c r="O264" s="4" t="n">
        <v>20</v>
      </c>
      <c r="P264" s="4" t="n">
        <v>0</v>
      </c>
      <c r="Q264" s="4" t="n">
        <v>8</v>
      </c>
      <c r="R264" s="6" t="n">
        <f aca="false">IF(N(L264)=0,0,O264/L264)</f>
        <v>1</v>
      </c>
      <c r="S264" s="4" t="n">
        <f aca="false">IF(R264="","",IF(R264&gt;=0.8,50,IF(R264&gt;=0.5,30,IF(R264&gt;=0.01,10,0))))</f>
        <v>50</v>
      </c>
      <c r="T264" s="4" t="n">
        <f aca="false">IF(TRIM(AI264)="Yes",2.5,0)</f>
        <v>2.5</v>
      </c>
      <c r="U264" s="4" t="n">
        <f aca="false">IF(TRIM(AJ264)="Yes",10,0)</f>
        <v>10</v>
      </c>
      <c r="V264" s="4" t="n">
        <f aca="false">IF(TRIM(AK264)="Yes",5,0)</f>
        <v>5</v>
      </c>
      <c r="W264" s="4" t="n">
        <f aca="false">IF(TRIM(AM264)="Yes",5,0)</f>
        <v>5</v>
      </c>
      <c r="X264" s="4" t="n">
        <f aca="false">IF(OR(TRIM(AN264)="Fully Available",TRIM(AN264)="Not Applicable"),5,IF(TRIM(AN264)="Partially Available",2.5,0))</f>
        <v>5</v>
      </c>
      <c r="Y264" s="4" t="n">
        <f aca="false">IF(TRIM(AO264)="Yes",5,0)</f>
        <v>5</v>
      </c>
      <c r="Z264" s="4" t="n">
        <f aca="false">IF(TRIM(AP264)="Yes",2.5,0)</f>
        <v>2.5</v>
      </c>
      <c r="AA264" s="4" t="n">
        <f aca="false">IF(TRIM(AQ264)="Yes",5,0)</f>
        <v>5</v>
      </c>
      <c r="AB264" s="4" t="n">
        <f aca="false">IF(OR(TRIM(AR264)="Yes",TRIM(AR264)="Not Applicable"),5,0)</f>
        <v>0</v>
      </c>
      <c r="AC264" s="4" t="n">
        <f aca="false">IF(TRIM(AS264)="Excellent",5,IF(TRIM(AS264)="Very Good",4,IF(TRIM(AS264)="Good",3,IF(TRIM(AS264)="Average",2,0))))</f>
        <v>4</v>
      </c>
      <c r="AD264" s="7" t="n">
        <f aca="false">IF(COUNT(S264:AC264)=0,"",SUM(S264:AC264))</f>
        <v>94</v>
      </c>
      <c r="AE264" s="7"/>
      <c r="AF264" s="8"/>
      <c r="AG264" s="5"/>
      <c r="AH264" s="4"/>
      <c r="AI264" s="4" t="s">
        <v>62</v>
      </c>
      <c r="AJ264" s="4" t="s">
        <v>62</v>
      </c>
      <c r="AK264" s="4" t="s">
        <v>62</v>
      </c>
      <c r="AL264" s="4" t="s">
        <v>63</v>
      </c>
      <c r="AM264" s="4" t="s">
        <v>62</v>
      </c>
      <c r="AN264" s="4" t="s">
        <v>64</v>
      </c>
      <c r="AO264" s="4" t="s">
        <v>62</v>
      </c>
      <c r="AP264" s="4" t="s">
        <v>62</v>
      </c>
      <c r="AQ264" s="4" t="s">
        <v>62</v>
      </c>
      <c r="AR264" s="4" t="s">
        <v>82</v>
      </c>
      <c r="AS264" s="4" t="s">
        <v>74</v>
      </c>
      <c r="AT264" s="4" t="n">
        <v>11</v>
      </c>
      <c r="AU264" s="4" t="s">
        <v>66</v>
      </c>
      <c r="AV264" s="4" t="s">
        <v>128</v>
      </c>
      <c r="AW264" s="4" t="s">
        <v>878</v>
      </c>
      <c r="AX264" s="4" t="s">
        <v>879</v>
      </c>
      <c r="AY264" s="4" t="n">
        <v>14</v>
      </c>
      <c r="AZ264" s="4" t="s">
        <v>62</v>
      </c>
      <c r="BA264" s="4" t="s">
        <v>875</v>
      </c>
      <c r="BB264" s="4" t="s">
        <v>760</v>
      </c>
      <c r="BC264" s="6" t="n">
        <v>0.4</v>
      </c>
      <c r="BD264" s="4" t="n">
        <v>88</v>
      </c>
    </row>
    <row r="265" customFormat="false" ht="270.85" hidden="false" customHeight="false" outlineLevel="0" collapsed="false">
      <c r="A265" s="4" t="n">
        <v>116</v>
      </c>
      <c r="B265" s="4" t="s">
        <v>753</v>
      </c>
      <c r="C265" s="4" t="s">
        <v>57</v>
      </c>
      <c r="D265" s="4" t="s">
        <v>754</v>
      </c>
      <c r="E265" s="4" t="s">
        <v>770</v>
      </c>
      <c r="F265" s="4" t="n">
        <v>500</v>
      </c>
      <c r="G265" s="5" t="s">
        <v>880</v>
      </c>
      <c r="H265" s="5" t="s">
        <v>238</v>
      </c>
      <c r="I265" s="4"/>
      <c r="J265" s="4"/>
      <c r="K265" s="4"/>
      <c r="L265" s="4" t="n">
        <v>20</v>
      </c>
      <c r="M265" s="4" t="n">
        <v>20</v>
      </c>
      <c r="N265" s="4" t="n">
        <v>0</v>
      </c>
      <c r="O265" s="4" t="n">
        <v>17</v>
      </c>
      <c r="P265" s="4" t="n">
        <v>3</v>
      </c>
      <c r="Q265" s="4" t="n">
        <v>5</v>
      </c>
      <c r="R265" s="6" t="n">
        <f aca="false">IF(N(L265)=0,0,O265/L265)</f>
        <v>0.85</v>
      </c>
      <c r="S265" s="4" t="n">
        <f aca="false">IF(R265="","",IF(R265&gt;=0.8,50,IF(R265&gt;=0.5,30,IF(R265&gt;=0.01,10,0))))</f>
        <v>50</v>
      </c>
      <c r="T265" s="4" t="n">
        <f aca="false">IF(TRIM(AI265)="Yes",2.5,0)</f>
        <v>2.5</v>
      </c>
      <c r="U265" s="4" t="n">
        <f aca="false">IF(TRIM(AJ265)="Yes",10,0)</f>
        <v>0</v>
      </c>
      <c r="V265" s="4" t="n">
        <f aca="false">IF(TRIM(AK265)="Yes",5,0)</f>
        <v>5</v>
      </c>
      <c r="W265" s="4" t="n">
        <f aca="false">IF(TRIM(AM265)="Yes",5,0)</f>
        <v>0</v>
      </c>
      <c r="X265" s="4" t="n">
        <f aca="false">IF(OR(TRIM(AN265)="Fully Available",TRIM(AN265)="Not Applicable"),5,IF(TRIM(AN265)="Partially Available",2.5,0))</f>
        <v>5</v>
      </c>
      <c r="Y265" s="4" t="n">
        <f aca="false">IF(TRIM(AO265)="Yes",5,0)</f>
        <v>5</v>
      </c>
      <c r="Z265" s="4" t="n">
        <f aca="false">IF(TRIM(AP265)="Yes",2.5,0)</f>
        <v>2.5</v>
      </c>
      <c r="AA265" s="4" t="n">
        <f aca="false">IF(TRIM(AQ265)="Yes",5,0)</f>
        <v>5</v>
      </c>
      <c r="AB265" s="4" t="n">
        <f aca="false">IF(OR(TRIM(AR265)="Yes",TRIM(AR265)="Not Applicable"),5,0)</f>
        <v>5</v>
      </c>
      <c r="AC265" s="4" t="n">
        <f aca="false">IF(TRIM(AS265)="Excellent",5,IF(TRIM(AS265)="Very Good",4,IF(TRIM(AS265)="Good",3,IF(TRIM(AS265)="Average",2,0))))</f>
        <v>5</v>
      </c>
      <c r="AD265" s="7" t="n">
        <f aca="false">IF(COUNT(S265:AC265)=0,"",SUM(S265:AC265))</f>
        <v>85</v>
      </c>
      <c r="AE265" s="7" t="n">
        <f aca="false">IF(COUNTIF($F$2:F265,F265)=1,IFERROR(AVERAGEIF($F:$F,F265,$AD:$AD),""),"")</f>
        <v>85</v>
      </c>
      <c r="AF265" s="8" t="str">
        <f aca="false">IF(AH265&lt;&gt;"",AH265,IF(AE265="","",IF(AE265&gt;=80,"Excellent",IF(AE265&gt;=70,"Very Good",IF(AE265&gt;=60,"Good",IF(AE265&gt;=50,"Average","Poor"))))))</f>
        <v>Excellent</v>
      </c>
      <c r="AG265" s="5"/>
      <c r="AH265" s="4"/>
      <c r="AI265" s="4" t="s">
        <v>62</v>
      </c>
      <c r="AJ265" s="4" t="s">
        <v>82</v>
      </c>
      <c r="AK265" s="4" t="s">
        <v>62</v>
      </c>
      <c r="AL265" s="4" t="s">
        <v>63</v>
      </c>
      <c r="AM265" s="4" t="s">
        <v>82</v>
      </c>
      <c r="AN265" s="4" t="s">
        <v>64</v>
      </c>
      <c r="AO265" s="4" t="s">
        <v>62</v>
      </c>
      <c r="AP265" s="4" t="s">
        <v>62</v>
      </c>
      <c r="AQ265" s="4" t="s">
        <v>62</v>
      </c>
      <c r="AR265" s="4" t="s">
        <v>73</v>
      </c>
      <c r="AS265" s="4" t="s">
        <v>65</v>
      </c>
      <c r="AT265" s="4" t="n">
        <v>13</v>
      </c>
      <c r="AU265" s="4" t="s">
        <v>66</v>
      </c>
      <c r="AV265" s="4" t="s">
        <v>91</v>
      </c>
      <c r="AW265" s="4" t="s">
        <v>881</v>
      </c>
      <c r="AX265" s="4" t="s">
        <v>882</v>
      </c>
      <c r="AY265" s="4" t="n">
        <v>7</v>
      </c>
      <c r="AZ265" s="4" t="s">
        <v>62</v>
      </c>
      <c r="BA265" s="4" t="s">
        <v>883</v>
      </c>
      <c r="BB265" s="4" t="s">
        <v>760</v>
      </c>
      <c r="BC265" s="6" t="n">
        <v>0.2941</v>
      </c>
      <c r="BD265" s="4" t="n">
        <v>87</v>
      </c>
    </row>
    <row r="266" customFormat="false" ht="270.85" hidden="false" customHeight="false" outlineLevel="0" collapsed="false">
      <c r="A266" s="4"/>
      <c r="B266" s="4" t="s">
        <v>753</v>
      </c>
      <c r="C266" s="4" t="s">
        <v>57</v>
      </c>
      <c r="D266" s="4" t="s">
        <v>754</v>
      </c>
      <c r="E266" s="4" t="s">
        <v>770</v>
      </c>
      <c r="F266" s="4" t="n">
        <v>500</v>
      </c>
      <c r="G266" s="5" t="s">
        <v>880</v>
      </c>
      <c r="H266" s="5" t="s">
        <v>90</v>
      </c>
      <c r="I266" s="4"/>
      <c r="J266" s="4"/>
      <c r="K266" s="4"/>
      <c r="L266" s="4" t="n">
        <v>20</v>
      </c>
      <c r="M266" s="4" t="n">
        <v>20</v>
      </c>
      <c r="N266" s="4" t="n">
        <v>0</v>
      </c>
      <c r="O266" s="4" t="n">
        <v>16</v>
      </c>
      <c r="P266" s="4" t="n">
        <v>4</v>
      </c>
      <c r="Q266" s="4" t="n">
        <v>8</v>
      </c>
      <c r="R266" s="6" t="n">
        <f aca="false">IF(N(L266)=0,0,O266/L266)</f>
        <v>0.8</v>
      </c>
      <c r="S266" s="4" t="n">
        <f aca="false">IF(R266="","",IF(R266&gt;=0.8,50,IF(R266&gt;=0.5,30,IF(R266&gt;=0.01,10,0))))</f>
        <v>50</v>
      </c>
      <c r="T266" s="4" t="n">
        <f aca="false">IF(TRIM(AI266)="Yes",2.5,0)</f>
        <v>2.5</v>
      </c>
      <c r="U266" s="4" t="n">
        <f aca="false">IF(TRIM(AJ266)="Yes",10,0)</f>
        <v>0</v>
      </c>
      <c r="V266" s="4" t="n">
        <f aca="false">IF(TRIM(AK266)="Yes",5,0)</f>
        <v>5</v>
      </c>
      <c r="W266" s="4" t="n">
        <f aca="false">IF(TRIM(AM266)="Yes",5,0)</f>
        <v>0</v>
      </c>
      <c r="X266" s="4" t="n">
        <f aca="false">IF(OR(TRIM(AN266)="Fully Available",TRIM(AN266)="Not Applicable"),5,IF(TRIM(AN266)="Partially Available",2.5,0))</f>
        <v>5</v>
      </c>
      <c r="Y266" s="4" t="n">
        <f aca="false">IF(TRIM(AO266)="Yes",5,0)</f>
        <v>5</v>
      </c>
      <c r="Z266" s="4" t="n">
        <f aca="false">IF(TRIM(AP266)="Yes",2.5,0)</f>
        <v>2.5</v>
      </c>
      <c r="AA266" s="4" t="n">
        <f aca="false">IF(TRIM(AQ266)="Yes",5,0)</f>
        <v>5</v>
      </c>
      <c r="AB266" s="4" t="n">
        <f aca="false">IF(OR(TRIM(AR266)="Yes",TRIM(AR266)="Not Applicable"),5,0)</f>
        <v>5</v>
      </c>
      <c r="AC266" s="4" t="n">
        <f aca="false">IF(TRIM(AS266)="Excellent",5,IF(TRIM(AS266)="Very Good",4,IF(TRIM(AS266)="Good",3,IF(TRIM(AS266)="Average",2,0))))</f>
        <v>5</v>
      </c>
      <c r="AD266" s="7" t="n">
        <f aca="false">IF(COUNT(S266:AC266)=0,"",SUM(S266:AC266))</f>
        <v>85</v>
      </c>
      <c r="AE266" s="7"/>
      <c r="AF266" s="8"/>
      <c r="AG266" s="5"/>
      <c r="AH266" s="4"/>
      <c r="AI266" s="4" t="s">
        <v>62</v>
      </c>
      <c r="AJ266" s="4" t="s">
        <v>82</v>
      </c>
      <c r="AK266" s="4" t="s">
        <v>62</v>
      </c>
      <c r="AL266" s="4" t="s">
        <v>63</v>
      </c>
      <c r="AM266" s="4" t="s">
        <v>82</v>
      </c>
      <c r="AN266" s="4" t="s">
        <v>64</v>
      </c>
      <c r="AO266" s="4" t="s">
        <v>62</v>
      </c>
      <c r="AP266" s="4" t="s">
        <v>62</v>
      </c>
      <c r="AQ266" s="4" t="s">
        <v>62</v>
      </c>
      <c r="AR266" s="4" t="s">
        <v>62</v>
      </c>
      <c r="AS266" s="4" t="s">
        <v>65</v>
      </c>
      <c r="AT266" s="4" t="n">
        <v>30</v>
      </c>
      <c r="AU266" s="4" t="s">
        <v>66</v>
      </c>
      <c r="AV266" s="4" t="s">
        <v>91</v>
      </c>
      <c r="AW266" s="4" t="s">
        <v>884</v>
      </c>
      <c r="AX266" s="4" t="s">
        <v>885</v>
      </c>
      <c r="AY266" s="4" t="n">
        <v>3</v>
      </c>
      <c r="AZ266" s="4" t="s">
        <v>62</v>
      </c>
      <c r="BA266" s="4" t="s">
        <v>883</v>
      </c>
      <c r="BB266" s="4" t="s">
        <v>760</v>
      </c>
      <c r="BC266" s="6" t="n">
        <v>0.5</v>
      </c>
      <c r="BD266" s="4" t="n">
        <v>87</v>
      </c>
    </row>
    <row r="267" customFormat="false" ht="58.2" hidden="false" customHeight="false" outlineLevel="0" collapsed="false">
      <c r="A267" s="4" t="n">
        <v>117</v>
      </c>
      <c r="B267" s="4" t="s">
        <v>753</v>
      </c>
      <c r="C267" s="4" t="s">
        <v>57</v>
      </c>
      <c r="D267" s="4" t="s">
        <v>754</v>
      </c>
      <c r="E267" s="4" t="s">
        <v>823</v>
      </c>
      <c r="F267" s="4" t="n">
        <v>510</v>
      </c>
      <c r="G267" s="5" t="s">
        <v>886</v>
      </c>
      <c r="H267" s="5" t="s">
        <v>78</v>
      </c>
      <c r="I267" s="4"/>
      <c r="J267" s="4"/>
      <c r="K267" s="4"/>
      <c r="L267" s="4" t="n">
        <v>20</v>
      </c>
      <c r="M267" s="4" t="n">
        <v>20</v>
      </c>
      <c r="N267" s="4" t="n">
        <v>0</v>
      </c>
      <c r="O267" s="4" t="n">
        <v>18</v>
      </c>
      <c r="P267" s="4" t="n">
        <v>2</v>
      </c>
      <c r="Q267" s="4" t="n">
        <v>10</v>
      </c>
      <c r="R267" s="6" t="n">
        <f aca="false">IF(N(L267)=0,0,O267/L267)</f>
        <v>0.9</v>
      </c>
      <c r="S267" s="4" t="n">
        <f aca="false">IF(R267="","",IF(R267&gt;=0.8,50,IF(R267&gt;=0.5,30,IF(R267&gt;=0.01,10,0))))</f>
        <v>50</v>
      </c>
      <c r="T267" s="4" t="n">
        <f aca="false">IF(TRIM(AI267)="Yes",2.5,0)</f>
        <v>2.5</v>
      </c>
      <c r="U267" s="4" t="n">
        <f aca="false">IF(TRIM(AJ267)="Yes",10,0)</f>
        <v>10</v>
      </c>
      <c r="V267" s="4" t="n">
        <f aca="false">IF(TRIM(AK267)="Yes",5,0)</f>
        <v>5</v>
      </c>
      <c r="W267" s="4" t="n">
        <f aca="false">IF(TRIM(AM267)="Yes",5,0)</f>
        <v>5</v>
      </c>
      <c r="X267" s="4" t="n">
        <f aca="false">IF(OR(TRIM(AN267)="Fully Available",TRIM(AN267)="Not Applicable"),5,IF(TRIM(AN267)="Partially Available",2.5,0))</f>
        <v>5</v>
      </c>
      <c r="Y267" s="4" t="n">
        <f aca="false">IF(TRIM(AO267)="Yes",5,0)</f>
        <v>5</v>
      </c>
      <c r="Z267" s="4" t="n">
        <f aca="false">IF(TRIM(AP267)="Yes",2.5,0)</f>
        <v>2.5</v>
      </c>
      <c r="AA267" s="4" t="n">
        <f aca="false">IF(TRIM(AQ267)="Yes",5,0)</f>
        <v>5</v>
      </c>
      <c r="AB267" s="4" t="n">
        <f aca="false">IF(OR(TRIM(AR267)="Yes",TRIM(AR267)="Not Applicable"),5,0)</f>
        <v>5</v>
      </c>
      <c r="AC267" s="4" t="n">
        <f aca="false">IF(TRIM(AS267)="Excellent",5,IF(TRIM(AS267)="Very Good",4,IF(TRIM(AS267)="Good",3,IF(TRIM(AS267)="Average",2,0))))</f>
        <v>4</v>
      </c>
      <c r="AD267" s="7" t="n">
        <f aca="false">IF(COUNT(S267:AC267)=0,"",SUM(S267:AC267))</f>
        <v>99</v>
      </c>
      <c r="AE267" s="7" t="n">
        <f aca="false">IF(COUNTIF($F$2:F267,F267)=1,IFERROR(AVERAGEIF($F:$F,F267,$AD:$AD),""),"")</f>
        <v>99</v>
      </c>
      <c r="AF267" s="8" t="str">
        <f aca="false">IF(AH267&lt;&gt;"",AH267,IF(AE267="","",IF(AE267&gt;=80,"Excellent",IF(AE267&gt;=70,"Very Good",IF(AE267&gt;=60,"Good",IF(AE267&gt;=50,"Average","Poor"))))))</f>
        <v>Excellent</v>
      </c>
      <c r="AG267" s="5"/>
      <c r="AH267" s="4"/>
      <c r="AI267" s="4" t="s">
        <v>62</v>
      </c>
      <c r="AJ267" s="4" t="s">
        <v>62</v>
      </c>
      <c r="AK267" s="4" t="s">
        <v>62</v>
      </c>
      <c r="AL267" s="4" t="s">
        <v>63</v>
      </c>
      <c r="AM267" s="4" t="s">
        <v>62</v>
      </c>
      <c r="AN267" s="4" t="s">
        <v>64</v>
      </c>
      <c r="AO267" s="4" t="s">
        <v>62</v>
      </c>
      <c r="AP267" s="4" t="s">
        <v>62</v>
      </c>
      <c r="AQ267" s="4" t="s">
        <v>62</v>
      </c>
      <c r="AR267" s="4" t="s">
        <v>73</v>
      </c>
      <c r="AS267" s="4" t="s">
        <v>74</v>
      </c>
      <c r="AT267" s="4" t="n">
        <v>7</v>
      </c>
      <c r="AU267" s="4" t="s">
        <v>66</v>
      </c>
      <c r="AV267" s="4" t="s">
        <v>151</v>
      </c>
      <c r="AW267" s="4" t="s">
        <v>887</v>
      </c>
      <c r="AX267" s="4" t="s">
        <v>769</v>
      </c>
      <c r="AY267" s="4" t="n">
        <v>3</v>
      </c>
      <c r="AZ267" s="4" t="s">
        <v>62</v>
      </c>
      <c r="BA267" s="4" t="s">
        <v>888</v>
      </c>
      <c r="BB267" s="4" t="s">
        <v>760</v>
      </c>
      <c r="BC267" s="6" t="n">
        <v>0.5556</v>
      </c>
      <c r="BD267" s="4" t="n">
        <v>87</v>
      </c>
    </row>
    <row r="268" customFormat="false" ht="29.85" hidden="false" customHeight="false" outlineLevel="0" collapsed="false">
      <c r="A268" s="4" t="n">
        <v>118</v>
      </c>
      <c r="B268" s="4" t="s">
        <v>753</v>
      </c>
      <c r="C268" s="4" t="s">
        <v>57</v>
      </c>
      <c r="D268" s="4" t="s">
        <v>754</v>
      </c>
      <c r="E268" s="4" t="s">
        <v>810</v>
      </c>
      <c r="F268" s="4" t="n">
        <v>737</v>
      </c>
      <c r="G268" s="5" t="s">
        <v>889</v>
      </c>
      <c r="H268" s="5" t="s">
        <v>662</v>
      </c>
      <c r="I268" s="4"/>
      <c r="J268" s="4"/>
      <c r="K268" s="4"/>
      <c r="L268" s="4" t="n">
        <v>20</v>
      </c>
      <c r="M268" s="4" t="n">
        <v>20</v>
      </c>
      <c r="N268" s="4" t="n">
        <v>0</v>
      </c>
      <c r="O268" s="4" t="n">
        <v>18</v>
      </c>
      <c r="P268" s="4" t="n">
        <v>2</v>
      </c>
      <c r="Q268" s="4" t="n">
        <v>5</v>
      </c>
      <c r="R268" s="6" t="n">
        <f aca="false">IF(N(L268)=0,0,O268/L268)</f>
        <v>0.9</v>
      </c>
      <c r="S268" s="4" t="n">
        <f aca="false">IF(R268="","",IF(R268&gt;=0.8,50,IF(R268&gt;=0.5,30,IF(R268&gt;=0.01,10,0))))</f>
        <v>50</v>
      </c>
      <c r="T268" s="4" t="n">
        <f aca="false">IF(TRIM(AI268)="Yes",2.5,0)</f>
        <v>2.5</v>
      </c>
      <c r="U268" s="4" t="n">
        <f aca="false">IF(TRIM(AJ268)="Yes",10,0)</f>
        <v>10</v>
      </c>
      <c r="V268" s="4" t="n">
        <f aca="false">IF(TRIM(AK268)="Yes",5,0)</f>
        <v>5</v>
      </c>
      <c r="W268" s="4" t="n">
        <f aca="false">IF(TRIM(AM268)="Yes",5,0)</f>
        <v>5</v>
      </c>
      <c r="X268" s="4" t="n">
        <f aca="false">IF(OR(TRIM(AN268)="Fully Available",TRIM(AN268)="Not Applicable"),5,IF(TRIM(AN268)="Partially Available",2.5,0))</f>
        <v>5</v>
      </c>
      <c r="Y268" s="4" t="n">
        <f aca="false">IF(TRIM(AO268)="Yes",5,0)</f>
        <v>5</v>
      </c>
      <c r="Z268" s="4" t="n">
        <f aca="false">IF(TRIM(AP268)="Yes",2.5,0)</f>
        <v>2.5</v>
      </c>
      <c r="AA268" s="4" t="n">
        <f aca="false">IF(TRIM(AQ268)="Yes",5,0)</f>
        <v>5</v>
      </c>
      <c r="AB268" s="4" t="n">
        <f aca="false">IF(OR(TRIM(AR268)="Yes",TRIM(AR268)="Not Applicable"),5,0)</f>
        <v>5</v>
      </c>
      <c r="AC268" s="4" t="n">
        <f aca="false">IF(TRIM(AS268)="Excellent",5,IF(TRIM(AS268)="Very Good",4,IF(TRIM(AS268)="Good",3,IF(TRIM(AS268)="Average",2,0))))</f>
        <v>3</v>
      </c>
      <c r="AD268" s="7" t="n">
        <f aca="false">IF(COUNT(S268:AC268)=0,"",SUM(S268:AC268))</f>
        <v>98</v>
      </c>
      <c r="AE268" s="7" t="n">
        <f aca="false">IF(COUNTIF($F$2:F268,F268)=1,IFERROR(AVERAGEIF($F:$F,F268,$AD:$AD),""),"")</f>
        <v>88</v>
      </c>
      <c r="AF268" s="8" t="str">
        <f aca="false">IF(AH268&lt;&gt;"",AH268,IF(AE268="","",IF(AE268&gt;=80,"Excellent",IF(AE268&gt;=70,"Very Good",IF(AE268&gt;=60,"Good",IF(AE268&gt;=50,"Average","Poor"))))))</f>
        <v>Excellent</v>
      </c>
      <c r="AG268" s="5"/>
      <c r="AH268" s="4"/>
      <c r="AI268" s="4" t="s">
        <v>62</v>
      </c>
      <c r="AJ268" s="4" t="s">
        <v>62</v>
      </c>
      <c r="AK268" s="4" t="s">
        <v>62</v>
      </c>
      <c r="AL268" s="4" t="s">
        <v>63</v>
      </c>
      <c r="AM268" s="4" t="s">
        <v>62</v>
      </c>
      <c r="AN268" s="4" t="s">
        <v>64</v>
      </c>
      <c r="AO268" s="4" t="s">
        <v>62</v>
      </c>
      <c r="AP268" s="4" t="s">
        <v>62</v>
      </c>
      <c r="AQ268" s="4" t="s">
        <v>62</v>
      </c>
      <c r="AR268" s="4" t="s">
        <v>62</v>
      </c>
      <c r="AS268" s="4" t="s">
        <v>185</v>
      </c>
      <c r="AT268" s="4" t="n">
        <v>8</v>
      </c>
      <c r="AU268" s="4" t="s">
        <v>66</v>
      </c>
      <c r="AV268" s="4" t="s">
        <v>208</v>
      </c>
      <c r="AW268" s="4" t="s">
        <v>890</v>
      </c>
      <c r="AX268" s="4" t="s">
        <v>891</v>
      </c>
      <c r="AY268" s="4" t="n">
        <v>3</v>
      </c>
      <c r="AZ268" s="4" t="s">
        <v>62</v>
      </c>
      <c r="BA268" s="4" t="s">
        <v>892</v>
      </c>
      <c r="BB268" s="4" t="s">
        <v>760</v>
      </c>
      <c r="BC268" s="6" t="n">
        <v>0.2778</v>
      </c>
      <c r="BD268" s="4" t="n">
        <v>95</v>
      </c>
    </row>
    <row r="269" customFormat="false" ht="29.85" hidden="false" customHeight="false" outlineLevel="0" collapsed="false">
      <c r="A269" s="4"/>
      <c r="B269" s="4" t="s">
        <v>753</v>
      </c>
      <c r="C269" s="4" t="s">
        <v>57</v>
      </c>
      <c r="D269" s="4" t="s">
        <v>754</v>
      </c>
      <c r="E269" s="4" t="s">
        <v>810</v>
      </c>
      <c r="F269" s="4" t="n">
        <v>737</v>
      </c>
      <c r="G269" s="5" t="s">
        <v>889</v>
      </c>
      <c r="H269" s="5" t="s">
        <v>812</v>
      </c>
      <c r="I269" s="4"/>
      <c r="J269" s="4"/>
      <c r="K269" s="4"/>
      <c r="L269" s="4" t="n">
        <v>20</v>
      </c>
      <c r="M269" s="4" t="n">
        <v>20</v>
      </c>
      <c r="N269" s="4" t="n">
        <v>0</v>
      </c>
      <c r="O269" s="4" t="n">
        <v>15</v>
      </c>
      <c r="P269" s="4" t="n">
        <v>5</v>
      </c>
      <c r="Q269" s="4" t="n">
        <v>8</v>
      </c>
      <c r="R269" s="6" t="n">
        <f aca="false">IF(N(L269)=0,0,O269/L269)</f>
        <v>0.75</v>
      </c>
      <c r="S269" s="4" t="n">
        <f aca="false">IF(R269="","",IF(R269&gt;=0.8,50,IF(R269&gt;=0.5,30,IF(R269&gt;=0.01,10,0))))</f>
        <v>30</v>
      </c>
      <c r="T269" s="4" t="n">
        <f aca="false">IF(TRIM(AI269)="Yes",2.5,0)</f>
        <v>2.5</v>
      </c>
      <c r="U269" s="4" t="n">
        <f aca="false">IF(TRIM(AJ269)="Yes",10,0)</f>
        <v>10</v>
      </c>
      <c r="V269" s="4" t="n">
        <f aca="false">IF(TRIM(AK269)="Yes",5,0)</f>
        <v>5</v>
      </c>
      <c r="W269" s="4" t="n">
        <f aca="false">IF(TRIM(AM269)="Yes",5,0)</f>
        <v>5</v>
      </c>
      <c r="X269" s="4" t="n">
        <f aca="false">IF(OR(TRIM(AN269)="Fully Available",TRIM(AN269)="Not Applicable"),5,IF(TRIM(AN269)="Partially Available",2.5,0))</f>
        <v>5</v>
      </c>
      <c r="Y269" s="4" t="n">
        <f aca="false">IF(TRIM(AO269)="Yes",5,0)</f>
        <v>5</v>
      </c>
      <c r="Z269" s="4" t="n">
        <f aca="false">IF(TRIM(AP269)="Yes",2.5,0)</f>
        <v>2.5</v>
      </c>
      <c r="AA269" s="4" t="n">
        <f aca="false">IF(TRIM(AQ269)="Yes",5,0)</f>
        <v>5</v>
      </c>
      <c r="AB269" s="4" t="n">
        <f aca="false">IF(OR(TRIM(AR269)="Yes",TRIM(AR269)="Not Applicable"),5,0)</f>
        <v>5</v>
      </c>
      <c r="AC269" s="4" t="n">
        <f aca="false">IF(TRIM(AS269)="Excellent",5,IF(TRIM(AS269)="Very Good",4,IF(TRIM(AS269)="Good",3,IF(TRIM(AS269)="Average",2,0))))</f>
        <v>3</v>
      </c>
      <c r="AD269" s="7" t="n">
        <f aca="false">IF(COUNT(S269:AC269)=0,"",SUM(S269:AC269))</f>
        <v>78</v>
      </c>
      <c r="AE269" s="7"/>
      <c r="AF269" s="8"/>
      <c r="AG269" s="5"/>
      <c r="AH269" s="4"/>
      <c r="AI269" s="4" t="s">
        <v>62</v>
      </c>
      <c r="AJ269" s="4" t="s">
        <v>62</v>
      </c>
      <c r="AK269" s="4" t="s">
        <v>62</v>
      </c>
      <c r="AL269" s="4" t="s">
        <v>63</v>
      </c>
      <c r="AM269" s="4" t="s">
        <v>62</v>
      </c>
      <c r="AN269" s="4" t="s">
        <v>64</v>
      </c>
      <c r="AO269" s="4" t="s">
        <v>62</v>
      </c>
      <c r="AP269" s="4" t="s">
        <v>62</v>
      </c>
      <c r="AQ269" s="4" t="s">
        <v>62</v>
      </c>
      <c r="AR269" s="4" t="s">
        <v>62</v>
      </c>
      <c r="AS269" s="4" t="s">
        <v>185</v>
      </c>
      <c r="AT269" s="4" t="n">
        <v>2</v>
      </c>
      <c r="AU269" s="4" t="s">
        <v>112</v>
      </c>
      <c r="AV269" s="4" t="s">
        <v>208</v>
      </c>
      <c r="AW269" s="4" t="s">
        <v>893</v>
      </c>
      <c r="AX269" s="4" t="s">
        <v>894</v>
      </c>
      <c r="AY269" s="4" t="n">
        <v>9</v>
      </c>
      <c r="AZ269" s="4" t="s">
        <v>62</v>
      </c>
      <c r="BA269" s="4" t="s">
        <v>892</v>
      </c>
      <c r="BB269" s="4" t="s">
        <v>760</v>
      </c>
      <c r="BC269" s="6" t="n">
        <v>0.5333</v>
      </c>
      <c r="BD269" s="4" t="n">
        <v>95</v>
      </c>
    </row>
    <row r="270" customFormat="false" ht="58.2" hidden="false" customHeight="false" outlineLevel="0" collapsed="false">
      <c r="A270" s="4" t="n">
        <v>119</v>
      </c>
      <c r="B270" s="4" t="s">
        <v>753</v>
      </c>
      <c r="C270" s="4" t="s">
        <v>57</v>
      </c>
      <c r="D270" s="4" t="s">
        <v>754</v>
      </c>
      <c r="E270" s="4" t="s">
        <v>770</v>
      </c>
      <c r="F270" s="4" t="n">
        <v>3331</v>
      </c>
      <c r="G270" s="5" t="s">
        <v>895</v>
      </c>
      <c r="H270" s="5" t="s">
        <v>177</v>
      </c>
      <c r="I270" s="4"/>
      <c r="J270" s="4"/>
      <c r="K270" s="4"/>
      <c r="L270" s="4" t="n">
        <v>20</v>
      </c>
      <c r="M270" s="4" t="n">
        <v>20</v>
      </c>
      <c r="N270" s="4" t="n">
        <v>0</v>
      </c>
      <c r="O270" s="4" t="n">
        <v>19</v>
      </c>
      <c r="P270" s="4" t="n">
        <v>1</v>
      </c>
      <c r="Q270" s="4" t="n">
        <v>5</v>
      </c>
      <c r="R270" s="6" t="n">
        <f aca="false">IF(N(L270)=0,0,O270/L270)</f>
        <v>0.95</v>
      </c>
      <c r="S270" s="4" t="n">
        <f aca="false">IF(R270="","",IF(R270&gt;=0.8,50,IF(R270&gt;=0.5,30,IF(R270&gt;=0.01,10,0))))</f>
        <v>50</v>
      </c>
      <c r="T270" s="4" t="n">
        <f aca="false">IF(TRIM(AI270)="Yes",2.5,0)</f>
        <v>2.5</v>
      </c>
      <c r="U270" s="4" t="n">
        <f aca="false">IF(TRIM(AJ270)="Yes",10,0)</f>
        <v>10</v>
      </c>
      <c r="V270" s="4" t="n">
        <f aca="false">IF(TRIM(AK270)="Yes",5,0)</f>
        <v>5</v>
      </c>
      <c r="W270" s="4" t="n">
        <f aca="false">IF(TRIM(AM270)="Yes",5,0)</f>
        <v>5</v>
      </c>
      <c r="X270" s="4" t="n">
        <f aca="false">IF(OR(TRIM(AN270)="Fully Available",TRIM(AN270)="Not Applicable"),5,IF(TRIM(AN270)="Partially Available",2.5,0))</f>
        <v>5</v>
      </c>
      <c r="Y270" s="4" t="n">
        <f aca="false">IF(TRIM(AO270)="Yes",5,0)</f>
        <v>0</v>
      </c>
      <c r="Z270" s="4" t="n">
        <f aca="false">IF(TRIM(AP270)="Yes",2.5,0)</f>
        <v>2.5</v>
      </c>
      <c r="AA270" s="4" t="n">
        <f aca="false">IF(TRIM(AQ270)="Yes",5,0)</f>
        <v>5</v>
      </c>
      <c r="AB270" s="4" t="n">
        <f aca="false">IF(OR(TRIM(AR270)="Yes",TRIM(AR270)="Not Applicable"),5,0)</f>
        <v>5</v>
      </c>
      <c r="AC270" s="4" t="n">
        <f aca="false">IF(TRIM(AS270)="Excellent",5,IF(TRIM(AS270)="Very Good",4,IF(TRIM(AS270)="Good",3,IF(TRIM(AS270)="Average",2,0))))</f>
        <v>3</v>
      </c>
      <c r="AD270" s="7" t="n">
        <f aca="false">IF(COUNT(S270:AC270)=0,"",SUM(S270:AC270))</f>
        <v>93</v>
      </c>
      <c r="AE270" s="7" t="n">
        <f aca="false">IF(COUNTIF($F$2:F270,F270)=1,IFERROR(AVERAGEIF($F:$F,F270,$AD:$AD),""),"")</f>
        <v>93</v>
      </c>
      <c r="AF270" s="8" t="str">
        <f aca="false">IF(AH270&lt;&gt;"",AH270,IF(AE270="","",IF(AE270&gt;=80,"Excellent",IF(AE270&gt;=70,"Very Good",IF(AE270&gt;=60,"Good",IF(AE270&gt;=50,"Average","Poor"))))))</f>
        <v>Excellent</v>
      </c>
      <c r="AG270" s="5"/>
      <c r="AH270" s="4"/>
      <c r="AI270" s="4" t="s">
        <v>62</v>
      </c>
      <c r="AJ270" s="4" t="s">
        <v>62</v>
      </c>
      <c r="AK270" s="4" t="s">
        <v>62</v>
      </c>
      <c r="AL270" s="4" t="s">
        <v>63</v>
      </c>
      <c r="AM270" s="4" t="s">
        <v>62</v>
      </c>
      <c r="AN270" s="4" t="s">
        <v>64</v>
      </c>
      <c r="AO270" s="4" t="s">
        <v>82</v>
      </c>
      <c r="AP270" s="4" t="s">
        <v>62</v>
      </c>
      <c r="AQ270" s="4" t="s">
        <v>62</v>
      </c>
      <c r="AR270" s="4" t="s">
        <v>62</v>
      </c>
      <c r="AS270" s="4" t="s">
        <v>185</v>
      </c>
      <c r="AT270" s="4" t="n">
        <v>7</v>
      </c>
      <c r="AU270" s="4" t="s">
        <v>66</v>
      </c>
      <c r="AV270" s="4" t="s">
        <v>244</v>
      </c>
      <c r="AW270" s="4" t="s">
        <v>896</v>
      </c>
      <c r="AX270" s="4" t="s">
        <v>773</v>
      </c>
      <c r="AY270" s="4" t="n">
        <v>3</v>
      </c>
      <c r="AZ270" s="4" t="s">
        <v>62</v>
      </c>
      <c r="BA270" s="4" t="s">
        <v>897</v>
      </c>
      <c r="BB270" s="4" t="s">
        <v>760</v>
      </c>
      <c r="BC270" s="6" t="n">
        <v>0.2632</v>
      </c>
      <c r="BD270" s="4" t="n">
        <v>89</v>
      </c>
    </row>
    <row r="271" customFormat="false" ht="44" hidden="false" customHeight="false" outlineLevel="0" collapsed="false">
      <c r="A271" s="4" t="n">
        <v>120</v>
      </c>
      <c r="B271" s="4" t="s">
        <v>753</v>
      </c>
      <c r="C271" s="4" t="s">
        <v>57</v>
      </c>
      <c r="D271" s="4" t="s">
        <v>754</v>
      </c>
      <c r="E271" s="4" t="s">
        <v>755</v>
      </c>
      <c r="F271" s="4" t="n">
        <v>2037</v>
      </c>
      <c r="G271" s="5" t="s">
        <v>898</v>
      </c>
      <c r="H271" s="5" t="s">
        <v>190</v>
      </c>
      <c r="I271" s="4"/>
      <c r="J271" s="4"/>
      <c r="K271" s="4"/>
      <c r="L271" s="4" t="n">
        <v>20</v>
      </c>
      <c r="M271" s="4" t="n">
        <v>19</v>
      </c>
      <c r="N271" s="4" t="n">
        <v>1</v>
      </c>
      <c r="O271" s="4" t="n">
        <v>18</v>
      </c>
      <c r="P271" s="4" t="n">
        <v>1</v>
      </c>
      <c r="Q271" s="4" t="n">
        <v>5</v>
      </c>
      <c r="R271" s="6" t="n">
        <f aca="false">IF(N(L271)=0,0,O271/L271)</f>
        <v>0.9</v>
      </c>
      <c r="S271" s="4" t="n">
        <f aca="false">IF(R271="","",IF(R271&gt;=0.8,50,IF(R271&gt;=0.5,30,IF(R271&gt;=0.01,10,0))))</f>
        <v>50</v>
      </c>
      <c r="T271" s="4" t="n">
        <f aca="false">IF(TRIM(AI271)="Yes",2.5,0)</f>
        <v>0</v>
      </c>
      <c r="U271" s="4" t="n">
        <f aca="false">IF(TRIM(AJ271)="Yes",10,0)</f>
        <v>10</v>
      </c>
      <c r="V271" s="4" t="n">
        <f aca="false">IF(TRIM(AK271)="Yes",5,0)</f>
        <v>5</v>
      </c>
      <c r="W271" s="4" t="n">
        <f aca="false">IF(TRIM(AM271)="Yes",5,0)</f>
        <v>5</v>
      </c>
      <c r="X271" s="4" t="n">
        <f aca="false">IF(OR(TRIM(AN271)="Fully Available",TRIM(AN271)="Not Applicable"),5,IF(TRIM(AN271)="Partially Available",2.5,0))</f>
        <v>5</v>
      </c>
      <c r="Y271" s="4" t="n">
        <f aca="false">IF(TRIM(AO271)="Yes",5,0)</f>
        <v>5</v>
      </c>
      <c r="Z271" s="4" t="n">
        <f aca="false">IF(TRIM(AP271)="Yes",2.5,0)</f>
        <v>2.5</v>
      </c>
      <c r="AA271" s="4" t="n">
        <f aca="false">IF(TRIM(AQ271)="Yes",5,0)</f>
        <v>5</v>
      </c>
      <c r="AB271" s="4" t="n">
        <f aca="false">IF(OR(TRIM(AR271)="Yes",TRIM(AR271)="Not Applicable"),5,0)</f>
        <v>5</v>
      </c>
      <c r="AC271" s="4" t="n">
        <f aca="false">IF(TRIM(AS271)="Excellent",5,IF(TRIM(AS271)="Very Good",4,IF(TRIM(AS271)="Good",3,IF(TRIM(AS271)="Average",2,0))))</f>
        <v>4</v>
      </c>
      <c r="AD271" s="7" t="n">
        <f aca="false">IF(COUNT(S271:AC271)=0,"",SUM(S271:AC271))</f>
        <v>96.5</v>
      </c>
      <c r="AE271" s="7" t="n">
        <f aca="false">IF(COUNTIF($F$2:F271,F271)=1,IFERROR(AVERAGEIF($F:$F,F271,$AD:$AD),""),"")</f>
        <v>96.5</v>
      </c>
      <c r="AF271" s="8" t="str">
        <f aca="false">IF(AH271&lt;&gt;"",AH271,IF(AE271="","",IF(AE271&gt;=80,"Excellent",IF(AE271&gt;=70,"Very Good",IF(AE271&gt;=60,"Good",IF(AE271&gt;=50,"Average","Poor"))))))</f>
        <v>Excellent</v>
      </c>
      <c r="AG271" s="5"/>
      <c r="AH271" s="4"/>
      <c r="AI271" s="4" t="s">
        <v>82</v>
      </c>
      <c r="AJ271" s="4" t="s">
        <v>62</v>
      </c>
      <c r="AK271" s="4" t="s">
        <v>62</v>
      </c>
      <c r="AL271" s="4" t="s">
        <v>63</v>
      </c>
      <c r="AM271" s="4" t="s">
        <v>62</v>
      </c>
      <c r="AN271" s="4" t="s">
        <v>64</v>
      </c>
      <c r="AO271" s="4" t="s">
        <v>62</v>
      </c>
      <c r="AP271" s="4" t="s">
        <v>62</v>
      </c>
      <c r="AQ271" s="4" t="s">
        <v>62</v>
      </c>
      <c r="AR271" s="4" t="s">
        <v>62</v>
      </c>
      <c r="AS271" s="4" t="s">
        <v>74</v>
      </c>
      <c r="AT271" s="4" t="n">
        <v>8</v>
      </c>
      <c r="AU271" s="4" t="s">
        <v>112</v>
      </c>
      <c r="AV271" s="4" t="s">
        <v>151</v>
      </c>
      <c r="AW271" s="4" t="s">
        <v>899</v>
      </c>
      <c r="AX271" s="4" t="s">
        <v>900</v>
      </c>
      <c r="AY271" s="4" t="n">
        <v>5</v>
      </c>
      <c r="AZ271" s="4" t="s">
        <v>62</v>
      </c>
      <c r="BA271" s="4" t="s">
        <v>901</v>
      </c>
      <c r="BB271" s="4" t="s">
        <v>760</v>
      </c>
      <c r="BC271" s="6" t="n">
        <v>0.2778</v>
      </c>
      <c r="BD271" s="4" t="n">
        <v>92</v>
      </c>
    </row>
    <row r="272" customFormat="false" ht="44" hidden="false" customHeight="false" outlineLevel="0" collapsed="false">
      <c r="A272" s="4" t="n">
        <v>121</v>
      </c>
      <c r="B272" s="4" t="s">
        <v>753</v>
      </c>
      <c r="C272" s="4" t="s">
        <v>57</v>
      </c>
      <c r="D272" s="4" t="s">
        <v>754</v>
      </c>
      <c r="E272" s="4" t="s">
        <v>828</v>
      </c>
      <c r="F272" s="4" t="n">
        <v>2740</v>
      </c>
      <c r="G272" s="5" t="s">
        <v>902</v>
      </c>
      <c r="H272" s="5" t="s">
        <v>812</v>
      </c>
      <c r="I272" s="4"/>
      <c r="J272" s="4"/>
      <c r="K272" s="4"/>
      <c r="L272" s="4" t="n">
        <v>20</v>
      </c>
      <c r="M272" s="4" t="n">
        <v>20</v>
      </c>
      <c r="N272" s="4" t="n">
        <v>0</v>
      </c>
      <c r="O272" s="4" t="n">
        <v>18</v>
      </c>
      <c r="P272" s="4" t="n">
        <v>2</v>
      </c>
      <c r="Q272" s="4" t="n">
        <v>5</v>
      </c>
      <c r="R272" s="6" t="n">
        <f aca="false">IF(N(L272)=0,0,O272/L272)</f>
        <v>0.9</v>
      </c>
      <c r="S272" s="4" t="n">
        <f aca="false">IF(R272="","",IF(R272&gt;=0.8,50,IF(R272&gt;=0.5,30,IF(R272&gt;=0.01,10,0))))</f>
        <v>50</v>
      </c>
      <c r="T272" s="4" t="n">
        <f aca="false">IF(TRIM(AI272)="Yes",2.5,0)</f>
        <v>2.5</v>
      </c>
      <c r="U272" s="4" t="n">
        <f aca="false">IF(TRIM(AJ272)="Yes",10,0)</f>
        <v>0</v>
      </c>
      <c r="V272" s="4" t="n">
        <f aca="false">IF(TRIM(AK272)="Yes",5,0)</f>
        <v>5</v>
      </c>
      <c r="W272" s="4" t="n">
        <f aca="false">IF(TRIM(AM272)="Yes",5,0)</f>
        <v>5</v>
      </c>
      <c r="X272" s="4" t="n">
        <f aca="false">IF(OR(TRIM(AN272)="Fully Available",TRIM(AN272)="Not Applicable"),5,IF(TRIM(AN272)="Partially Available",2.5,0))</f>
        <v>5</v>
      </c>
      <c r="Y272" s="4" t="n">
        <f aca="false">IF(TRIM(AO272)="Yes",5,0)</f>
        <v>5</v>
      </c>
      <c r="Z272" s="4" t="n">
        <f aca="false">IF(TRIM(AP272)="Yes",2.5,0)</f>
        <v>2.5</v>
      </c>
      <c r="AA272" s="4" t="n">
        <f aca="false">IF(TRIM(AQ272)="Yes",5,0)</f>
        <v>5</v>
      </c>
      <c r="AB272" s="4" t="n">
        <f aca="false">IF(OR(TRIM(AR272)="Yes",TRIM(AR272)="Not Applicable"),5,0)</f>
        <v>5</v>
      </c>
      <c r="AC272" s="4" t="n">
        <f aca="false">IF(TRIM(AS272)="Excellent",5,IF(TRIM(AS272)="Very Good",4,IF(TRIM(AS272)="Good",3,IF(TRIM(AS272)="Average",2,0))))</f>
        <v>3</v>
      </c>
      <c r="AD272" s="7" t="n">
        <f aca="false">IF(COUNT(S272:AC272)=0,"",SUM(S272:AC272))</f>
        <v>88</v>
      </c>
      <c r="AE272" s="7" t="n">
        <f aca="false">IF(COUNTIF($F$2:F272,F272)=1,IFERROR(AVERAGEIF($F:$F,F272,$AD:$AD),""),"")</f>
        <v>78</v>
      </c>
      <c r="AF272" s="8" t="str">
        <f aca="false">IF(AH272&lt;&gt;"",AH272,IF(AE272="","",IF(AE272&gt;=80,"Excellent",IF(AE272&gt;=70,"Very Good",IF(AE272&gt;=60,"Good",IF(AE272&gt;=50,"Average","Poor"))))))</f>
        <v>Very Good</v>
      </c>
      <c r="AG272" s="5"/>
      <c r="AH272" s="4"/>
      <c r="AI272" s="4" t="s">
        <v>62</v>
      </c>
      <c r="AJ272" s="4" t="s">
        <v>82</v>
      </c>
      <c r="AK272" s="4" t="s">
        <v>62</v>
      </c>
      <c r="AL272" s="4" t="s">
        <v>63</v>
      </c>
      <c r="AM272" s="4" t="s">
        <v>62</v>
      </c>
      <c r="AN272" s="4" t="s">
        <v>64</v>
      </c>
      <c r="AO272" s="4" t="s">
        <v>62</v>
      </c>
      <c r="AP272" s="4" t="s">
        <v>62</v>
      </c>
      <c r="AQ272" s="4" t="s">
        <v>62</v>
      </c>
      <c r="AR272" s="4" t="s">
        <v>62</v>
      </c>
      <c r="AS272" s="4" t="s">
        <v>185</v>
      </c>
      <c r="AT272" s="4" t="n">
        <v>5</v>
      </c>
      <c r="AU272" s="4" t="s">
        <v>112</v>
      </c>
      <c r="AV272" s="4" t="s">
        <v>67</v>
      </c>
      <c r="AW272" s="4" t="s">
        <v>903</v>
      </c>
      <c r="AX272" s="4" t="s">
        <v>904</v>
      </c>
      <c r="AY272" s="4" t="n">
        <v>5</v>
      </c>
      <c r="AZ272" s="4" t="s">
        <v>62</v>
      </c>
      <c r="BA272" s="4" t="s">
        <v>905</v>
      </c>
      <c r="BB272" s="4" t="s">
        <v>760</v>
      </c>
      <c r="BC272" s="6" t="n">
        <v>0.2778</v>
      </c>
      <c r="BD272" s="4" t="n">
        <v>87</v>
      </c>
    </row>
    <row r="273" customFormat="false" ht="29.85" hidden="false" customHeight="false" outlineLevel="0" collapsed="false">
      <c r="A273" s="4"/>
      <c r="B273" s="4" t="s">
        <v>753</v>
      </c>
      <c r="C273" s="4" t="s">
        <v>57</v>
      </c>
      <c r="D273" s="4" t="s">
        <v>754</v>
      </c>
      <c r="E273" s="4" t="s">
        <v>828</v>
      </c>
      <c r="F273" s="4" t="n">
        <v>2740</v>
      </c>
      <c r="G273" s="5" t="s">
        <v>902</v>
      </c>
      <c r="H273" s="5" t="s">
        <v>397</v>
      </c>
      <c r="I273" s="4"/>
      <c r="J273" s="4"/>
      <c r="K273" s="4"/>
      <c r="L273" s="4" t="n">
        <v>20</v>
      </c>
      <c r="M273" s="4" t="n">
        <v>20</v>
      </c>
      <c r="N273" s="4" t="n">
        <v>0</v>
      </c>
      <c r="O273" s="4" t="n">
        <v>15</v>
      </c>
      <c r="P273" s="4" t="n">
        <v>5</v>
      </c>
      <c r="Q273" s="4" t="n">
        <v>8</v>
      </c>
      <c r="R273" s="6" t="n">
        <f aca="false">IF(N(L273)=0,0,O273/L273)</f>
        <v>0.75</v>
      </c>
      <c r="S273" s="4" t="n">
        <f aca="false">IF(R273="","",IF(R273&gt;=0.8,50,IF(R273&gt;=0.5,30,IF(R273&gt;=0.01,10,0))))</f>
        <v>30</v>
      </c>
      <c r="T273" s="4" t="n">
        <f aca="false">IF(TRIM(AI273)="Yes",2.5,0)</f>
        <v>2.5</v>
      </c>
      <c r="U273" s="4" t="n">
        <f aca="false">IF(TRIM(AJ273)="Yes",10,0)</f>
        <v>0</v>
      </c>
      <c r="V273" s="4" t="n">
        <f aca="false">IF(TRIM(AK273)="Yes",5,0)</f>
        <v>5</v>
      </c>
      <c r="W273" s="4" t="n">
        <f aca="false">IF(TRIM(AM273)="Yes",5,0)</f>
        <v>5</v>
      </c>
      <c r="X273" s="4" t="n">
        <f aca="false">IF(OR(TRIM(AN273)="Fully Available",TRIM(AN273)="Not Applicable"),5,IF(TRIM(AN273)="Partially Available",2.5,0))</f>
        <v>5</v>
      </c>
      <c r="Y273" s="4" t="n">
        <f aca="false">IF(TRIM(AO273)="Yes",5,0)</f>
        <v>5</v>
      </c>
      <c r="Z273" s="4" t="n">
        <f aca="false">IF(TRIM(AP273)="Yes",2.5,0)</f>
        <v>2.5</v>
      </c>
      <c r="AA273" s="4" t="n">
        <f aca="false">IF(TRIM(AQ273)="Yes",5,0)</f>
        <v>5</v>
      </c>
      <c r="AB273" s="4" t="n">
        <f aca="false">IF(OR(TRIM(AR273)="Yes",TRIM(AR273)="Not Applicable"),5,0)</f>
        <v>5</v>
      </c>
      <c r="AC273" s="4" t="n">
        <f aca="false">IF(TRIM(AS273)="Excellent",5,IF(TRIM(AS273)="Very Good",4,IF(TRIM(AS273)="Good",3,IF(TRIM(AS273)="Average",2,0))))</f>
        <v>3</v>
      </c>
      <c r="AD273" s="7" t="n">
        <f aca="false">IF(COUNT(S273:AC273)=0,"",SUM(S273:AC273))</f>
        <v>68</v>
      </c>
      <c r="AE273" s="7"/>
      <c r="AF273" s="8"/>
      <c r="AG273" s="5"/>
      <c r="AH273" s="4"/>
      <c r="AI273" s="4" t="s">
        <v>62</v>
      </c>
      <c r="AJ273" s="4" t="s">
        <v>82</v>
      </c>
      <c r="AK273" s="4" t="s">
        <v>62</v>
      </c>
      <c r="AL273" s="4" t="s">
        <v>63</v>
      </c>
      <c r="AM273" s="4" t="s">
        <v>62</v>
      </c>
      <c r="AN273" s="4" t="s">
        <v>64</v>
      </c>
      <c r="AO273" s="4" t="s">
        <v>62</v>
      </c>
      <c r="AP273" s="4" t="s">
        <v>62</v>
      </c>
      <c r="AQ273" s="4" t="s">
        <v>62</v>
      </c>
      <c r="AR273" s="4" t="s">
        <v>62</v>
      </c>
      <c r="AS273" s="4" t="s">
        <v>185</v>
      </c>
      <c r="AT273" s="4" t="n">
        <v>6</v>
      </c>
      <c r="AU273" s="4" t="s">
        <v>112</v>
      </c>
      <c r="AV273" s="4" t="s">
        <v>67</v>
      </c>
      <c r="AW273" s="4" t="s">
        <v>906</v>
      </c>
      <c r="AX273" s="4" t="s">
        <v>891</v>
      </c>
      <c r="AY273" s="4" t="n">
        <v>4</v>
      </c>
      <c r="AZ273" s="4" t="s">
        <v>62</v>
      </c>
      <c r="BA273" s="4" t="s">
        <v>905</v>
      </c>
      <c r="BB273" s="4" t="s">
        <v>760</v>
      </c>
      <c r="BC273" s="6" t="n">
        <v>0.5333</v>
      </c>
      <c r="BD273" s="4" t="n">
        <v>87</v>
      </c>
    </row>
    <row r="274" customFormat="false" ht="299.25" hidden="false" customHeight="false" outlineLevel="0" collapsed="false">
      <c r="A274" s="4" t="n">
        <v>122</v>
      </c>
      <c r="B274" s="4" t="s">
        <v>753</v>
      </c>
      <c r="C274" s="4" t="s">
        <v>57</v>
      </c>
      <c r="D274" s="4" t="s">
        <v>754</v>
      </c>
      <c r="E274" s="4" t="s">
        <v>779</v>
      </c>
      <c r="F274" s="4" t="n">
        <v>5675</v>
      </c>
      <c r="G274" s="5" t="s">
        <v>907</v>
      </c>
      <c r="H274" s="5" t="s">
        <v>72</v>
      </c>
      <c r="I274" s="4"/>
      <c r="J274" s="4"/>
      <c r="K274" s="4"/>
      <c r="L274" s="4" t="n">
        <v>20</v>
      </c>
      <c r="M274" s="4" t="n">
        <v>20</v>
      </c>
      <c r="N274" s="4" t="n">
        <v>0</v>
      </c>
      <c r="O274" s="4" t="n">
        <v>18</v>
      </c>
      <c r="P274" s="4" t="n">
        <v>2</v>
      </c>
      <c r="Q274" s="4" t="n">
        <v>5</v>
      </c>
      <c r="R274" s="6" t="n">
        <f aca="false">IF(N(L274)=0,0,O274/L274)</f>
        <v>0.9</v>
      </c>
      <c r="S274" s="4" t="n">
        <f aca="false">IF(R274="","",IF(R274&gt;=0.8,50,IF(R274&gt;=0.5,30,IF(R274&gt;=0.01,10,0))))</f>
        <v>50</v>
      </c>
      <c r="T274" s="4" t="n">
        <f aca="false">IF(TRIM(AI274)="Yes",2.5,0)</f>
        <v>0</v>
      </c>
      <c r="U274" s="4" t="n">
        <f aca="false">IF(TRIM(AJ274)="Yes",10,0)</f>
        <v>10</v>
      </c>
      <c r="V274" s="4" t="n">
        <f aca="false">IF(TRIM(AK274)="Yes",5,0)</f>
        <v>5</v>
      </c>
      <c r="W274" s="4" t="n">
        <f aca="false">IF(TRIM(AM274)="Yes",5,0)</f>
        <v>5</v>
      </c>
      <c r="X274" s="4" t="n">
        <f aca="false">IF(OR(TRIM(AN274)="Fully Available",TRIM(AN274)="Not Applicable"),5,IF(TRIM(AN274)="Partially Available",2.5,0))</f>
        <v>5</v>
      </c>
      <c r="Y274" s="4" t="n">
        <f aca="false">IF(TRIM(AO274)="Yes",5,0)</f>
        <v>0</v>
      </c>
      <c r="Z274" s="4" t="n">
        <f aca="false">IF(TRIM(AP274)="Yes",2.5,0)</f>
        <v>2.5</v>
      </c>
      <c r="AA274" s="4" t="n">
        <f aca="false">IF(TRIM(AQ274)="Yes",5,0)</f>
        <v>5</v>
      </c>
      <c r="AB274" s="4" t="n">
        <f aca="false">IF(OR(TRIM(AR274)="Yes",TRIM(AR274)="Not Applicable"),5,0)</f>
        <v>5</v>
      </c>
      <c r="AC274" s="4" t="n">
        <f aca="false">IF(TRIM(AS274)="Excellent",5,IF(TRIM(AS274)="Very Good",4,IF(TRIM(AS274)="Good",3,IF(TRIM(AS274)="Average",2,0))))</f>
        <v>3</v>
      </c>
      <c r="AD274" s="7" t="n">
        <f aca="false">IF(COUNT(S274:AC274)=0,"",SUM(S274:AC274))</f>
        <v>90.5</v>
      </c>
      <c r="AE274" s="7" t="n">
        <f aca="false">IF(COUNTIF($F$2:F274,F274)=1,IFERROR(AVERAGEIF($F:$F,F274,$AD:$AD),""),"")</f>
        <v>90.5</v>
      </c>
      <c r="AF274" s="8" t="str">
        <f aca="false">IF(AH274&lt;&gt;"",AH274,IF(AE274="","",IF(AE274&gt;=80,"Excellent",IF(AE274&gt;=70,"Very Good",IF(AE274&gt;=60,"Good",IF(AE274&gt;=50,"Average","Poor"))))))</f>
        <v>Excellent</v>
      </c>
      <c r="AG274" s="5"/>
      <c r="AH274" s="4"/>
      <c r="AI274" s="4" t="s">
        <v>82</v>
      </c>
      <c r="AJ274" s="4" t="s">
        <v>62</v>
      </c>
      <c r="AK274" s="4" t="s">
        <v>62</v>
      </c>
      <c r="AL274" s="4" t="s">
        <v>63</v>
      </c>
      <c r="AM274" s="4" t="s">
        <v>62</v>
      </c>
      <c r="AN274" s="4" t="s">
        <v>64</v>
      </c>
      <c r="AO274" s="4" t="s">
        <v>82</v>
      </c>
      <c r="AP274" s="4" t="s">
        <v>62</v>
      </c>
      <c r="AQ274" s="4" t="s">
        <v>62</v>
      </c>
      <c r="AR274" s="4" t="s">
        <v>73</v>
      </c>
      <c r="AS274" s="4" t="s">
        <v>185</v>
      </c>
      <c r="AT274" s="4" t="n">
        <v>4</v>
      </c>
      <c r="AU274" s="4" t="s">
        <v>66</v>
      </c>
      <c r="AV274" s="4" t="s">
        <v>208</v>
      </c>
      <c r="AW274" s="4" t="s">
        <v>908</v>
      </c>
      <c r="AX274" s="4" t="s">
        <v>909</v>
      </c>
      <c r="AY274" s="4" t="n">
        <v>15</v>
      </c>
      <c r="AZ274" s="4" t="s">
        <v>62</v>
      </c>
      <c r="BA274" s="4" t="s">
        <v>910</v>
      </c>
      <c r="BB274" s="4" t="s">
        <v>760</v>
      </c>
      <c r="BC274" s="6" t="n">
        <v>0.2778</v>
      </c>
      <c r="BD274" s="4" t="n">
        <v>78</v>
      </c>
    </row>
    <row r="275" customFormat="false" ht="299.25" hidden="false" customHeight="false" outlineLevel="0" collapsed="false">
      <c r="A275" s="4"/>
      <c r="B275" s="4" t="s">
        <v>753</v>
      </c>
      <c r="C275" s="4" t="s">
        <v>57</v>
      </c>
      <c r="D275" s="4" t="s">
        <v>754</v>
      </c>
      <c r="E275" s="4" t="s">
        <v>779</v>
      </c>
      <c r="F275" s="4" t="n">
        <v>5675</v>
      </c>
      <c r="G275" s="5" t="s">
        <v>907</v>
      </c>
      <c r="H275" s="5" t="s">
        <v>90</v>
      </c>
      <c r="I275" s="4"/>
      <c r="J275" s="4"/>
      <c r="K275" s="4"/>
      <c r="L275" s="4" t="n">
        <v>20</v>
      </c>
      <c r="M275" s="4" t="n">
        <v>20</v>
      </c>
      <c r="N275" s="4" t="n">
        <v>0</v>
      </c>
      <c r="O275" s="4" t="n">
        <v>19</v>
      </c>
      <c r="P275" s="4" t="n">
        <v>1</v>
      </c>
      <c r="Q275" s="4" t="n">
        <v>5</v>
      </c>
      <c r="R275" s="6" t="n">
        <f aca="false">IF(N(L275)=0,0,O275/L275)</f>
        <v>0.95</v>
      </c>
      <c r="S275" s="4" t="n">
        <f aca="false">IF(R275="","",IF(R275&gt;=0.8,50,IF(R275&gt;=0.5,30,IF(R275&gt;=0.01,10,0))))</f>
        <v>50</v>
      </c>
      <c r="T275" s="4" t="n">
        <f aca="false">IF(TRIM(AI275)="Yes",2.5,0)</f>
        <v>0</v>
      </c>
      <c r="U275" s="4" t="n">
        <f aca="false">IF(TRIM(AJ275)="Yes",10,0)</f>
        <v>10</v>
      </c>
      <c r="V275" s="4" t="n">
        <f aca="false">IF(TRIM(AK275)="Yes",5,0)</f>
        <v>5</v>
      </c>
      <c r="W275" s="4" t="n">
        <f aca="false">IF(TRIM(AM275)="Yes",5,0)</f>
        <v>5</v>
      </c>
      <c r="X275" s="4" t="n">
        <f aca="false">IF(OR(TRIM(AN275)="Fully Available",TRIM(AN275)="Not Applicable"),5,IF(TRIM(AN275)="Partially Available",2.5,0))</f>
        <v>5</v>
      </c>
      <c r="Y275" s="4" t="n">
        <f aca="false">IF(TRIM(AO275)="Yes",5,0)</f>
        <v>0</v>
      </c>
      <c r="Z275" s="4" t="n">
        <f aca="false">IF(TRIM(AP275)="Yes",2.5,0)</f>
        <v>2.5</v>
      </c>
      <c r="AA275" s="4" t="n">
        <f aca="false">IF(TRIM(AQ275)="Yes",5,0)</f>
        <v>5</v>
      </c>
      <c r="AB275" s="4" t="n">
        <f aca="false">IF(OR(TRIM(AR275)="Yes",TRIM(AR275)="Not Applicable"),5,0)</f>
        <v>5</v>
      </c>
      <c r="AC275" s="4" t="n">
        <f aca="false">IF(TRIM(AS275)="Excellent",5,IF(TRIM(AS275)="Very Good",4,IF(TRIM(AS275)="Good",3,IF(TRIM(AS275)="Average",2,0))))</f>
        <v>3</v>
      </c>
      <c r="AD275" s="7" t="n">
        <f aca="false">IF(COUNT(S275:AC275)=0,"",SUM(S275:AC275))</f>
        <v>90.5</v>
      </c>
      <c r="AE275" s="7"/>
      <c r="AF275" s="8"/>
      <c r="AG275" s="5"/>
      <c r="AH275" s="4"/>
      <c r="AI275" s="4" t="s">
        <v>82</v>
      </c>
      <c r="AJ275" s="4" t="s">
        <v>62</v>
      </c>
      <c r="AK275" s="4" t="s">
        <v>62</v>
      </c>
      <c r="AL275" s="4" t="s">
        <v>63</v>
      </c>
      <c r="AM275" s="4" t="s">
        <v>62</v>
      </c>
      <c r="AN275" s="4" t="s">
        <v>64</v>
      </c>
      <c r="AO275" s="4" t="s">
        <v>82</v>
      </c>
      <c r="AP275" s="4" t="s">
        <v>62</v>
      </c>
      <c r="AQ275" s="4" t="s">
        <v>62</v>
      </c>
      <c r="AR275" s="4" t="s">
        <v>73</v>
      </c>
      <c r="AS275" s="4" t="s">
        <v>185</v>
      </c>
      <c r="AT275" s="4" t="n">
        <v>5</v>
      </c>
      <c r="AU275" s="4" t="s">
        <v>66</v>
      </c>
      <c r="AV275" s="4" t="s">
        <v>208</v>
      </c>
      <c r="AW275" s="4" t="s">
        <v>911</v>
      </c>
      <c r="AX275" s="4" t="s">
        <v>912</v>
      </c>
      <c r="AY275" s="4" t="n">
        <v>1</v>
      </c>
      <c r="AZ275" s="4" t="s">
        <v>62</v>
      </c>
      <c r="BA275" s="4" t="s">
        <v>910</v>
      </c>
      <c r="BB275" s="4" t="s">
        <v>760</v>
      </c>
      <c r="BC275" s="6" t="n">
        <v>0.2632</v>
      </c>
      <c r="BD275" s="4" t="n">
        <v>78</v>
      </c>
    </row>
    <row r="276" customFormat="false" ht="299.25" hidden="false" customHeight="false" outlineLevel="0" collapsed="false">
      <c r="A276" s="4"/>
      <c r="B276" s="4" t="s">
        <v>753</v>
      </c>
      <c r="C276" s="4" t="s">
        <v>57</v>
      </c>
      <c r="D276" s="4" t="s">
        <v>754</v>
      </c>
      <c r="E276" s="4" t="s">
        <v>779</v>
      </c>
      <c r="F276" s="4" t="n">
        <v>5675</v>
      </c>
      <c r="G276" s="5" t="s">
        <v>907</v>
      </c>
      <c r="H276" s="5" t="s">
        <v>238</v>
      </c>
      <c r="I276" s="4"/>
      <c r="J276" s="4"/>
      <c r="K276" s="4"/>
      <c r="L276" s="4" t="n">
        <v>20</v>
      </c>
      <c r="M276" s="4" t="n">
        <v>20</v>
      </c>
      <c r="N276" s="4" t="n">
        <v>0</v>
      </c>
      <c r="O276" s="4" t="n">
        <v>18</v>
      </c>
      <c r="P276" s="4" t="n">
        <v>2</v>
      </c>
      <c r="Q276" s="4" t="n">
        <v>8</v>
      </c>
      <c r="R276" s="6" t="n">
        <f aca="false">IF(N(L276)=0,0,O276/L276)</f>
        <v>0.9</v>
      </c>
      <c r="S276" s="4" t="n">
        <f aca="false">IF(R276="","",IF(R276&gt;=0.8,50,IF(R276&gt;=0.5,30,IF(R276&gt;=0.01,10,0))))</f>
        <v>50</v>
      </c>
      <c r="T276" s="4" t="n">
        <f aca="false">IF(TRIM(AI276)="Yes",2.5,0)</f>
        <v>0</v>
      </c>
      <c r="U276" s="4" t="n">
        <f aca="false">IF(TRIM(AJ276)="Yes",10,0)</f>
        <v>10</v>
      </c>
      <c r="V276" s="4" t="n">
        <f aca="false">IF(TRIM(AK276)="Yes",5,0)</f>
        <v>5</v>
      </c>
      <c r="W276" s="4" t="n">
        <f aca="false">IF(TRIM(AM276)="Yes",5,0)</f>
        <v>5</v>
      </c>
      <c r="X276" s="4" t="n">
        <f aca="false">IF(OR(TRIM(AN276)="Fully Available",TRIM(AN276)="Not Applicable"),5,IF(TRIM(AN276)="Partially Available",2.5,0))</f>
        <v>5</v>
      </c>
      <c r="Y276" s="4" t="n">
        <f aca="false">IF(TRIM(AO276)="Yes",5,0)</f>
        <v>0</v>
      </c>
      <c r="Z276" s="4" t="n">
        <f aca="false">IF(TRIM(AP276)="Yes",2.5,0)</f>
        <v>2.5</v>
      </c>
      <c r="AA276" s="4" t="n">
        <f aca="false">IF(TRIM(AQ276)="Yes",5,0)</f>
        <v>5</v>
      </c>
      <c r="AB276" s="4" t="n">
        <f aca="false">IF(OR(TRIM(AR276)="Yes",TRIM(AR276)="Not Applicable"),5,0)</f>
        <v>5</v>
      </c>
      <c r="AC276" s="4" t="n">
        <f aca="false">IF(TRIM(AS276)="Excellent",5,IF(TRIM(AS276)="Very Good",4,IF(TRIM(AS276)="Good",3,IF(TRIM(AS276)="Average",2,0))))</f>
        <v>3</v>
      </c>
      <c r="AD276" s="7" t="n">
        <f aca="false">IF(COUNT(S276:AC276)=0,"",SUM(S276:AC276))</f>
        <v>90.5</v>
      </c>
      <c r="AE276" s="7"/>
      <c r="AF276" s="8"/>
      <c r="AG276" s="5"/>
      <c r="AH276" s="4"/>
      <c r="AI276" s="4" t="s">
        <v>82</v>
      </c>
      <c r="AJ276" s="4" t="s">
        <v>62</v>
      </c>
      <c r="AK276" s="4" t="s">
        <v>62</v>
      </c>
      <c r="AL276" s="4" t="s">
        <v>63</v>
      </c>
      <c r="AM276" s="4" t="s">
        <v>62</v>
      </c>
      <c r="AN276" s="4" t="s">
        <v>64</v>
      </c>
      <c r="AO276" s="4" t="s">
        <v>82</v>
      </c>
      <c r="AP276" s="4" t="s">
        <v>62</v>
      </c>
      <c r="AQ276" s="4" t="s">
        <v>62</v>
      </c>
      <c r="AR276" s="4" t="s">
        <v>73</v>
      </c>
      <c r="AS276" s="4" t="s">
        <v>185</v>
      </c>
      <c r="AT276" s="4" t="n">
        <v>5</v>
      </c>
      <c r="AU276" s="4" t="s">
        <v>66</v>
      </c>
      <c r="AV276" s="4" t="s">
        <v>208</v>
      </c>
      <c r="AW276" s="4" t="s">
        <v>913</v>
      </c>
      <c r="AX276" s="4" t="s">
        <v>914</v>
      </c>
      <c r="AY276" s="4" t="n">
        <v>1</v>
      </c>
      <c r="AZ276" s="4" t="s">
        <v>62</v>
      </c>
      <c r="BA276" s="4" t="s">
        <v>910</v>
      </c>
      <c r="BB276" s="4" t="s">
        <v>760</v>
      </c>
      <c r="BC276" s="6" t="n">
        <v>0.4444</v>
      </c>
      <c r="BD276" s="4" t="n">
        <v>78</v>
      </c>
    </row>
    <row r="277" customFormat="false" ht="100.7" hidden="false" customHeight="false" outlineLevel="0" collapsed="false">
      <c r="A277" s="4" t="n">
        <v>123</v>
      </c>
      <c r="B277" s="4" t="s">
        <v>753</v>
      </c>
      <c r="C277" s="4" t="s">
        <v>57</v>
      </c>
      <c r="D277" s="4" t="s">
        <v>754</v>
      </c>
      <c r="E277" s="4" t="s">
        <v>755</v>
      </c>
      <c r="F277" s="4" t="n">
        <v>520</v>
      </c>
      <c r="G277" s="5" t="s">
        <v>915</v>
      </c>
      <c r="H277" s="5" t="s">
        <v>746</v>
      </c>
      <c r="I277" s="4"/>
      <c r="J277" s="4"/>
      <c r="K277" s="4"/>
      <c r="L277" s="4" t="n">
        <v>20</v>
      </c>
      <c r="M277" s="4" t="n">
        <v>20</v>
      </c>
      <c r="N277" s="4" t="n">
        <v>0</v>
      </c>
      <c r="O277" s="4" t="n">
        <v>16</v>
      </c>
      <c r="P277" s="4" t="n">
        <v>4</v>
      </c>
      <c r="Q277" s="4" t="n">
        <v>5</v>
      </c>
      <c r="R277" s="6" t="n">
        <f aca="false">IF(N(L277)=0,0,O277/L277)</f>
        <v>0.8</v>
      </c>
      <c r="S277" s="4" t="n">
        <f aca="false">IF(R277="","",IF(R277&gt;=0.8,50,IF(R277&gt;=0.5,30,IF(R277&gt;=0.01,10,0))))</f>
        <v>50</v>
      </c>
      <c r="T277" s="4" t="n">
        <f aca="false">IF(TRIM(AI277)="Yes",2.5,0)</f>
        <v>2.5</v>
      </c>
      <c r="U277" s="4" t="n">
        <f aca="false">IF(TRIM(AJ277)="Yes",10,0)</f>
        <v>10</v>
      </c>
      <c r="V277" s="4" t="n">
        <f aca="false">IF(TRIM(AK277)="Yes",5,0)</f>
        <v>5</v>
      </c>
      <c r="W277" s="4" t="n">
        <f aca="false">IF(TRIM(AM277)="Yes",5,0)</f>
        <v>5</v>
      </c>
      <c r="X277" s="4" t="n">
        <f aca="false">IF(OR(TRIM(AN277)="Fully Available",TRIM(AN277)="Not Applicable"),5,IF(TRIM(AN277)="Partially Available",2.5,0))</f>
        <v>5</v>
      </c>
      <c r="Y277" s="4" t="n">
        <f aca="false">IF(TRIM(AO277)="Yes",5,0)</f>
        <v>5</v>
      </c>
      <c r="Z277" s="4" t="n">
        <f aca="false">IF(TRIM(AP277)="Yes",2.5,0)</f>
        <v>2.5</v>
      </c>
      <c r="AA277" s="4" t="n">
        <f aca="false">IF(TRIM(AQ277)="Yes",5,0)</f>
        <v>5</v>
      </c>
      <c r="AB277" s="4" t="n">
        <f aca="false">IF(OR(TRIM(AR277)="Yes",TRIM(AR277)="Not Applicable"),5,0)</f>
        <v>5</v>
      </c>
      <c r="AC277" s="4" t="n">
        <f aca="false">IF(TRIM(AS277)="Excellent",5,IF(TRIM(AS277)="Very Good",4,IF(TRIM(AS277)="Good",3,IF(TRIM(AS277)="Average",2,0))))</f>
        <v>5</v>
      </c>
      <c r="AD277" s="7" t="n">
        <f aca="false">IF(COUNT(S277:AC277)=0,"",SUM(S277:AC277))</f>
        <v>100</v>
      </c>
      <c r="AE277" s="7" t="n">
        <f aca="false">IF(COUNTIF($F$2:F277,F277)=1,IFERROR(AVERAGEIF($F:$F,F277,$AD:$AD),""),"")</f>
        <v>100</v>
      </c>
      <c r="AF277" s="8" t="str">
        <f aca="false">IF(AH277&lt;&gt;"",AH277,IF(AE277="","",IF(AE277&gt;=80,"Excellent",IF(AE277&gt;=70,"Very Good",IF(AE277&gt;=60,"Good",IF(AE277&gt;=50,"Average","Poor"))))))</f>
        <v>Excellent</v>
      </c>
      <c r="AG277" s="5"/>
      <c r="AH277" s="4"/>
      <c r="AI277" s="4" t="s">
        <v>62</v>
      </c>
      <c r="AJ277" s="4" t="s">
        <v>62</v>
      </c>
      <c r="AK277" s="4" t="s">
        <v>62</v>
      </c>
      <c r="AL277" s="4" t="s">
        <v>63</v>
      </c>
      <c r="AM277" s="4" t="s">
        <v>62</v>
      </c>
      <c r="AN277" s="4" t="s">
        <v>73</v>
      </c>
      <c r="AO277" s="4" t="s">
        <v>62</v>
      </c>
      <c r="AP277" s="4" t="s">
        <v>62</v>
      </c>
      <c r="AQ277" s="4" t="s">
        <v>62</v>
      </c>
      <c r="AR277" s="4" t="s">
        <v>73</v>
      </c>
      <c r="AS277" s="4" t="s">
        <v>65</v>
      </c>
      <c r="AT277" s="4" t="n">
        <v>8</v>
      </c>
      <c r="AU277" s="4" t="s">
        <v>66</v>
      </c>
      <c r="AV277" s="4" t="s">
        <v>288</v>
      </c>
      <c r="AW277" s="4" t="s">
        <v>916</v>
      </c>
      <c r="AX277" s="4" t="s">
        <v>917</v>
      </c>
      <c r="AY277" s="4" t="n">
        <v>30</v>
      </c>
      <c r="AZ277" s="4" t="s">
        <v>62</v>
      </c>
      <c r="BA277" s="4" t="s">
        <v>918</v>
      </c>
      <c r="BB277" s="4" t="s">
        <v>760</v>
      </c>
      <c r="BC277" s="6" t="n">
        <v>0.3125</v>
      </c>
      <c r="BD277" s="4" t="n">
        <v>93</v>
      </c>
    </row>
    <row r="278" customFormat="false" ht="100.7" hidden="false" customHeight="false" outlineLevel="0" collapsed="false">
      <c r="A278" s="4"/>
      <c r="B278" s="4" t="s">
        <v>753</v>
      </c>
      <c r="C278" s="4" t="s">
        <v>57</v>
      </c>
      <c r="D278" s="4" t="s">
        <v>754</v>
      </c>
      <c r="E278" s="4" t="s">
        <v>755</v>
      </c>
      <c r="F278" s="4" t="n">
        <v>520</v>
      </c>
      <c r="G278" s="5" t="s">
        <v>915</v>
      </c>
      <c r="H278" s="5" t="s">
        <v>919</v>
      </c>
      <c r="I278" s="4"/>
      <c r="J278" s="4"/>
      <c r="K278" s="4"/>
      <c r="L278" s="4" t="n">
        <v>20</v>
      </c>
      <c r="M278" s="4" t="n">
        <v>20</v>
      </c>
      <c r="N278" s="4" t="n">
        <v>0</v>
      </c>
      <c r="O278" s="4" t="n">
        <v>18</v>
      </c>
      <c r="P278" s="4" t="n">
        <v>2</v>
      </c>
      <c r="Q278" s="4" t="n">
        <v>7</v>
      </c>
      <c r="R278" s="6" t="n">
        <f aca="false">IF(N(L278)=0,0,O278/L278)</f>
        <v>0.9</v>
      </c>
      <c r="S278" s="4" t="n">
        <f aca="false">IF(R278="","",IF(R278&gt;=0.8,50,IF(R278&gt;=0.5,30,IF(R278&gt;=0.01,10,0))))</f>
        <v>50</v>
      </c>
      <c r="T278" s="4" t="n">
        <f aca="false">IF(TRIM(AI278)="Yes",2.5,0)</f>
        <v>2.5</v>
      </c>
      <c r="U278" s="4" t="n">
        <f aca="false">IF(TRIM(AJ278)="Yes",10,0)</f>
        <v>10</v>
      </c>
      <c r="V278" s="4" t="n">
        <f aca="false">IF(TRIM(AK278)="Yes",5,0)</f>
        <v>5</v>
      </c>
      <c r="W278" s="4" t="n">
        <f aca="false">IF(TRIM(AM278)="Yes",5,0)</f>
        <v>5</v>
      </c>
      <c r="X278" s="4" t="n">
        <f aca="false">IF(OR(TRIM(AN278)="Fully Available",TRIM(AN278)="Not Applicable"),5,IF(TRIM(AN278)="Partially Available",2.5,0))</f>
        <v>5</v>
      </c>
      <c r="Y278" s="4" t="n">
        <f aca="false">IF(TRIM(AO278)="Yes",5,0)</f>
        <v>5</v>
      </c>
      <c r="Z278" s="4" t="n">
        <f aca="false">IF(TRIM(AP278)="Yes",2.5,0)</f>
        <v>2.5</v>
      </c>
      <c r="AA278" s="4" t="n">
        <f aca="false">IF(TRIM(AQ278)="Yes",5,0)</f>
        <v>5</v>
      </c>
      <c r="AB278" s="4" t="n">
        <f aca="false">IF(OR(TRIM(AR278)="Yes",TRIM(AR278)="Not Applicable"),5,0)</f>
        <v>5</v>
      </c>
      <c r="AC278" s="4" t="n">
        <f aca="false">IF(TRIM(AS278)="Excellent",5,IF(TRIM(AS278)="Very Good",4,IF(TRIM(AS278)="Good",3,IF(TRIM(AS278)="Average",2,0))))</f>
        <v>5</v>
      </c>
      <c r="AD278" s="7" t="n">
        <f aca="false">IF(COUNT(S278:AC278)=0,"",SUM(S278:AC278))</f>
        <v>100</v>
      </c>
      <c r="AE278" s="7"/>
      <c r="AF278" s="8"/>
      <c r="AG278" s="5"/>
      <c r="AH278" s="4"/>
      <c r="AI278" s="4" t="s">
        <v>62</v>
      </c>
      <c r="AJ278" s="4" t="s">
        <v>62</v>
      </c>
      <c r="AK278" s="4" t="s">
        <v>62</v>
      </c>
      <c r="AL278" s="4" t="s">
        <v>63</v>
      </c>
      <c r="AM278" s="4" t="s">
        <v>62</v>
      </c>
      <c r="AN278" s="4" t="s">
        <v>64</v>
      </c>
      <c r="AO278" s="4" t="s">
        <v>62</v>
      </c>
      <c r="AP278" s="4" t="s">
        <v>62</v>
      </c>
      <c r="AQ278" s="4" t="s">
        <v>62</v>
      </c>
      <c r="AR278" s="4" t="s">
        <v>62</v>
      </c>
      <c r="AS278" s="4" t="s">
        <v>65</v>
      </c>
      <c r="AT278" s="4" t="n">
        <v>8</v>
      </c>
      <c r="AU278" s="4" t="s">
        <v>66</v>
      </c>
      <c r="AV278" s="4" t="s">
        <v>288</v>
      </c>
      <c r="AW278" s="4" t="s">
        <v>920</v>
      </c>
      <c r="AX278" s="4" t="s">
        <v>921</v>
      </c>
      <c r="AY278" s="4" t="n">
        <v>4</v>
      </c>
      <c r="AZ278" s="4" t="s">
        <v>62</v>
      </c>
      <c r="BA278" s="4" t="s">
        <v>918</v>
      </c>
      <c r="BB278" s="4" t="s">
        <v>760</v>
      </c>
      <c r="BC278" s="6" t="n">
        <v>0.3889</v>
      </c>
      <c r="BD278" s="4" t="n">
        <v>93</v>
      </c>
    </row>
    <row r="279" customFormat="false" ht="100.7" hidden="false" customHeight="false" outlineLevel="0" collapsed="false">
      <c r="A279" s="4"/>
      <c r="B279" s="4" t="s">
        <v>753</v>
      </c>
      <c r="C279" s="4" t="s">
        <v>57</v>
      </c>
      <c r="D279" s="4" t="s">
        <v>754</v>
      </c>
      <c r="E279" s="4" t="s">
        <v>755</v>
      </c>
      <c r="F279" s="4" t="n">
        <v>520</v>
      </c>
      <c r="G279" s="5" t="s">
        <v>915</v>
      </c>
      <c r="H279" s="5" t="s">
        <v>127</v>
      </c>
      <c r="I279" s="4"/>
      <c r="J279" s="4"/>
      <c r="K279" s="4"/>
      <c r="L279" s="4" t="n">
        <v>20</v>
      </c>
      <c r="M279" s="4" t="n">
        <v>20</v>
      </c>
      <c r="N279" s="4" t="n">
        <v>0</v>
      </c>
      <c r="O279" s="4" t="n">
        <v>18</v>
      </c>
      <c r="P279" s="4" t="n">
        <v>2</v>
      </c>
      <c r="Q279" s="4" t="n">
        <v>7</v>
      </c>
      <c r="R279" s="6" t="n">
        <f aca="false">IF(N(L279)=0,0,O279/L279)</f>
        <v>0.9</v>
      </c>
      <c r="S279" s="4" t="n">
        <f aca="false">IF(R279="","",IF(R279&gt;=0.8,50,IF(R279&gt;=0.5,30,IF(R279&gt;=0.01,10,0))))</f>
        <v>50</v>
      </c>
      <c r="T279" s="4" t="n">
        <f aca="false">IF(TRIM(AI279)="Yes",2.5,0)</f>
        <v>2.5</v>
      </c>
      <c r="U279" s="4" t="n">
        <f aca="false">IF(TRIM(AJ279)="Yes",10,0)</f>
        <v>10</v>
      </c>
      <c r="V279" s="4" t="n">
        <f aca="false">IF(TRIM(AK279)="Yes",5,0)</f>
        <v>5</v>
      </c>
      <c r="W279" s="4" t="n">
        <f aca="false">IF(TRIM(AM279)="Yes",5,0)</f>
        <v>5</v>
      </c>
      <c r="X279" s="4" t="n">
        <f aca="false">IF(OR(TRIM(AN279)="Fully Available",TRIM(AN279)="Not Applicable"),5,IF(TRIM(AN279)="Partially Available",2.5,0))</f>
        <v>5</v>
      </c>
      <c r="Y279" s="4" t="n">
        <f aca="false">IF(TRIM(AO279)="Yes",5,0)</f>
        <v>5</v>
      </c>
      <c r="Z279" s="4" t="n">
        <f aca="false">IF(TRIM(AP279)="Yes",2.5,0)</f>
        <v>2.5</v>
      </c>
      <c r="AA279" s="4" t="n">
        <f aca="false">IF(TRIM(AQ279)="Yes",5,0)</f>
        <v>5</v>
      </c>
      <c r="AB279" s="4" t="n">
        <f aca="false">IF(OR(TRIM(AR279)="Yes",TRIM(AR279)="Not Applicable"),5,0)</f>
        <v>5</v>
      </c>
      <c r="AC279" s="4" t="n">
        <f aca="false">IF(TRIM(AS279)="Excellent",5,IF(TRIM(AS279)="Very Good",4,IF(TRIM(AS279)="Good",3,IF(TRIM(AS279)="Average",2,0))))</f>
        <v>5</v>
      </c>
      <c r="AD279" s="7" t="n">
        <f aca="false">IF(COUNT(S279:AC279)=0,"",SUM(S279:AC279))</f>
        <v>100</v>
      </c>
      <c r="AE279" s="7"/>
      <c r="AF279" s="8"/>
      <c r="AG279" s="5"/>
      <c r="AH279" s="4"/>
      <c r="AI279" s="4" t="s">
        <v>62</v>
      </c>
      <c r="AJ279" s="4" t="s">
        <v>62</v>
      </c>
      <c r="AK279" s="4" t="s">
        <v>62</v>
      </c>
      <c r="AL279" s="4" t="s">
        <v>63</v>
      </c>
      <c r="AM279" s="4" t="s">
        <v>62</v>
      </c>
      <c r="AN279" s="4" t="s">
        <v>64</v>
      </c>
      <c r="AO279" s="4" t="s">
        <v>62</v>
      </c>
      <c r="AP279" s="4" t="s">
        <v>62</v>
      </c>
      <c r="AQ279" s="4" t="s">
        <v>62</v>
      </c>
      <c r="AR279" s="4" t="s">
        <v>62</v>
      </c>
      <c r="AS279" s="4" t="s">
        <v>65</v>
      </c>
      <c r="AT279" s="4" t="n">
        <v>8</v>
      </c>
      <c r="AU279" s="4" t="s">
        <v>66</v>
      </c>
      <c r="AV279" s="4" t="s">
        <v>288</v>
      </c>
      <c r="AW279" s="4" t="s">
        <v>922</v>
      </c>
      <c r="AX279" s="4" t="s">
        <v>923</v>
      </c>
      <c r="AY279" s="4" t="n">
        <v>15</v>
      </c>
      <c r="AZ279" s="4" t="s">
        <v>62</v>
      </c>
      <c r="BA279" s="4" t="s">
        <v>918</v>
      </c>
      <c r="BB279" s="4" t="s">
        <v>760</v>
      </c>
      <c r="BC279" s="6" t="n">
        <v>0.3889</v>
      </c>
      <c r="BD279" s="4" t="n">
        <v>93</v>
      </c>
    </row>
    <row r="280" customFormat="false" ht="100.7" hidden="false" customHeight="false" outlineLevel="0" collapsed="false">
      <c r="A280" s="4"/>
      <c r="B280" s="4" t="s">
        <v>753</v>
      </c>
      <c r="C280" s="4" t="s">
        <v>57</v>
      </c>
      <c r="D280" s="4" t="s">
        <v>754</v>
      </c>
      <c r="E280" s="4" t="s">
        <v>755</v>
      </c>
      <c r="F280" s="4" t="n">
        <v>520</v>
      </c>
      <c r="G280" s="5" t="s">
        <v>915</v>
      </c>
      <c r="H280" s="5" t="s">
        <v>528</v>
      </c>
      <c r="I280" s="4"/>
      <c r="J280" s="4"/>
      <c r="K280" s="4"/>
      <c r="L280" s="4" t="n">
        <v>20</v>
      </c>
      <c r="M280" s="4" t="n">
        <v>20</v>
      </c>
      <c r="N280" s="4" t="n">
        <v>0</v>
      </c>
      <c r="O280" s="4" t="n">
        <v>20</v>
      </c>
      <c r="P280" s="4" t="n">
        <v>0</v>
      </c>
      <c r="Q280" s="4" t="n">
        <v>7</v>
      </c>
      <c r="R280" s="6" t="n">
        <f aca="false">IF(N(L280)=0,0,O280/L280)</f>
        <v>1</v>
      </c>
      <c r="S280" s="4" t="n">
        <f aca="false">IF(R280="","",IF(R280&gt;=0.8,50,IF(R280&gt;=0.5,30,IF(R280&gt;=0.01,10,0))))</f>
        <v>50</v>
      </c>
      <c r="T280" s="4" t="n">
        <f aca="false">IF(TRIM(AI280)="Yes",2.5,0)</f>
        <v>2.5</v>
      </c>
      <c r="U280" s="4" t="n">
        <f aca="false">IF(TRIM(AJ280)="Yes",10,0)</f>
        <v>10</v>
      </c>
      <c r="V280" s="4" t="n">
        <f aca="false">IF(TRIM(AK280)="Yes",5,0)</f>
        <v>5</v>
      </c>
      <c r="W280" s="4" t="n">
        <f aca="false">IF(TRIM(AM280)="Yes",5,0)</f>
        <v>5</v>
      </c>
      <c r="X280" s="4" t="n">
        <f aca="false">IF(OR(TRIM(AN280)="Fully Available",TRIM(AN280)="Not Applicable"),5,IF(TRIM(AN280)="Partially Available",2.5,0))</f>
        <v>5</v>
      </c>
      <c r="Y280" s="4" t="n">
        <f aca="false">IF(TRIM(AO280)="Yes",5,0)</f>
        <v>5</v>
      </c>
      <c r="Z280" s="4" t="n">
        <f aca="false">IF(TRIM(AP280)="Yes",2.5,0)</f>
        <v>2.5</v>
      </c>
      <c r="AA280" s="4" t="n">
        <f aca="false">IF(TRIM(AQ280)="Yes",5,0)</f>
        <v>5</v>
      </c>
      <c r="AB280" s="4" t="n">
        <f aca="false">IF(OR(TRIM(AR280)="Yes",TRIM(AR280)="Not Applicable"),5,0)</f>
        <v>5</v>
      </c>
      <c r="AC280" s="4" t="n">
        <f aca="false">IF(TRIM(AS280)="Excellent",5,IF(TRIM(AS280)="Very Good",4,IF(TRIM(AS280)="Good",3,IF(TRIM(AS280)="Average",2,0))))</f>
        <v>5</v>
      </c>
      <c r="AD280" s="7" t="n">
        <f aca="false">IF(COUNT(S280:AC280)=0,"",SUM(S280:AC280))</f>
        <v>100</v>
      </c>
      <c r="AE280" s="7"/>
      <c r="AF280" s="8"/>
      <c r="AG280" s="5"/>
      <c r="AH280" s="4"/>
      <c r="AI280" s="4" t="s">
        <v>62</v>
      </c>
      <c r="AJ280" s="4" t="s">
        <v>62</v>
      </c>
      <c r="AK280" s="4" t="s">
        <v>62</v>
      </c>
      <c r="AL280" s="4" t="s">
        <v>63</v>
      </c>
      <c r="AM280" s="4" t="s">
        <v>62</v>
      </c>
      <c r="AN280" s="4" t="s">
        <v>64</v>
      </c>
      <c r="AO280" s="4" t="s">
        <v>62</v>
      </c>
      <c r="AP280" s="4" t="s">
        <v>62</v>
      </c>
      <c r="AQ280" s="4" t="s">
        <v>62</v>
      </c>
      <c r="AR280" s="4" t="s">
        <v>62</v>
      </c>
      <c r="AS280" s="4" t="s">
        <v>65</v>
      </c>
      <c r="AT280" s="4" t="n">
        <v>8</v>
      </c>
      <c r="AU280" s="4" t="s">
        <v>66</v>
      </c>
      <c r="AV280" s="4" t="s">
        <v>288</v>
      </c>
      <c r="AW280" s="4" t="s">
        <v>922</v>
      </c>
      <c r="AX280" s="4" t="s">
        <v>924</v>
      </c>
      <c r="AY280" s="4" t="n">
        <v>15</v>
      </c>
      <c r="AZ280" s="4" t="s">
        <v>62</v>
      </c>
      <c r="BA280" s="4" t="s">
        <v>918</v>
      </c>
      <c r="BB280" s="4" t="s">
        <v>760</v>
      </c>
      <c r="BC280" s="6" t="n">
        <v>0.35</v>
      </c>
      <c r="BD280" s="4" t="n">
        <v>93</v>
      </c>
    </row>
    <row r="281" customFormat="false" ht="100.7" hidden="false" customHeight="false" outlineLevel="0" collapsed="false">
      <c r="A281" s="4"/>
      <c r="B281" s="4" t="s">
        <v>753</v>
      </c>
      <c r="C281" s="4" t="s">
        <v>57</v>
      </c>
      <c r="D281" s="4" t="s">
        <v>754</v>
      </c>
      <c r="E281" s="4" t="s">
        <v>755</v>
      </c>
      <c r="F281" s="4" t="n">
        <v>520</v>
      </c>
      <c r="G281" s="5" t="s">
        <v>915</v>
      </c>
      <c r="H281" s="5" t="s">
        <v>425</v>
      </c>
      <c r="I281" s="4"/>
      <c r="J281" s="4"/>
      <c r="K281" s="4"/>
      <c r="L281" s="4" t="n">
        <v>20</v>
      </c>
      <c r="M281" s="4" t="n">
        <v>20</v>
      </c>
      <c r="N281" s="4" t="n">
        <v>0</v>
      </c>
      <c r="O281" s="4" t="n">
        <v>19</v>
      </c>
      <c r="P281" s="4" t="n">
        <v>1</v>
      </c>
      <c r="Q281" s="4" t="n">
        <v>8</v>
      </c>
      <c r="R281" s="6" t="n">
        <f aca="false">IF(N(L281)=0,0,O281/L281)</f>
        <v>0.95</v>
      </c>
      <c r="S281" s="4" t="n">
        <f aca="false">IF(R281="","",IF(R281&gt;=0.8,50,IF(R281&gt;=0.5,30,IF(R281&gt;=0.01,10,0))))</f>
        <v>50</v>
      </c>
      <c r="T281" s="4" t="n">
        <f aca="false">IF(TRIM(AI281)="Yes",2.5,0)</f>
        <v>2.5</v>
      </c>
      <c r="U281" s="4" t="n">
        <f aca="false">IF(TRIM(AJ281)="Yes",10,0)</f>
        <v>10</v>
      </c>
      <c r="V281" s="4" t="n">
        <f aca="false">IF(TRIM(AK281)="Yes",5,0)</f>
        <v>5</v>
      </c>
      <c r="W281" s="4" t="n">
        <f aca="false">IF(TRIM(AM281)="Yes",5,0)</f>
        <v>5</v>
      </c>
      <c r="X281" s="4" t="n">
        <f aca="false">IF(OR(TRIM(AN281)="Fully Available",TRIM(AN281)="Not Applicable"),5,IF(TRIM(AN281)="Partially Available",2.5,0))</f>
        <v>5</v>
      </c>
      <c r="Y281" s="4" t="n">
        <f aca="false">IF(TRIM(AO281)="Yes",5,0)</f>
        <v>5</v>
      </c>
      <c r="Z281" s="4" t="n">
        <f aca="false">IF(TRIM(AP281)="Yes",2.5,0)</f>
        <v>2.5</v>
      </c>
      <c r="AA281" s="4" t="n">
        <f aca="false">IF(TRIM(AQ281)="Yes",5,0)</f>
        <v>5</v>
      </c>
      <c r="AB281" s="4" t="n">
        <f aca="false">IF(OR(TRIM(AR281)="Yes",TRIM(AR281)="Not Applicable"),5,0)</f>
        <v>5</v>
      </c>
      <c r="AC281" s="4" t="n">
        <f aca="false">IF(TRIM(AS281)="Excellent",5,IF(TRIM(AS281)="Very Good",4,IF(TRIM(AS281)="Good",3,IF(TRIM(AS281)="Average",2,0))))</f>
        <v>5</v>
      </c>
      <c r="AD281" s="7" t="n">
        <f aca="false">IF(COUNT(S281:AC281)=0,"",SUM(S281:AC281))</f>
        <v>100</v>
      </c>
      <c r="AE281" s="7"/>
      <c r="AF281" s="8"/>
      <c r="AG281" s="5"/>
      <c r="AH281" s="4"/>
      <c r="AI281" s="4" t="s">
        <v>62</v>
      </c>
      <c r="AJ281" s="4" t="s">
        <v>62</v>
      </c>
      <c r="AK281" s="4" t="s">
        <v>62</v>
      </c>
      <c r="AL281" s="4" t="s">
        <v>63</v>
      </c>
      <c r="AM281" s="4" t="s">
        <v>62</v>
      </c>
      <c r="AN281" s="4" t="s">
        <v>64</v>
      </c>
      <c r="AO281" s="4" t="s">
        <v>62</v>
      </c>
      <c r="AP281" s="4" t="s">
        <v>62</v>
      </c>
      <c r="AQ281" s="4" t="s">
        <v>62</v>
      </c>
      <c r="AR281" s="4" t="s">
        <v>62</v>
      </c>
      <c r="AS281" s="4" t="s">
        <v>65</v>
      </c>
      <c r="AT281" s="4" t="n">
        <v>9</v>
      </c>
      <c r="AU281" s="4" t="s">
        <v>66</v>
      </c>
      <c r="AV281" s="4" t="s">
        <v>288</v>
      </c>
      <c r="AW281" s="4" t="s">
        <v>925</v>
      </c>
      <c r="AX281" s="4" t="s">
        <v>926</v>
      </c>
      <c r="AY281" s="4" t="n">
        <v>8</v>
      </c>
      <c r="AZ281" s="4" t="s">
        <v>62</v>
      </c>
      <c r="BA281" s="4" t="s">
        <v>918</v>
      </c>
      <c r="BB281" s="4" t="s">
        <v>760</v>
      </c>
      <c r="BC281" s="6" t="n">
        <v>0.4211</v>
      </c>
      <c r="BD281" s="4" t="n">
        <v>93</v>
      </c>
    </row>
    <row r="282" customFormat="false" ht="285.05" hidden="false" customHeight="false" outlineLevel="0" collapsed="false">
      <c r="A282" s="4" t="n">
        <v>124</v>
      </c>
      <c r="B282" s="4" t="s">
        <v>753</v>
      </c>
      <c r="C282" s="4" t="s">
        <v>57</v>
      </c>
      <c r="D282" s="4" t="s">
        <v>754</v>
      </c>
      <c r="E282" s="4" t="s">
        <v>823</v>
      </c>
      <c r="F282" s="4" t="n">
        <v>2208</v>
      </c>
      <c r="G282" s="5" t="s">
        <v>927</v>
      </c>
      <c r="H282" s="5" t="s">
        <v>72</v>
      </c>
      <c r="I282" s="4"/>
      <c r="J282" s="4"/>
      <c r="K282" s="4"/>
      <c r="L282" s="4" t="n">
        <v>20</v>
      </c>
      <c r="M282" s="4" t="n">
        <v>20</v>
      </c>
      <c r="N282" s="4" t="n">
        <v>0</v>
      </c>
      <c r="O282" s="4" t="n">
        <v>18</v>
      </c>
      <c r="P282" s="4" t="n">
        <v>2</v>
      </c>
      <c r="Q282" s="4" t="n">
        <v>5</v>
      </c>
      <c r="R282" s="6" t="n">
        <f aca="false">IF(N(L282)=0,0,O282/L282)</f>
        <v>0.9</v>
      </c>
      <c r="S282" s="4" t="n">
        <f aca="false">IF(R282="","",IF(R282&gt;=0.8,50,IF(R282&gt;=0.5,30,IF(R282&gt;=0.01,10,0))))</f>
        <v>50</v>
      </c>
      <c r="T282" s="4" t="n">
        <f aca="false">IF(TRIM(AI282)="Yes",2.5,0)</f>
        <v>2.5</v>
      </c>
      <c r="U282" s="4" t="n">
        <f aca="false">IF(TRIM(AJ282)="Yes",10,0)</f>
        <v>10</v>
      </c>
      <c r="V282" s="4" t="n">
        <f aca="false">IF(TRIM(AK282)="Yes",5,0)</f>
        <v>5</v>
      </c>
      <c r="W282" s="4" t="n">
        <f aca="false">IF(TRIM(AM282)="Yes",5,0)</f>
        <v>5</v>
      </c>
      <c r="X282" s="4" t="n">
        <f aca="false">IF(OR(TRIM(AN282)="Fully Available",TRIM(AN282)="Not Applicable"),5,IF(TRIM(AN282)="Partially Available",2.5,0))</f>
        <v>5</v>
      </c>
      <c r="Y282" s="4" t="n">
        <f aca="false">IF(TRIM(AO282)="Yes",5,0)</f>
        <v>5</v>
      </c>
      <c r="Z282" s="4" t="n">
        <f aca="false">IF(TRIM(AP282)="Yes",2.5,0)</f>
        <v>2.5</v>
      </c>
      <c r="AA282" s="4" t="n">
        <f aca="false">IF(TRIM(AQ282)="Yes",5,0)</f>
        <v>5</v>
      </c>
      <c r="AB282" s="4" t="n">
        <f aca="false">IF(OR(TRIM(AR282)="Yes",TRIM(AR282)="Not Applicable"),5,0)</f>
        <v>5</v>
      </c>
      <c r="AC282" s="4" t="n">
        <f aca="false">IF(TRIM(AS282)="Excellent",5,IF(TRIM(AS282)="Very Good",4,IF(TRIM(AS282)="Good",3,IF(TRIM(AS282)="Average",2,0))))</f>
        <v>2</v>
      </c>
      <c r="AD282" s="7" t="n">
        <f aca="false">IF(COUNT(S282:AC282)=0,"",SUM(S282:AC282))</f>
        <v>97</v>
      </c>
      <c r="AE282" s="7" t="n">
        <f aca="false">IF(COUNTIF($F$2:F282,F282)=1,IFERROR(AVERAGEIF($F:$F,F282,$AD:$AD),""),"")</f>
        <v>87</v>
      </c>
      <c r="AF282" s="8" t="str">
        <f aca="false">IF(AH282&lt;&gt;"",AH282,IF(AE282="","",IF(AE282&gt;=80,"Excellent",IF(AE282&gt;=70,"Very Good",IF(AE282&gt;=60,"Good",IF(AE282&gt;=50,"Average","Poor"))))))</f>
        <v>Excellent</v>
      </c>
      <c r="AG282" s="5"/>
      <c r="AH282" s="4"/>
      <c r="AI282" s="4" t="s">
        <v>62</v>
      </c>
      <c r="AJ282" s="4" t="s">
        <v>62</v>
      </c>
      <c r="AK282" s="4" t="s">
        <v>62</v>
      </c>
      <c r="AL282" s="4" t="s">
        <v>63</v>
      </c>
      <c r="AM282" s="4" t="s">
        <v>62</v>
      </c>
      <c r="AN282" s="4" t="s">
        <v>64</v>
      </c>
      <c r="AO282" s="4" t="s">
        <v>62</v>
      </c>
      <c r="AP282" s="4" t="s">
        <v>62</v>
      </c>
      <c r="AQ282" s="4" t="s">
        <v>62</v>
      </c>
      <c r="AR282" s="4" t="s">
        <v>73</v>
      </c>
      <c r="AS282" s="4" t="s">
        <v>173</v>
      </c>
      <c r="AT282" s="4" t="n">
        <v>6</v>
      </c>
      <c r="AU282" s="4" t="s">
        <v>66</v>
      </c>
      <c r="AV282" s="4" t="s">
        <v>288</v>
      </c>
      <c r="AW282" s="4" t="s">
        <v>928</v>
      </c>
      <c r="AX282" s="4" t="s">
        <v>519</v>
      </c>
      <c r="AY282" s="4" t="n">
        <v>5</v>
      </c>
      <c r="AZ282" s="4" t="s">
        <v>62</v>
      </c>
      <c r="BA282" s="4" t="s">
        <v>929</v>
      </c>
      <c r="BB282" s="4" t="s">
        <v>760</v>
      </c>
      <c r="BC282" s="6" t="n">
        <v>0.2778</v>
      </c>
      <c r="BD282" s="4" t="n">
        <v>81</v>
      </c>
    </row>
    <row r="283" customFormat="false" ht="285.05" hidden="false" customHeight="false" outlineLevel="0" collapsed="false">
      <c r="A283" s="4"/>
      <c r="B283" s="4" t="s">
        <v>753</v>
      </c>
      <c r="C283" s="4" t="s">
        <v>57</v>
      </c>
      <c r="D283" s="4" t="s">
        <v>754</v>
      </c>
      <c r="E283" s="4" t="s">
        <v>823</v>
      </c>
      <c r="F283" s="4" t="n">
        <v>2208</v>
      </c>
      <c r="G283" s="5" t="s">
        <v>927</v>
      </c>
      <c r="H283" s="5" t="s">
        <v>90</v>
      </c>
      <c r="I283" s="4"/>
      <c r="J283" s="4"/>
      <c r="K283" s="4"/>
      <c r="L283" s="4" t="n">
        <v>20</v>
      </c>
      <c r="M283" s="4" t="n">
        <v>20</v>
      </c>
      <c r="N283" s="4" t="n">
        <v>0</v>
      </c>
      <c r="O283" s="4" t="n">
        <v>10</v>
      </c>
      <c r="P283" s="4" t="n">
        <v>10</v>
      </c>
      <c r="Q283" s="4" t="n">
        <v>5</v>
      </c>
      <c r="R283" s="6" t="n">
        <f aca="false">IF(N(L283)=0,0,O283/L283)</f>
        <v>0.5</v>
      </c>
      <c r="S283" s="4" t="n">
        <f aca="false">IF(R283="","",IF(R283&gt;=0.8,50,IF(R283&gt;=0.5,30,IF(R283&gt;=0.01,10,0))))</f>
        <v>30</v>
      </c>
      <c r="T283" s="4" t="n">
        <f aca="false">IF(TRIM(AI283)="Yes",2.5,0)</f>
        <v>2.5</v>
      </c>
      <c r="U283" s="4" t="n">
        <f aca="false">IF(TRIM(AJ283)="Yes",10,0)</f>
        <v>10</v>
      </c>
      <c r="V283" s="4" t="n">
        <f aca="false">IF(TRIM(AK283)="Yes",5,0)</f>
        <v>5</v>
      </c>
      <c r="W283" s="4" t="n">
        <f aca="false">IF(TRIM(AM283)="Yes",5,0)</f>
        <v>5</v>
      </c>
      <c r="X283" s="4" t="n">
        <f aca="false">IF(OR(TRIM(AN283)="Fully Available",TRIM(AN283)="Not Applicable"),5,IF(TRIM(AN283)="Partially Available",2.5,0))</f>
        <v>5</v>
      </c>
      <c r="Y283" s="4" t="n">
        <f aca="false">IF(TRIM(AO283)="Yes",5,0)</f>
        <v>5</v>
      </c>
      <c r="Z283" s="4" t="n">
        <f aca="false">IF(TRIM(AP283)="Yes",2.5,0)</f>
        <v>2.5</v>
      </c>
      <c r="AA283" s="4" t="n">
        <f aca="false">IF(TRIM(AQ283)="Yes",5,0)</f>
        <v>5</v>
      </c>
      <c r="AB283" s="4" t="n">
        <f aca="false">IF(OR(TRIM(AR283)="Yes",TRIM(AR283)="Not Applicable"),5,0)</f>
        <v>5</v>
      </c>
      <c r="AC283" s="4" t="n">
        <f aca="false">IF(TRIM(AS283)="Excellent",5,IF(TRIM(AS283)="Very Good",4,IF(TRIM(AS283)="Good",3,IF(TRIM(AS283)="Average",2,0))))</f>
        <v>2</v>
      </c>
      <c r="AD283" s="7" t="n">
        <f aca="false">IF(COUNT(S283:AC283)=0,"",SUM(S283:AC283))</f>
        <v>77</v>
      </c>
      <c r="AE283" s="7"/>
      <c r="AF283" s="8"/>
      <c r="AG283" s="5"/>
      <c r="AH283" s="4"/>
      <c r="AI283" s="4" t="s">
        <v>62</v>
      </c>
      <c r="AJ283" s="4" t="s">
        <v>62</v>
      </c>
      <c r="AK283" s="4" t="s">
        <v>62</v>
      </c>
      <c r="AL283" s="4" t="s">
        <v>63</v>
      </c>
      <c r="AM283" s="4" t="s">
        <v>62</v>
      </c>
      <c r="AN283" s="4" t="s">
        <v>64</v>
      </c>
      <c r="AO283" s="4" t="s">
        <v>62</v>
      </c>
      <c r="AP283" s="4" t="s">
        <v>62</v>
      </c>
      <c r="AQ283" s="4" t="s">
        <v>62</v>
      </c>
      <c r="AR283" s="4" t="s">
        <v>73</v>
      </c>
      <c r="AS283" s="4" t="s">
        <v>173</v>
      </c>
      <c r="AT283" s="4" t="n">
        <v>5</v>
      </c>
      <c r="AU283" s="4" t="s">
        <v>66</v>
      </c>
      <c r="AV283" s="4" t="s">
        <v>288</v>
      </c>
      <c r="AW283" s="4" t="s">
        <v>930</v>
      </c>
      <c r="AX283" s="4" t="s">
        <v>931</v>
      </c>
      <c r="AY283" s="4" t="n">
        <v>5</v>
      </c>
      <c r="AZ283" s="4" t="s">
        <v>62</v>
      </c>
      <c r="BA283" s="4" t="s">
        <v>929</v>
      </c>
      <c r="BB283" s="4" t="s">
        <v>760</v>
      </c>
      <c r="BC283" s="6" t="n">
        <v>0.5</v>
      </c>
      <c r="BD283" s="4" t="n">
        <v>81</v>
      </c>
    </row>
    <row r="284" customFormat="false" ht="129.1" hidden="false" customHeight="false" outlineLevel="0" collapsed="false">
      <c r="A284" s="4" t="n">
        <v>125</v>
      </c>
      <c r="B284" s="4" t="s">
        <v>753</v>
      </c>
      <c r="C284" s="4" t="s">
        <v>57</v>
      </c>
      <c r="D284" s="4" t="s">
        <v>754</v>
      </c>
      <c r="E284" s="4" t="s">
        <v>828</v>
      </c>
      <c r="F284" s="4" t="n">
        <v>5635</v>
      </c>
      <c r="G284" s="5" t="s">
        <v>932</v>
      </c>
      <c r="H284" s="5" t="s">
        <v>238</v>
      </c>
      <c r="I284" s="4"/>
      <c r="J284" s="4"/>
      <c r="K284" s="4"/>
      <c r="L284" s="4" t="n">
        <v>20</v>
      </c>
      <c r="M284" s="4" t="n">
        <v>20</v>
      </c>
      <c r="N284" s="4" t="n">
        <v>0</v>
      </c>
      <c r="O284" s="4" t="n">
        <v>14</v>
      </c>
      <c r="P284" s="4" t="n">
        <v>6</v>
      </c>
      <c r="Q284" s="4" t="n">
        <v>5</v>
      </c>
      <c r="R284" s="6" t="n">
        <f aca="false">IF(N(L284)=0,0,O284/L284)</f>
        <v>0.7</v>
      </c>
      <c r="S284" s="4" t="n">
        <f aca="false">IF(R284="","",IF(R284&gt;=0.8,50,IF(R284&gt;=0.5,30,IF(R284&gt;=0.01,10,0))))</f>
        <v>30</v>
      </c>
      <c r="T284" s="4" t="n">
        <f aca="false">IF(TRIM(AI284)="Yes",2.5,0)</f>
        <v>2.5</v>
      </c>
      <c r="U284" s="4" t="n">
        <f aca="false">IF(TRIM(AJ284)="Yes",10,0)</f>
        <v>10</v>
      </c>
      <c r="V284" s="4" t="n">
        <f aca="false">IF(TRIM(AK284)="Yes",5,0)</f>
        <v>5</v>
      </c>
      <c r="W284" s="4" t="n">
        <f aca="false">IF(TRIM(AM284)="Yes",5,0)</f>
        <v>5</v>
      </c>
      <c r="X284" s="4" t="n">
        <f aca="false">IF(OR(TRIM(AN284)="Fully Available",TRIM(AN284)="Not Applicable"),5,IF(TRIM(AN284)="Partially Available",2.5,0))</f>
        <v>5</v>
      </c>
      <c r="Y284" s="4" t="n">
        <f aca="false">IF(TRIM(AO284)="Yes",5,0)</f>
        <v>5</v>
      </c>
      <c r="Z284" s="4" t="n">
        <f aca="false">IF(TRIM(AP284)="Yes",2.5,0)</f>
        <v>2.5</v>
      </c>
      <c r="AA284" s="4" t="n">
        <f aca="false">IF(TRIM(AQ284)="Yes",5,0)</f>
        <v>5</v>
      </c>
      <c r="AB284" s="4" t="n">
        <f aca="false">IF(OR(TRIM(AR284)="Yes",TRIM(AR284)="Not Applicable"),5,0)</f>
        <v>5</v>
      </c>
      <c r="AC284" s="4" t="n">
        <f aca="false">IF(TRIM(AS284)="Excellent",5,IF(TRIM(AS284)="Very Good",4,IF(TRIM(AS284)="Good",3,IF(TRIM(AS284)="Average",2,0))))</f>
        <v>3</v>
      </c>
      <c r="AD284" s="7" t="n">
        <f aca="false">IF(COUNT(S284:AC284)=0,"",SUM(S284:AC284))</f>
        <v>78</v>
      </c>
      <c r="AE284" s="7" t="n">
        <f aca="false">IF(COUNTIF($F$2:F284,F284)=1,IFERROR(AVERAGEIF($F:$F,F284,$AD:$AD),""),"")</f>
        <v>86.75</v>
      </c>
      <c r="AF284" s="8" t="str">
        <f aca="false">IF(AH284&lt;&gt;"",AH284,IF(AE284="","",IF(AE284&gt;=80,"Excellent",IF(AE284&gt;=70,"Very Good",IF(AE284&gt;=60,"Good",IF(AE284&gt;=50,"Average","Poor"))))))</f>
        <v>Excellent</v>
      </c>
      <c r="AG284" s="5"/>
      <c r="AH284" s="4"/>
      <c r="AI284" s="4" t="s">
        <v>62</v>
      </c>
      <c r="AJ284" s="4" t="s">
        <v>62</v>
      </c>
      <c r="AK284" s="4" t="s">
        <v>62</v>
      </c>
      <c r="AL284" s="4" t="s">
        <v>63</v>
      </c>
      <c r="AM284" s="4" t="s">
        <v>62</v>
      </c>
      <c r="AN284" s="4" t="s">
        <v>64</v>
      </c>
      <c r="AO284" s="4" t="s">
        <v>62</v>
      </c>
      <c r="AP284" s="4" t="s">
        <v>62</v>
      </c>
      <c r="AQ284" s="4" t="s">
        <v>62</v>
      </c>
      <c r="AR284" s="4" t="s">
        <v>62</v>
      </c>
      <c r="AS284" s="4" t="s">
        <v>185</v>
      </c>
      <c r="AT284" s="4" t="n">
        <v>11</v>
      </c>
      <c r="AU284" s="4" t="s">
        <v>66</v>
      </c>
      <c r="AV284" s="4" t="s">
        <v>244</v>
      </c>
      <c r="AW284" s="4" t="s">
        <v>933</v>
      </c>
      <c r="AX284" s="4" t="s">
        <v>934</v>
      </c>
      <c r="AY284" s="4" t="n">
        <v>3</v>
      </c>
      <c r="AZ284" s="4" t="s">
        <v>62</v>
      </c>
      <c r="BA284" s="4" t="s">
        <v>935</v>
      </c>
      <c r="BB284" s="4" t="s">
        <v>760</v>
      </c>
      <c r="BC284" s="6" t="n">
        <v>0.3571</v>
      </c>
      <c r="BD284" s="4" t="n">
        <v>91</v>
      </c>
    </row>
    <row r="285" customFormat="false" ht="129.1" hidden="false" customHeight="false" outlineLevel="0" collapsed="false">
      <c r="A285" s="4"/>
      <c r="B285" s="4" t="s">
        <v>753</v>
      </c>
      <c r="C285" s="4" t="s">
        <v>57</v>
      </c>
      <c r="D285" s="4" t="s">
        <v>754</v>
      </c>
      <c r="E285" s="4" t="s">
        <v>828</v>
      </c>
      <c r="F285" s="4" t="n">
        <v>5635</v>
      </c>
      <c r="G285" s="5" t="s">
        <v>932</v>
      </c>
      <c r="H285" s="5" t="s">
        <v>177</v>
      </c>
      <c r="I285" s="4"/>
      <c r="J285" s="4"/>
      <c r="K285" s="4"/>
      <c r="L285" s="4" t="n">
        <v>20</v>
      </c>
      <c r="M285" s="4" t="n">
        <v>20</v>
      </c>
      <c r="N285" s="4" t="n">
        <v>0</v>
      </c>
      <c r="O285" s="4" t="n">
        <v>12</v>
      </c>
      <c r="P285" s="4" t="n">
        <v>8</v>
      </c>
      <c r="Q285" s="4" t="n">
        <v>7</v>
      </c>
      <c r="R285" s="6" t="n">
        <f aca="false">IF(N(L285)=0,0,O285/L285)</f>
        <v>0.6</v>
      </c>
      <c r="S285" s="4" t="n">
        <f aca="false">IF(R285="","",IF(R285&gt;=0.8,50,IF(R285&gt;=0.5,30,IF(R285&gt;=0.01,10,0))))</f>
        <v>30</v>
      </c>
      <c r="T285" s="4" t="n">
        <f aca="false">IF(TRIM(AI285)="Yes",2.5,0)</f>
        <v>2.5</v>
      </c>
      <c r="U285" s="4" t="n">
        <f aca="false">IF(TRIM(AJ285)="Yes",10,0)</f>
        <v>10</v>
      </c>
      <c r="V285" s="4" t="n">
        <f aca="false">IF(TRIM(AK285)="Yes",5,0)</f>
        <v>5</v>
      </c>
      <c r="W285" s="4" t="n">
        <f aca="false">IF(TRIM(AM285)="Yes",5,0)</f>
        <v>5</v>
      </c>
      <c r="X285" s="4" t="n">
        <f aca="false">IF(OR(TRIM(AN285)="Fully Available",TRIM(AN285)="Not Applicable"),5,IF(TRIM(AN285)="Partially Available",2.5,0))</f>
        <v>5</v>
      </c>
      <c r="Y285" s="4" t="n">
        <f aca="false">IF(TRIM(AO285)="Yes",5,0)</f>
        <v>5</v>
      </c>
      <c r="Z285" s="4" t="n">
        <f aca="false">IF(TRIM(AP285)="Yes",2.5,0)</f>
        <v>2.5</v>
      </c>
      <c r="AA285" s="4" t="n">
        <f aca="false">IF(TRIM(AQ285)="Yes",5,0)</f>
        <v>5</v>
      </c>
      <c r="AB285" s="4" t="n">
        <f aca="false">IF(OR(TRIM(AR285)="Yes",TRIM(AR285)="Not Applicable"),5,0)</f>
        <v>5</v>
      </c>
      <c r="AC285" s="4" t="n">
        <f aca="false">IF(TRIM(AS285)="Excellent",5,IF(TRIM(AS285)="Very Good",4,IF(TRIM(AS285)="Good",3,IF(TRIM(AS285)="Average",2,0))))</f>
        <v>3</v>
      </c>
      <c r="AD285" s="7" t="n">
        <f aca="false">IF(COUNT(S285:AC285)=0,"",SUM(S285:AC285))</f>
        <v>78</v>
      </c>
      <c r="AE285" s="7"/>
      <c r="AF285" s="8"/>
      <c r="AG285" s="5"/>
      <c r="AH285" s="4"/>
      <c r="AI285" s="4" t="s">
        <v>62</v>
      </c>
      <c r="AJ285" s="4" t="s">
        <v>62</v>
      </c>
      <c r="AK285" s="4" t="s">
        <v>62</v>
      </c>
      <c r="AL285" s="4" t="s">
        <v>63</v>
      </c>
      <c r="AM285" s="4" t="s">
        <v>62</v>
      </c>
      <c r="AN285" s="4" t="s">
        <v>64</v>
      </c>
      <c r="AO285" s="4" t="s">
        <v>62</v>
      </c>
      <c r="AP285" s="4" t="s">
        <v>62</v>
      </c>
      <c r="AQ285" s="4" t="s">
        <v>62</v>
      </c>
      <c r="AR285" s="4" t="s">
        <v>62</v>
      </c>
      <c r="AS285" s="4" t="s">
        <v>185</v>
      </c>
      <c r="AT285" s="4" t="n">
        <v>82</v>
      </c>
      <c r="AU285" s="4" t="s">
        <v>66</v>
      </c>
      <c r="AV285" s="4" t="s">
        <v>244</v>
      </c>
      <c r="AW285" s="4" t="s">
        <v>936</v>
      </c>
      <c r="AX285" s="4" t="s">
        <v>934</v>
      </c>
      <c r="AY285" s="4" t="n">
        <v>6</v>
      </c>
      <c r="AZ285" s="4" t="s">
        <v>62</v>
      </c>
      <c r="BA285" s="4" t="s">
        <v>935</v>
      </c>
      <c r="BB285" s="4" t="s">
        <v>760</v>
      </c>
      <c r="BC285" s="6" t="n">
        <v>0.5833</v>
      </c>
      <c r="BD285" s="4" t="n">
        <v>91</v>
      </c>
    </row>
    <row r="286" customFormat="false" ht="129.1" hidden="false" customHeight="false" outlineLevel="0" collapsed="false">
      <c r="A286" s="4"/>
      <c r="B286" s="4" t="s">
        <v>753</v>
      </c>
      <c r="C286" s="4" t="s">
        <v>57</v>
      </c>
      <c r="D286" s="4" t="s">
        <v>754</v>
      </c>
      <c r="E286" s="4" t="s">
        <v>828</v>
      </c>
      <c r="F286" s="4" t="n">
        <v>5635</v>
      </c>
      <c r="G286" s="5" t="s">
        <v>932</v>
      </c>
      <c r="H286" s="5" t="s">
        <v>72</v>
      </c>
      <c r="I286" s="4"/>
      <c r="J286" s="4"/>
      <c r="K286" s="4"/>
      <c r="L286" s="4" t="n">
        <v>20</v>
      </c>
      <c r="M286" s="4" t="n">
        <v>20</v>
      </c>
      <c r="N286" s="4" t="n">
        <v>0</v>
      </c>
      <c r="O286" s="4" t="n">
        <v>17</v>
      </c>
      <c r="P286" s="4" t="n">
        <v>3</v>
      </c>
      <c r="Q286" s="4" t="n">
        <v>8</v>
      </c>
      <c r="R286" s="6" t="n">
        <f aca="false">IF(N(L286)=0,0,O286/L286)</f>
        <v>0.85</v>
      </c>
      <c r="S286" s="4" t="n">
        <f aca="false">IF(R286="","",IF(R286&gt;=0.8,50,IF(R286&gt;=0.5,30,IF(R286&gt;=0.01,10,0))))</f>
        <v>50</v>
      </c>
      <c r="T286" s="4" t="n">
        <f aca="false">IF(TRIM(AI286)="Yes",2.5,0)</f>
        <v>2.5</v>
      </c>
      <c r="U286" s="4" t="n">
        <f aca="false">IF(TRIM(AJ286)="Yes",10,0)</f>
        <v>10</v>
      </c>
      <c r="V286" s="4" t="n">
        <f aca="false">IF(TRIM(AK286)="Yes",5,0)</f>
        <v>5</v>
      </c>
      <c r="W286" s="4" t="n">
        <f aca="false">IF(TRIM(AM286)="Yes",5,0)</f>
        <v>5</v>
      </c>
      <c r="X286" s="4" t="n">
        <f aca="false">IF(OR(TRIM(AN286)="Fully Available",TRIM(AN286)="Not Applicable"),5,IF(TRIM(AN286)="Partially Available",2.5,0))</f>
        <v>5</v>
      </c>
      <c r="Y286" s="4" t="n">
        <f aca="false">IF(TRIM(AO286)="Yes",5,0)</f>
        <v>5</v>
      </c>
      <c r="Z286" s="4" t="n">
        <f aca="false">IF(TRIM(AP286)="Yes",2.5,0)</f>
        <v>2.5</v>
      </c>
      <c r="AA286" s="4" t="n">
        <f aca="false">IF(TRIM(AQ286)="Yes",5,0)</f>
        <v>5</v>
      </c>
      <c r="AB286" s="4" t="n">
        <f aca="false">IF(OR(TRIM(AR286)="Yes",TRIM(AR286)="Not Applicable"),5,0)</f>
        <v>5</v>
      </c>
      <c r="AC286" s="4" t="n">
        <f aca="false">IF(TRIM(AS286)="Excellent",5,IF(TRIM(AS286)="Very Good",4,IF(TRIM(AS286)="Good",3,IF(TRIM(AS286)="Average",2,0))))</f>
        <v>3</v>
      </c>
      <c r="AD286" s="7" t="n">
        <f aca="false">IF(COUNT(S286:AC286)=0,"",SUM(S286:AC286))</f>
        <v>98</v>
      </c>
      <c r="AE286" s="7"/>
      <c r="AF286" s="8"/>
      <c r="AG286" s="5"/>
      <c r="AH286" s="4"/>
      <c r="AI286" s="4" t="s">
        <v>62</v>
      </c>
      <c r="AJ286" s="4" t="s">
        <v>62</v>
      </c>
      <c r="AK286" s="4" t="s">
        <v>62</v>
      </c>
      <c r="AL286" s="4" t="s">
        <v>63</v>
      </c>
      <c r="AM286" s="4" t="s">
        <v>62</v>
      </c>
      <c r="AN286" s="4" t="s">
        <v>64</v>
      </c>
      <c r="AO286" s="4" t="s">
        <v>62</v>
      </c>
      <c r="AP286" s="4" t="s">
        <v>62</v>
      </c>
      <c r="AQ286" s="4" t="s">
        <v>62</v>
      </c>
      <c r="AR286" s="4" t="s">
        <v>62</v>
      </c>
      <c r="AS286" s="4" t="s">
        <v>185</v>
      </c>
      <c r="AT286" s="4" t="n">
        <v>12</v>
      </c>
      <c r="AU286" s="4" t="s">
        <v>66</v>
      </c>
      <c r="AV286" s="4" t="s">
        <v>244</v>
      </c>
      <c r="AW286" s="4" t="s">
        <v>937</v>
      </c>
      <c r="AX286" s="4" t="s">
        <v>938</v>
      </c>
      <c r="AY286" s="4" t="n">
        <v>3</v>
      </c>
      <c r="AZ286" s="4" t="s">
        <v>62</v>
      </c>
      <c r="BA286" s="4" t="s">
        <v>935</v>
      </c>
      <c r="BB286" s="4" t="s">
        <v>760</v>
      </c>
      <c r="BC286" s="6" t="n">
        <v>0.4706</v>
      </c>
      <c r="BD286" s="4" t="n">
        <v>91</v>
      </c>
    </row>
    <row r="287" customFormat="false" ht="129.1" hidden="false" customHeight="false" outlineLevel="0" collapsed="false">
      <c r="A287" s="4"/>
      <c r="B287" s="4" t="s">
        <v>753</v>
      </c>
      <c r="C287" s="4" t="s">
        <v>57</v>
      </c>
      <c r="D287" s="4" t="s">
        <v>754</v>
      </c>
      <c r="E287" s="4" t="s">
        <v>828</v>
      </c>
      <c r="F287" s="4" t="n">
        <v>5635</v>
      </c>
      <c r="G287" s="5" t="s">
        <v>932</v>
      </c>
      <c r="H287" s="5" t="s">
        <v>261</v>
      </c>
      <c r="I287" s="4"/>
      <c r="J287" s="4"/>
      <c r="K287" s="4"/>
      <c r="L287" s="4" t="n">
        <v>20</v>
      </c>
      <c r="M287" s="4" t="n">
        <v>20</v>
      </c>
      <c r="N287" s="4" t="n">
        <v>0</v>
      </c>
      <c r="O287" s="4" t="n">
        <v>17</v>
      </c>
      <c r="P287" s="4" t="n">
        <v>3</v>
      </c>
      <c r="Q287" s="4" t="n">
        <v>10</v>
      </c>
      <c r="R287" s="6" t="n">
        <f aca="false">IF(N(L287)=0,0,O287/L287)</f>
        <v>0.85</v>
      </c>
      <c r="S287" s="4" t="n">
        <f aca="false">IF(R287="","",IF(R287&gt;=0.8,50,IF(R287&gt;=0.5,30,IF(R287&gt;=0.01,10,0))))</f>
        <v>50</v>
      </c>
      <c r="T287" s="4" t="n">
        <f aca="false">IF(TRIM(AI287)="Yes",2.5,0)</f>
        <v>2.5</v>
      </c>
      <c r="U287" s="4" t="n">
        <f aca="false">IF(TRIM(AJ287)="Yes",10,0)</f>
        <v>10</v>
      </c>
      <c r="V287" s="4" t="n">
        <f aca="false">IF(TRIM(AK287)="Yes",5,0)</f>
        <v>5</v>
      </c>
      <c r="W287" s="4" t="n">
        <f aca="false">IF(TRIM(AM287)="Yes",5,0)</f>
        <v>5</v>
      </c>
      <c r="X287" s="4" t="n">
        <f aca="false">IF(OR(TRIM(AN287)="Fully Available",TRIM(AN287)="Not Applicable"),5,IF(TRIM(AN287)="Partially Available",2.5,0))</f>
        <v>5</v>
      </c>
      <c r="Y287" s="4" t="n">
        <f aca="false">IF(TRIM(AO287)="Yes",5,0)</f>
        <v>5</v>
      </c>
      <c r="Z287" s="4" t="n">
        <f aca="false">IF(TRIM(AP287)="Yes",2.5,0)</f>
        <v>2.5</v>
      </c>
      <c r="AA287" s="4" t="n">
        <f aca="false">IF(TRIM(AQ287)="Yes",5,0)</f>
        <v>0</v>
      </c>
      <c r="AB287" s="4" t="n">
        <f aca="false">IF(OR(TRIM(AR287)="Yes",TRIM(AR287)="Not Applicable"),5,0)</f>
        <v>5</v>
      </c>
      <c r="AC287" s="4" t="n">
        <f aca="false">IF(TRIM(AS287)="Excellent",5,IF(TRIM(AS287)="Very Good",4,IF(TRIM(AS287)="Good",3,IF(TRIM(AS287)="Average",2,0))))</f>
        <v>3</v>
      </c>
      <c r="AD287" s="7" t="n">
        <f aca="false">IF(COUNT(S287:AC287)=0,"",SUM(S287:AC287))</f>
        <v>93</v>
      </c>
      <c r="AE287" s="7"/>
      <c r="AF287" s="8"/>
      <c r="AG287" s="5"/>
      <c r="AH287" s="4"/>
      <c r="AI287" s="4" t="s">
        <v>62</v>
      </c>
      <c r="AJ287" s="4" t="s">
        <v>62</v>
      </c>
      <c r="AK287" s="4" t="s">
        <v>62</v>
      </c>
      <c r="AL287" s="4" t="s">
        <v>63</v>
      </c>
      <c r="AM287" s="4" t="s">
        <v>62</v>
      </c>
      <c r="AN287" s="4" t="s">
        <v>64</v>
      </c>
      <c r="AO287" s="4" t="s">
        <v>62</v>
      </c>
      <c r="AP287" s="4" t="s">
        <v>62</v>
      </c>
      <c r="AQ287" s="4" t="s">
        <v>82</v>
      </c>
      <c r="AR287" s="4" t="s">
        <v>62</v>
      </c>
      <c r="AS287" s="4" t="s">
        <v>185</v>
      </c>
      <c r="AT287" s="4" t="n">
        <v>6</v>
      </c>
      <c r="AU287" s="4" t="s">
        <v>66</v>
      </c>
      <c r="AV287" s="4" t="s">
        <v>244</v>
      </c>
      <c r="AW287" s="4" t="s">
        <v>939</v>
      </c>
      <c r="AX287" s="4" t="s">
        <v>940</v>
      </c>
      <c r="AY287" s="4" t="n">
        <v>3</v>
      </c>
      <c r="AZ287" s="4" t="s">
        <v>62</v>
      </c>
      <c r="BA287" s="4" t="s">
        <v>935</v>
      </c>
      <c r="BB287" s="4" t="s">
        <v>760</v>
      </c>
      <c r="BC287" s="6" t="n">
        <v>0.5882</v>
      </c>
      <c r="BD287" s="4" t="n">
        <v>91</v>
      </c>
    </row>
    <row r="288" customFormat="false" ht="114.9" hidden="false" customHeight="false" outlineLevel="0" collapsed="false">
      <c r="A288" s="4" t="n">
        <v>126</v>
      </c>
      <c r="B288" s="4" t="s">
        <v>753</v>
      </c>
      <c r="C288" s="4" t="s">
        <v>57</v>
      </c>
      <c r="D288" s="4" t="s">
        <v>754</v>
      </c>
      <c r="E288" s="4" t="s">
        <v>828</v>
      </c>
      <c r="F288" s="4" t="n">
        <v>5674</v>
      </c>
      <c r="G288" s="5" t="s">
        <v>941</v>
      </c>
      <c r="H288" s="5" t="s">
        <v>261</v>
      </c>
      <c r="I288" s="4"/>
      <c r="J288" s="4"/>
      <c r="K288" s="4"/>
      <c r="L288" s="4" t="n">
        <v>20</v>
      </c>
      <c r="M288" s="4" t="n">
        <v>20</v>
      </c>
      <c r="N288" s="4" t="n">
        <v>0</v>
      </c>
      <c r="O288" s="4" t="n">
        <v>17</v>
      </c>
      <c r="P288" s="4" t="n">
        <v>3</v>
      </c>
      <c r="Q288" s="4" t="n">
        <v>5</v>
      </c>
      <c r="R288" s="6" t="n">
        <f aca="false">IF(N(L288)=0,0,O288/L288)</f>
        <v>0.85</v>
      </c>
      <c r="S288" s="4" t="n">
        <f aca="false">IF(R288="","",IF(R288&gt;=0.8,50,IF(R288&gt;=0.5,30,IF(R288&gt;=0.01,10,0))))</f>
        <v>50</v>
      </c>
      <c r="T288" s="4" t="n">
        <f aca="false">IF(TRIM(AI288)="Yes",2.5,0)</f>
        <v>2.5</v>
      </c>
      <c r="U288" s="4" t="n">
        <f aca="false">IF(TRIM(AJ288)="Yes",10,0)</f>
        <v>10</v>
      </c>
      <c r="V288" s="4" t="n">
        <f aca="false">IF(TRIM(AK288)="Yes",5,0)</f>
        <v>5</v>
      </c>
      <c r="W288" s="4" t="n">
        <f aca="false">IF(TRIM(AM288)="Yes",5,0)</f>
        <v>5</v>
      </c>
      <c r="X288" s="4" t="n">
        <f aca="false">IF(OR(TRIM(AN288)="Fully Available",TRIM(AN288)="Not Applicable"),5,IF(TRIM(AN288)="Partially Available",2.5,0))</f>
        <v>5</v>
      </c>
      <c r="Y288" s="4" t="n">
        <f aca="false">IF(TRIM(AO288)="Yes",5,0)</f>
        <v>5</v>
      </c>
      <c r="Z288" s="4" t="n">
        <f aca="false">IF(TRIM(AP288)="Yes",2.5,0)</f>
        <v>2.5</v>
      </c>
      <c r="AA288" s="4" t="n">
        <f aca="false">IF(TRIM(AQ288)="Yes",5,0)</f>
        <v>5</v>
      </c>
      <c r="AB288" s="4" t="n">
        <f aca="false">IF(OR(TRIM(AR288)="Yes",TRIM(AR288)="Not Applicable"),5,0)</f>
        <v>5</v>
      </c>
      <c r="AC288" s="4" t="n">
        <f aca="false">IF(TRIM(AS288)="Excellent",5,IF(TRIM(AS288)="Very Good",4,IF(TRIM(AS288)="Good",3,IF(TRIM(AS288)="Average",2,0))))</f>
        <v>4</v>
      </c>
      <c r="AD288" s="7" t="n">
        <f aca="false">IF(COUNT(S288:AC288)=0,"",SUM(S288:AC288))</f>
        <v>99</v>
      </c>
      <c r="AE288" s="7" t="n">
        <f aca="false">IF(COUNTIF($F$2:F288,F288)=1,IFERROR(AVERAGEIF($F:$F,F288,$AD:$AD),""),"")</f>
        <v>99</v>
      </c>
      <c r="AF288" s="8" t="str">
        <f aca="false">IF(AH288&lt;&gt;"",AH288,IF(AE288="","",IF(AE288&gt;=80,"Excellent",IF(AE288&gt;=70,"Very Good",IF(AE288&gt;=60,"Good",IF(AE288&gt;=50,"Average","Poor"))))))</f>
        <v>Excellent</v>
      </c>
      <c r="AG288" s="5"/>
      <c r="AH288" s="4"/>
      <c r="AI288" s="4" t="s">
        <v>62</v>
      </c>
      <c r="AJ288" s="4" t="s">
        <v>62</v>
      </c>
      <c r="AK288" s="4" t="s">
        <v>62</v>
      </c>
      <c r="AL288" s="4" t="s">
        <v>63</v>
      </c>
      <c r="AM288" s="4" t="s">
        <v>62</v>
      </c>
      <c r="AN288" s="4" t="s">
        <v>64</v>
      </c>
      <c r="AO288" s="4" t="s">
        <v>62</v>
      </c>
      <c r="AP288" s="4" t="s">
        <v>62</v>
      </c>
      <c r="AQ288" s="4" t="s">
        <v>62</v>
      </c>
      <c r="AR288" s="4" t="s">
        <v>62</v>
      </c>
      <c r="AS288" s="4" t="s">
        <v>74</v>
      </c>
      <c r="AT288" s="4" t="n">
        <v>20</v>
      </c>
      <c r="AU288" s="4" t="s">
        <v>66</v>
      </c>
      <c r="AV288" s="4" t="s">
        <v>244</v>
      </c>
      <c r="AW288" s="4" t="s">
        <v>942</v>
      </c>
      <c r="AX288" s="4" t="s">
        <v>943</v>
      </c>
      <c r="AY288" s="4" t="n">
        <v>3</v>
      </c>
      <c r="AZ288" s="4" t="s">
        <v>62</v>
      </c>
      <c r="BA288" s="4" t="s">
        <v>944</v>
      </c>
      <c r="BB288" s="4" t="s">
        <v>760</v>
      </c>
      <c r="BC288" s="6" t="n">
        <v>0.2941</v>
      </c>
      <c r="BD288" s="4" t="n">
        <v>93</v>
      </c>
    </row>
    <row r="289" customFormat="false" ht="114.9" hidden="false" customHeight="false" outlineLevel="0" collapsed="false">
      <c r="A289" s="4"/>
      <c r="B289" s="4" t="s">
        <v>753</v>
      </c>
      <c r="C289" s="4" t="s">
        <v>57</v>
      </c>
      <c r="D289" s="4" t="s">
        <v>754</v>
      </c>
      <c r="E289" s="4" t="s">
        <v>828</v>
      </c>
      <c r="F289" s="4" t="n">
        <v>5674</v>
      </c>
      <c r="G289" s="5" t="s">
        <v>941</v>
      </c>
      <c r="H289" s="5" t="s">
        <v>177</v>
      </c>
      <c r="I289" s="4"/>
      <c r="J289" s="4"/>
      <c r="K289" s="4"/>
      <c r="L289" s="4" t="n">
        <v>20</v>
      </c>
      <c r="M289" s="4" t="n">
        <v>20</v>
      </c>
      <c r="N289" s="4" t="n">
        <v>0</v>
      </c>
      <c r="O289" s="4" t="n">
        <v>19</v>
      </c>
      <c r="P289" s="4" t="n">
        <v>1</v>
      </c>
      <c r="Q289" s="4" t="n">
        <v>5</v>
      </c>
      <c r="R289" s="6" t="n">
        <f aca="false">IF(N(L289)=0,0,O289/L289)</f>
        <v>0.95</v>
      </c>
      <c r="S289" s="4" t="n">
        <f aca="false">IF(R289="","",IF(R289&gt;=0.8,50,IF(R289&gt;=0.5,30,IF(R289&gt;=0.01,10,0))))</f>
        <v>50</v>
      </c>
      <c r="T289" s="4" t="n">
        <f aca="false">IF(TRIM(AI289)="Yes",2.5,0)</f>
        <v>2.5</v>
      </c>
      <c r="U289" s="4" t="n">
        <f aca="false">IF(TRIM(AJ289)="Yes",10,0)</f>
        <v>10</v>
      </c>
      <c r="V289" s="4" t="n">
        <f aca="false">IF(TRIM(AK289)="Yes",5,0)</f>
        <v>5</v>
      </c>
      <c r="W289" s="4" t="n">
        <f aca="false">IF(TRIM(AM289)="Yes",5,0)</f>
        <v>5</v>
      </c>
      <c r="X289" s="4" t="n">
        <f aca="false">IF(OR(TRIM(AN289)="Fully Available",TRIM(AN289)="Not Applicable"),5,IF(TRIM(AN289)="Partially Available",2.5,0))</f>
        <v>5</v>
      </c>
      <c r="Y289" s="4" t="n">
        <f aca="false">IF(TRIM(AO289)="Yes",5,0)</f>
        <v>5</v>
      </c>
      <c r="Z289" s="4" t="n">
        <f aca="false">IF(TRIM(AP289)="Yes",2.5,0)</f>
        <v>2.5</v>
      </c>
      <c r="AA289" s="4" t="n">
        <f aca="false">IF(TRIM(AQ289)="Yes",5,0)</f>
        <v>5</v>
      </c>
      <c r="AB289" s="4" t="n">
        <f aca="false">IF(OR(TRIM(AR289)="Yes",TRIM(AR289)="Not Applicable"),5,0)</f>
        <v>5</v>
      </c>
      <c r="AC289" s="4" t="n">
        <f aca="false">IF(TRIM(AS289)="Excellent",5,IF(TRIM(AS289)="Very Good",4,IF(TRIM(AS289)="Good",3,IF(TRIM(AS289)="Average",2,0))))</f>
        <v>4</v>
      </c>
      <c r="AD289" s="7" t="n">
        <f aca="false">IF(COUNT(S289:AC289)=0,"",SUM(S289:AC289))</f>
        <v>99</v>
      </c>
      <c r="AE289" s="7"/>
      <c r="AF289" s="8"/>
      <c r="AG289" s="5"/>
      <c r="AH289" s="4"/>
      <c r="AI289" s="4" t="s">
        <v>62</v>
      </c>
      <c r="AJ289" s="4" t="s">
        <v>62</v>
      </c>
      <c r="AK289" s="4" t="s">
        <v>62</v>
      </c>
      <c r="AL289" s="4" t="s">
        <v>63</v>
      </c>
      <c r="AM289" s="4" t="s">
        <v>62</v>
      </c>
      <c r="AN289" s="4" t="s">
        <v>64</v>
      </c>
      <c r="AO289" s="4" t="s">
        <v>62</v>
      </c>
      <c r="AP289" s="4" t="s">
        <v>62</v>
      </c>
      <c r="AQ289" s="4" t="s">
        <v>62</v>
      </c>
      <c r="AR289" s="4" t="s">
        <v>62</v>
      </c>
      <c r="AS289" s="4" t="s">
        <v>74</v>
      </c>
      <c r="AT289" s="4" t="n">
        <v>5</v>
      </c>
      <c r="AU289" s="4" t="s">
        <v>66</v>
      </c>
      <c r="AV289" s="4" t="s">
        <v>244</v>
      </c>
      <c r="AW289" s="4" t="s">
        <v>945</v>
      </c>
      <c r="AX289" s="4" t="s">
        <v>946</v>
      </c>
      <c r="AY289" s="4" t="n">
        <v>2</v>
      </c>
      <c r="AZ289" s="4" t="s">
        <v>62</v>
      </c>
      <c r="BA289" s="4" t="s">
        <v>944</v>
      </c>
      <c r="BB289" s="4" t="s">
        <v>760</v>
      </c>
      <c r="BC289" s="6" t="n">
        <v>0.2632</v>
      </c>
      <c r="BD289" s="4" t="n">
        <v>93</v>
      </c>
    </row>
    <row r="290" customFormat="false" ht="114.9" hidden="false" customHeight="false" outlineLevel="0" collapsed="false">
      <c r="A290" s="4"/>
      <c r="B290" s="4" t="s">
        <v>753</v>
      </c>
      <c r="C290" s="4" t="s">
        <v>57</v>
      </c>
      <c r="D290" s="4" t="s">
        <v>754</v>
      </c>
      <c r="E290" s="4" t="s">
        <v>828</v>
      </c>
      <c r="F290" s="4" t="n">
        <v>5674</v>
      </c>
      <c r="G290" s="5" t="s">
        <v>941</v>
      </c>
      <c r="H290" s="5" t="s">
        <v>238</v>
      </c>
      <c r="I290" s="4"/>
      <c r="J290" s="4"/>
      <c r="K290" s="4"/>
      <c r="L290" s="4" t="n">
        <v>20</v>
      </c>
      <c r="M290" s="4" t="n">
        <v>20</v>
      </c>
      <c r="N290" s="4" t="n">
        <v>0</v>
      </c>
      <c r="O290" s="4" t="n">
        <v>17</v>
      </c>
      <c r="P290" s="4" t="n">
        <v>3</v>
      </c>
      <c r="Q290" s="4" t="n">
        <v>8</v>
      </c>
      <c r="R290" s="6" t="n">
        <f aca="false">IF(N(L290)=0,0,O290/L290)</f>
        <v>0.85</v>
      </c>
      <c r="S290" s="4" t="n">
        <f aca="false">IF(R290="","",IF(R290&gt;=0.8,50,IF(R290&gt;=0.5,30,IF(R290&gt;=0.01,10,0))))</f>
        <v>50</v>
      </c>
      <c r="T290" s="4" t="n">
        <f aca="false">IF(TRIM(AI290)="Yes",2.5,0)</f>
        <v>2.5</v>
      </c>
      <c r="U290" s="4" t="n">
        <f aca="false">IF(TRIM(AJ290)="Yes",10,0)</f>
        <v>10</v>
      </c>
      <c r="V290" s="4" t="n">
        <f aca="false">IF(TRIM(AK290)="Yes",5,0)</f>
        <v>5</v>
      </c>
      <c r="W290" s="4" t="n">
        <f aca="false">IF(TRIM(AM290)="Yes",5,0)</f>
        <v>5</v>
      </c>
      <c r="X290" s="4" t="n">
        <f aca="false">IF(OR(TRIM(AN290)="Fully Available",TRIM(AN290)="Not Applicable"),5,IF(TRIM(AN290)="Partially Available",2.5,0))</f>
        <v>5</v>
      </c>
      <c r="Y290" s="4" t="n">
        <f aca="false">IF(TRIM(AO290)="Yes",5,0)</f>
        <v>5</v>
      </c>
      <c r="Z290" s="4" t="n">
        <f aca="false">IF(TRIM(AP290)="Yes",2.5,0)</f>
        <v>2.5</v>
      </c>
      <c r="AA290" s="4" t="n">
        <f aca="false">IF(TRIM(AQ290)="Yes",5,0)</f>
        <v>5</v>
      </c>
      <c r="AB290" s="4" t="n">
        <f aca="false">IF(OR(TRIM(AR290)="Yes",TRIM(AR290)="Not Applicable"),5,0)</f>
        <v>5</v>
      </c>
      <c r="AC290" s="4" t="n">
        <f aca="false">IF(TRIM(AS290)="Excellent",5,IF(TRIM(AS290)="Very Good",4,IF(TRIM(AS290)="Good",3,IF(TRIM(AS290)="Average",2,0))))</f>
        <v>4</v>
      </c>
      <c r="AD290" s="7" t="n">
        <f aca="false">IF(COUNT(S290:AC290)=0,"",SUM(S290:AC290))</f>
        <v>99</v>
      </c>
      <c r="AE290" s="7"/>
      <c r="AF290" s="8"/>
      <c r="AG290" s="5"/>
      <c r="AH290" s="4"/>
      <c r="AI290" s="4" t="s">
        <v>62</v>
      </c>
      <c r="AJ290" s="4" t="s">
        <v>62</v>
      </c>
      <c r="AK290" s="4" t="s">
        <v>62</v>
      </c>
      <c r="AL290" s="4" t="s">
        <v>63</v>
      </c>
      <c r="AM290" s="4" t="s">
        <v>62</v>
      </c>
      <c r="AN290" s="4" t="s">
        <v>64</v>
      </c>
      <c r="AO290" s="4" t="s">
        <v>62</v>
      </c>
      <c r="AP290" s="4" t="s">
        <v>62</v>
      </c>
      <c r="AQ290" s="4" t="s">
        <v>62</v>
      </c>
      <c r="AR290" s="4" t="s">
        <v>62</v>
      </c>
      <c r="AS290" s="4" t="s">
        <v>74</v>
      </c>
      <c r="AT290" s="4" t="n">
        <v>20</v>
      </c>
      <c r="AU290" s="4" t="s">
        <v>66</v>
      </c>
      <c r="AV290" s="4" t="s">
        <v>244</v>
      </c>
      <c r="AW290" s="4" t="s">
        <v>947</v>
      </c>
      <c r="AX290" s="4" t="s">
        <v>102</v>
      </c>
      <c r="AY290" s="4" t="n">
        <v>0</v>
      </c>
      <c r="AZ290" s="4" t="s">
        <v>62</v>
      </c>
      <c r="BA290" s="4" t="s">
        <v>944</v>
      </c>
      <c r="BB290" s="4" t="s">
        <v>760</v>
      </c>
      <c r="BC290" s="6" t="n">
        <v>0.4706</v>
      </c>
      <c r="BD290" s="4" t="n">
        <v>93</v>
      </c>
    </row>
    <row r="291" customFormat="false" ht="72.35" hidden="false" customHeight="false" outlineLevel="0" collapsed="false">
      <c r="A291" s="4" t="n">
        <v>127</v>
      </c>
      <c r="B291" s="4" t="s">
        <v>753</v>
      </c>
      <c r="C291" s="4" t="s">
        <v>57</v>
      </c>
      <c r="D291" s="4" t="s">
        <v>754</v>
      </c>
      <c r="E291" s="4" t="s">
        <v>779</v>
      </c>
      <c r="F291" s="4" t="n">
        <v>48</v>
      </c>
      <c r="G291" s="5" t="s">
        <v>948</v>
      </c>
      <c r="H291" s="5" t="s">
        <v>61</v>
      </c>
      <c r="I291" s="4"/>
      <c r="J291" s="4"/>
      <c r="K291" s="4"/>
      <c r="L291" s="4" t="n">
        <v>15</v>
      </c>
      <c r="M291" s="4" t="n">
        <v>15</v>
      </c>
      <c r="N291" s="4" t="n">
        <v>0</v>
      </c>
      <c r="O291" s="4" t="n">
        <v>15</v>
      </c>
      <c r="P291" s="4" t="n">
        <v>0</v>
      </c>
      <c r="Q291" s="4" t="n">
        <v>6</v>
      </c>
      <c r="R291" s="6" t="n">
        <f aca="false">IF(N(L291)=0,0,O291/L291)</f>
        <v>1</v>
      </c>
      <c r="S291" s="4" t="n">
        <f aca="false">IF(R291="","",IF(R291&gt;=0.8,50,IF(R291&gt;=0.5,30,IF(R291&gt;=0.01,10,0))))</f>
        <v>50</v>
      </c>
      <c r="T291" s="4" t="n">
        <f aca="false">IF(TRIM(AI291)="Yes",2.5,0)</f>
        <v>2.5</v>
      </c>
      <c r="U291" s="4" t="n">
        <f aca="false">IF(TRIM(AJ291)="Yes",10,0)</f>
        <v>0</v>
      </c>
      <c r="V291" s="4" t="n">
        <f aca="false">IF(TRIM(AK291)="Yes",5,0)</f>
        <v>5</v>
      </c>
      <c r="W291" s="4" t="n">
        <f aca="false">IF(TRIM(AM291)="Yes",5,0)</f>
        <v>5</v>
      </c>
      <c r="X291" s="4" t="n">
        <f aca="false">IF(OR(TRIM(AN291)="Fully Available",TRIM(AN291)="Not Applicable"),5,IF(TRIM(AN291)="Partially Available",2.5,0))</f>
        <v>5</v>
      </c>
      <c r="Y291" s="4" t="n">
        <f aca="false">IF(TRIM(AO291)="Yes",5,0)</f>
        <v>5</v>
      </c>
      <c r="Z291" s="4" t="n">
        <f aca="false">IF(TRIM(AP291)="Yes",2.5,0)</f>
        <v>2.5</v>
      </c>
      <c r="AA291" s="4" t="n">
        <f aca="false">IF(TRIM(AQ291)="Yes",5,0)</f>
        <v>5</v>
      </c>
      <c r="AB291" s="4" t="n">
        <f aca="false">IF(OR(TRIM(AR291)="Yes",TRIM(AR291)="Not Applicable"),5,0)</f>
        <v>5</v>
      </c>
      <c r="AC291" s="4" t="n">
        <f aca="false">IF(TRIM(AS291)="Excellent",5,IF(TRIM(AS291)="Very Good",4,IF(TRIM(AS291)="Good",3,IF(TRIM(AS291)="Average",2,0))))</f>
        <v>4</v>
      </c>
      <c r="AD291" s="7" t="n">
        <f aca="false">IF(COUNT(S291:AC291)=0,"",SUM(S291:AC291))</f>
        <v>89</v>
      </c>
      <c r="AE291" s="7" t="n">
        <f aca="false">IF(COUNTIF($F$2:F291,F291)=1,IFERROR(AVERAGEIF($F:$F,F291,$AD:$AD),""),"")</f>
        <v>89</v>
      </c>
      <c r="AF291" s="8" t="str">
        <f aca="false">IF(AH291&lt;&gt;"",AH291,IF(AE291="","",IF(AE291&gt;=80,"Excellent",IF(AE291&gt;=70,"Very Good",IF(AE291&gt;=60,"Good",IF(AE291&gt;=50,"Average","Poor"))))))</f>
        <v>Excellent</v>
      </c>
      <c r="AG291" s="5"/>
      <c r="AH291" s="4"/>
      <c r="AI291" s="4" t="s">
        <v>62</v>
      </c>
      <c r="AJ291" s="4" t="s">
        <v>82</v>
      </c>
      <c r="AK291" s="4" t="s">
        <v>62</v>
      </c>
      <c r="AL291" s="4" t="s">
        <v>63</v>
      </c>
      <c r="AM291" s="4" t="s">
        <v>62</v>
      </c>
      <c r="AN291" s="4" t="s">
        <v>64</v>
      </c>
      <c r="AO291" s="4" t="s">
        <v>62</v>
      </c>
      <c r="AP291" s="4" t="s">
        <v>62</v>
      </c>
      <c r="AQ291" s="4" t="s">
        <v>62</v>
      </c>
      <c r="AR291" s="4" t="s">
        <v>62</v>
      </c>
      <c r="AS291" s="4" t="s">
        <v>74</v>
      </c>
      <c r="AT291" s="4" t="n">
        <v>9</v>
      </c>
      <c r="AU291" s="4" t="s">
        <v>66</v>
      </c>
      <c r="AV291" s="4" t="s">
        <v>639</v>
      </c>
      <c r="AW291" s="4" t="s">
        <v>949</v>
      </c>
      <c r="AX291" s="4" t="s">
        <v>950</v>
      </c>
      <c r="AY291" s="4" t="n">
        <v>6</v>
      </c>
      <c r="AZ291" s="4" t="s">
        <v>62</v>
      </c>
      <c r="BA291" s="4" t="s">
        <v>951</v>
      </c>
      <c r="BB291" s="4" t="s">
        <v>760</v>
      </c>
      <c r="BC291" s="6" t="n">
        <v>0.4</v>
      </c>
      <c r="BD291" s="4" t="n">
        <v>93</v>
      </c>
    </row>
    <row r="292" customFormat="false" ht="72.35" hidden="false" customHeight="false" outlineLevel="0" collapsed="false">
      <c r="A292" s="4"/>
      <c r="B292" s="4" t="s">
        <v>753</v>
      </c>
      <c r="C292" s="4" t="s">
        <v>57</v>
      </c>
      <c r="D292" s="4" t="s">
        <v>754</v>
      </c>
      <c r="E292" s="4" t="s">
        <v>779</v>
      </c>
      <c r="F292" s="4" t="n">
        <v>48</v>
      </c>
      <c r="G292" s="5" t="s">
        <v>948</v>
      </c>
      <c r="H292" s="5" t="s">
        <v>190</v>
      </c>
      <c r="I292" s="4"/>
      <c r="J292" s="4"/>
      <c r="K292" s="4"/>
      <c r="L292" s="4" t="n">
        <v>20</v>
      </c>
      <c r="M292" s="4" t="n">
        <v>20</v>
      </c>
      <c r="N292" s="4" t="n">
        <v>0</v>
      </c>
      <c r="O292" s="4" t="n">
        <v>20</v>
      </c>
      <c r="P292" s="4" t="n">
        <v>0</v>
      </c>
      <c r="Q292" s="4" t="n">
        <v>7</v>
      </c>
      <c r="R292" s="6" t="n">
        <f aca="false">IF(N(L292)=0,0,O292/L292)</f>
        <v>1</v>
      </c>
      <c r="S292" s="4" t="n">
        <f aca="false">IF(R292="","",IF(R292&gt;=0.8,50,IF(R292&gt;=0.5,30,IF(R292&gt;=0.01,10,0))))</f>
        <v>50</v>
      </c>
      <c r="T292" s="4" t="n">
        <f aca="false">IF(TRIM(AI292)="Yes",2.5,0)</f>
        <v>2.5</v>
      </c>
      <c r="U292" s="4" t="n">
        <f aca="false">IF(TRIM(AJ292)="Yes",10,0)</f>
        <v>0</v>
      </c>
      <c r="V292" s="4" t="n">
        <f aca="false">IF(TRIM(AK292)="Yes",5,0)</f>
        <v>5</v>
      </c>
      <c r="W292" s="4" t="n">
        <f aca="false">IF(TRIM(AM292)="Yes",5,0)</f>
        <v>5</v>
      </c>
      <c r="X292" s="4" t="n">
        <f aca="false">IF(OR(TRIM(AN292)="Fully Available",TRIM(AN292)="Not Applicable"),5,IF(TRIM(AN292)="Partially Available",2.5,0))</f>
        <v>5</v>
      </c>
      <c r="Y292" s="4" t="n">
        <f aca="false">IF(TRIM(AO292)="Yes",5,0)</f>
        <v>5</v>
      </c>
      <c r="Z292" s="4" t="n">
        <f aca="false">IF(TRIM(AP292)="Yes",2.5,0)</f>
        <v>2.5</v>
      </c>
      <c r="AA292" s="4" t="n">
        <f aca="false">IF(TRIM(AQ292)="Yes",5,0)</f>
        <v>5</v>
      </c>
      <c r="AB292" s="4" t="n">
        <f aca="false">IF(OR(TRIM(AR292)="Yes",TRIM(AR292)="Not Applicable"),5,0)</f>
        <v>5</v>
      </c>
      <c r="AC292" s="4" t="n">
        <f aca="false">IF(TRIM(AS292)="Excellent",5,IF(TRIM(AS292)="Very Good",4,IF(TRIM(AS292)="Good",3,IF(TRIM(AS292)="Average",2,0))))</f>
        <v>4</v>
      </c>
      <c r="AD292" s="7" t="n">
        <f aca="false">IF(COUNT(S292:AC292)=0,"",SUM(S292:AC292))</f>
        <v>89</v>
      </c>
      <c r="AE292" s="7"/>
      <c r="AF292" s="8"/>
      <c r="AG292" s="5"/>
      <c r="AH292" s="4"/>
      <c r="AI292" s="4" t="s">
        <v>62</v>
      </c>
      <c r="AJ292" s="4" t="s">
        <v>82</v>
      </c>
      <c r="AK292" s="4" t="s">
        <v>62</v>
      </c>
      <c r="AL292" s="4" t="s">
        <v>63</v>
      </c>
      <c r="AM292" s="4" t="s">
        <v>62</v>
      </c>
      <c r="AN292" s="4" t="s">
        <v>64</v>
      </c>
      <c r="AO292" s="4" t="s">
        <v>62</v>
      </c>
      <c r="AP292" s="4" t="s">
        <v>62</v>
      </c>
      <c r="AQ292" s="4" t="s">
        <v>62</v>
      </c>
      <c r="AR292" s="4" t="s">
        <v>62</v>
      </c>
      <c r="AS292" s="4" t="s">
        <v>74</v>
      </c>
      <c r="AT292" s="4" t="n">
        <v>13</v>
      </c>
      <c r="AU292" s="4" t="s">
        <v>112</v>
      </c>
      <c r="AV292" s="4" t="s">
        <v>639</v>
      </c>
      <c r="AW292" s="4" t="s">
        <v>952</v>
      </c>
      <c r="AX292" s="4" t="s">
        <v>924</v>
      </c>
      <c r="AY292" s="4" t="n">
        <v>11</v>
      </c>
      <c r="AZ292" s="4" t="s">
        <v>62</v>
      </c>
      <c r="BA292" s="4" t="s">
        <v>951</v>
      </c>
      <c r="BB292" s="4" t="s">
        <v>760</v>
      </c>
      <c r="BC292" s="6" t="n">
        <v>0.35</v>
      </c>
      <c r="BD292" s="4" t="n">
        <v>93</v>
      </c>
    </row>
    <row r="293" customFormat="false" ht="86.55" hidden="false" customHeight="false" outlineLevel="0" collapsed="false">
      <c r="A293" s="4" t="n">
        <v>128</v>
      </c>
      <c r="B293" s="4" t="s">
        <v>753</v>
      </c>
      <c r="C293" s="4" t="s">
        <v>57</v>
      </c>
      <c r="D293" s="4" t="s">
        <v>754</v>
      </c>
      <c r="E293" s="4" t="s">
        <v>755</v>
      </c>
      <c r="F293" s="4" t="n">
        <v>4086</v>
      </c>
      <c r="G293" s="5" t="s">
        <v>953</v>
      </c>
      <c r="H293" s="5" t="s">
        <v>238</v>
      </c>
      <c r="I293" s="4"/>
      <c r="J293" s="4"/>
      <c r="K293" s="4"/>
      <c r="L293" s="4" t="n">
        <v>20</v>
      </c>
      <c r="M293" s="4" t="n">
        <v>18</v>
      </c>
      <c r="N293" s="4" t="n">
        <v>2</v>
      </c>
      <c r="O293" s="4" t="n">
        <v>18</v>
      </c>
      <c r="P293" s="4" t="n">
        <v>0</v>
      </c>
      <c r="Q293" s="4" t="n">
        <v>5</v>
      </c>
      <c r="R293" s="6" t="n">
        <f aca="false">IF(N(L293)=0,0,O293/L293)</f>
        <v>0.9</v>
      </c>
      <c r="S293" s="4" t="n">
        <f aca="false">IF(R293="","",IF(R293&gt;=0.8,50,IF(R293&gt;=0.5,30,IF(R293&gt;=0.01,10,0))))</f>
        <v>50</v>
      </c>
      <c r="T293" s="4" t="n">
        <f aca="false">IF(TRIM(AI293)="Yes",2.5,0)</f>
        <v>2.5</v>
      </c>
      <c r="U293" s="4" t="n">
        <f aca="false">IF(TRIM(AJ293)="Yes",10,0)</f>
        <v>10</v>
      </c>
      <c r="V293" s="4" t="n">
        <f aca="false">IF(TRIM(AK293)="Yes",5,0)</f>
        <v>5</v>
      </c>
      <c r="W293" s="4" t="n">
        <f aca="false">IF(TRIM(AM293)="Yes",5,0)</f>
        <v>5</v>
      </c>
      <c r="X293" s="4" t="n">
        <f aca="false">IF(OR(TRIM(AN293)="Fully Available",TRIM(AN293)="Not Applicable"),5,IF(TRIM(AN293)="Partially Available",2.5,0))</f>
        <v>5</v>
      </c>
      <c r="Y293" s="4" t="n">
        <f aca="false">IF(TRIM(AO293)="Yes",5,0)</f>
        <v>5</v>
      </c>
      <c r="Z293" s="4" t="n">
        <f aca="false">IF(TRIM(AP293)="Yes",2.5,0)</f>
        <v>2.5</v>
      </c>
      <c r="AA293" s="4" t="n">
        <f aca="false">IF(TRIM(AQ293)="Yes",5,0)</f>
        <v>5</v>
      </c>
      <c r="AB293" s="4" t="n">
        <f aca="false">IF(OR(TRIM(AR293)="Yes",TRIM(AR293)="Not Applicable"),5,0)</f>
        <v>5</v>
      </c>
      <c r="AC293" s="4" t="n">
        <f aca="false">IF(TRIM(AS293)="Excellent",5,IF(TRIM(AS293)="Very Good",4,IF(TRIM(AS293)="Good",3,IF(TRIM(AS293)="Average",2,0))))</f>
        <v>4</v>
      </c>
      <c r="AD293" s="7" t="n">
        <f aca="false">IF(COUNT(S293:AC293)=0,"",SUM(S293:AC293))</f>
        <v>99</v>
      </c>
      <c r="AE293" s="7" t="n">
        <f aca="false">IF(COUNTIF($F$2:F293,F293)=1,IFERROR(AVERAGEIF($F:$F,F293,$AD:$AD),""),"")</f>
        <v>92.3333333333333</v>
      </c>
      <c r="AF293" s="8" t="str">
        <f aca="false">IF(AH293&lt;&gt;"",AH293,IF(AE293="","",IF(AE293&gt;=80,"Excellent",IF(AE293&gt;=70,"Very Good",IF(AE293&gt;=60,"Good",IF(AE293&gt;=50,"Average","Poor"))))))</f>
        <v>Excellent</v>
      </c>
      <c r="AG293" s="5"/>
      <c r="AH293" s="4"/>
      <c r="AI293" s="4" t="s">
        <v>62</v>
      </c>
      <c r="AJ293" s="4" t="s">
        <v>62</v>
      </c>
      <c r="AK293" s="4" t="s">
        <v>62</v>
      </c>
      <c r="AL293" s="4" t="s">
        <v>63</v>
      </c>
      <c r="AM293" s="4" t="s">
        <v>62</v>
      </c>
      <c r="AN293" s="4" t="s">
        <v>64</v>
      </c>
      <c r="AO293" s="4" t="s">
        <v>62</v>
      </c>
      <c r="AP293" s="4" t="s">
        <v>62</v>
      </c>
      <c r="AQ293" s="4" t="s">
        <v>62</v>
      </c>
      <c r="AR293" s="4" t="s">
        <v>62</v>
      </c>
      <c r="AS293" s="4" t="s">
        <v>74</v>
      </c>
      <c r="AT293" s="4" t="n">
        <v>6</v>
      </c>
      <c r="AU293" s="4" t="s">
        <v>66</v>
      </c>
      <c r="AV293" s="4" t="s">
        <v>91</v>
      </c>
      <c r="AW293" s="4" t="s">
        <v>954</v>
      </c>
      <c r="AX293" s="4" t="s">
        <v>955</v>
      </c>
      <c r="AY293" s="4" t="n">
        <v>5</v>
      </c>
      <c r="AZ293" s="4" t="s">
        <v>62</v>
      </c>
      <c r="BA293" s="4" t="s">
        <v>956</v>
      </c>
      <c r="BB293" s="4" t="s">
        <v>760</v>
      </c>
      <c r="BC293" s="6" t="n">
        <v>0.2778</v>
      </c>
      <c r="BD293" s="4" t="n">
        <v>95</v>
      </c>
    </row>
    <row r="294" customFormat="false" ht="86.55" hidden="false" customHeight="false" outlineLevel="0" collapsed="false">
      <c r="A294" s="4"/>
      <c r="B294" s="4" t="s">
        <v>753</v>
      </c>
      <c r="C294" s="4" t="s">
        <v>57</v>
      </c>
      <c r="D294" s="4" t="s">
        <v>754</v>
      </c>
      <c r="E294" s="4" t="s">
        <v>755</v>
      </c>
      <c r="F294" s="4" t="n">
        <v>4086</v>
      </c>
      <c r="G294" s="5" t="s">
        <v>953</v>
      </c>
      <c r="H294" s="5" t="s">
        <v>309</v>
      </c>
      <c r="I294" s="4"/>
      <c r="J294" s="4"/>
      <c r="K294" s="4"/>
      <c r="L294" s="4" t="n">
        <v>20</v>
      </c>
      <c r="M294" s="4" t="n">
        <v>13</v>
      </c>
      <c r="N294" s="4" t="n">
        <v>7</v>
      </c>
      <c r="O294" s="4" t="n">
        <v>13</v>
      </c>
      <c r="P294" s="4" t="n">
        <v>0</v>
      </c>
      <c r="Q294" s="4" t="n">
        <v>8</v>
      </c>
      <c r="R294" s="6" t="n">
        <f aca="false">IF(N(L294)=0,0,O294/L294)</f>
        <v>0.65</v>
      </c>
      <c r="S294" s="4" t="n">
        <f aca="false">IF(R294="","",IF(R294&gt;=0.8,50,IF(R294&gt;=0.5,30,IF(R294&gt;=0.01,10,0))))</f>
        <v>30</v>
      </c>
      <c r="T294" s="4" t="n">
        <f aca="false">IF(TRIM(AI294)="Yes",2.5,0)</f>
        <v>2.5</v>
      </c>
      <c r="U294" s="4" t="n">
        <f aca="false">IF(TRIM(AJ294)="Yes",10,0)</f>
        <v>10</v>
      </c>
      <c r="V294" s="4" t="n">
        <f aca="false">IF(TRIM(AK294)="Yes",5,0)</f>
        <v>5</v>
      </c>
      <c r="W294" s="4" t="n">
        <f aca="false">IF(TRIM(AM294)="Yes",5,0)</f>
        <v>5</v>
      </c>
      <c r="X294" s="4" t="n">
        <f aca="false">IF(OR(TRIM(AN294)="Fully Available",TRIM(AN294)="Not Applicable"),5,IF(TRIM(AN294)="Partially Available",2.5,0))</f>
        <v>5</v>
      </c>
      <c r="Y294" s="4" t="n">
        <f aca="false">IF(TRIM(AO294)="Yes",5,0)</f>
        <v>5</v>
      </c>
      <c r="Z294" s="4" t="n">
        <f aca="false">IF(TRIM(AP294)="Yes",2.5,0)</f>
        <v>2.5</v>
      </c>
      <c r="AA294" s="4" t="n">
        <f aca="false">IF(TRIM(AQ294)="Yes",5,0)</f>
        <v>5</v>
      </c>
      <c r="AB294" s="4" t="n">
        <f aca="false">IF(OR(TRIM(AR294)="Yes",TRIM(AR294)="Not Applicable"),5,0)</f>
        <v>5</v>
      </c>
      <c r="AC294" s="4" t="n">
        <f aca="false">IF(TRIM(AS294)="Excellent",5,IF(TRIM(AS294)="Very Good",4,IF(TRIM(AS294)="Good",3,IF(TRIM(AS294)="Average",2,0))))</f>
        <v>4</v>
      </c>
      <c r="AD294" s="7" t="n">
        <f aca="false">IF(COUNT(S294:AC294)=0,"",SUM(S294:AC294))</f>
        <v>79</v>
      </c>
      <c r="AE294" s="7"/>
      <c r="AF294" s="8"/>
      <c r="AG294" s="5"/>
      <c r="AH294" s="4"/>
      <c r="AI294" s="4" t="s">
        <v>62</v>
      </c>
      <c r="AJ294" s="4" t="s">
        <v>62</v>
      </c>
      <c r="AK294" s="4" t="s">
        <v>62</v>
      </c>
      <c r="AL294" s="4" t="s">
        <v>63</v>
      </c>
      <c r="AM294" s="4" t="s">
        <v>62</v>
      </c>
      <c r="AN294" s="4" t="s">
        <v>64</v>
      </c>
      <c r="AO294" s="4" t="s">
        <v>62</v>
      </c>
      <c r="AP294" s="4" t="s">
        <v>62</v>
      </c>
      <c r="AQ294" s="4" t="s">
        <v>62</v>
      </c>
      <c r="AR294" s="4" t="s">
        <v>62</v>
      </c>
      <c r="AS294" s="4" t="s">
        <v>74</v>
      </c>
      <c r="AT294" s="4" t="n">
        <v>10</v>
      </c>
      <c r="AU294" s="4" t="s">
        <v>66</v>
      </c>
      <c r="AV294" s="4" t="s">
        <v>91</v>
      </c>
      <c r="AW294" s="4" t="s">
        <v>957</v>
      </c>
      <c r="AX294" s="4" t="s">
        <v>199</v>
      </c>
      <c r="AY294" s="4" t="n">
        <v>3</v>
      </c>
      <c r="AZ294" s="4" t="s">
        <v>62</v>
      </c>
      <c r="BA294" s="4" t="s">
        <v>956</v>
      </c>
      <c r="BB294" s="4" t="s">
        <v>760</v>
      </c>
      <c r="BC294" s="6" t="n">
        <v>0.6154</v>
      </c>
      <c r="BD294" s="4" t="n">
        <v>95</v>
      </c>
    </row>
    <row r="295" customFormat="false" ht="86.55" hidden="false" customHeight="false" outlineLevel="0" collapsed="false">
      <c r="A295" s="4"/>
      <c r="B295" s="4" t="s">
        <v>753</v>
      </c>
      <c r="C295" s="4" t="s">
        <v>57</v>
      </c>
      <c r="D295" s="4" t="s">
        <v>754</v>
      </c>
      <c r="E295" s="4" t="s">
        <v>755</v>
      </c>
      <c r="F295" s="4" t="n">
        <v>4086</v>
      </c>
      <c r="G295" s="5" t="s">
        <v>953</v>
      </c>
      <c r="H295" s="5" t="s">
        <v>177</v>
      </c>
      <c r="I295" s="4"/>
      <c r="J295" s="4"/>
      <c r="K295" s="4"/>
      <c r="L295" s="4" t="n">
        <v>20</v>
      </c>
      <c r="M295" s="4" t="n">
        <v>19</v>
      </c>
      <c r="N295" s="4" t="n">
        <v>1</v>
      </c>
      <c r="O295" s="4" t="n">
        <v>18</v>
      </c>
      <c r="P295" s="4" t="n">
        <v>1</v>
      </c>
      <c r="Q295" s="4" t="n">
        <v>8</v>
      </c>
      <c r="R295" s="6" t="n">
        <f aca="false">IF(N(L295)=0,0,O295/L295)</f>
        <v>0.9</v>
      </c>
      <c r="S295" s="4" t="n">
        <f aca="false">IF(R295="","",IF(R295&gt;=0.8,50,IF(R295&gt;=0.5,30,IF(R295&gt;=0.01,10,0))))</f>
        <v>50</v>
      </c>
      <c r="T295" s="4" t="n">
        <f aca="false">IF(TRIM(AI295)="Yes",2.5,0)</f>
        <v>2.5</v>
      </c>
      <c r="U295" s="4" t="n">
        <f aca="false">IF(TRIM(AJ295)="Yes",10,0)</f>
        <v>10</v>
      </c>
      <c r="V295" s="4" t="n">
        <f aca="false">IF(TRIM(AK295)="Yes",5,0)</f>
        <v>5</v>
      </c>
      <c r="W295" s="4" t="n">
        <f aca="false">IF(TRIM(AM295)="Yes",5,0)</f>
        <v>5</v>
      </c>
      <c r="X295" s="4" t="n">
        <f aca="false">IF(OR(TRIM(AN295)="Fully Available",TRIM(AN295)="Not Applicable"),5,IF(TRIM(AN295)="Partially Available",2.5,0))</f>
        <v>5</v>
      </c>
      <c r="Y295" s="4" t="n">
        <f aca="false">IF(TRIM(AO295)="Yes",5,0)</f>
        <v>5</v>
      </c>
      <c r="Z295" s="4" t="n">
        <f aca="false">IF(TRIM(AP295)="Yes",2.5,0)</f>
        <v>2.5</v>
      </c>
      <c r="AA295" s="4" t="n">
        <f aca="false">IF(TRIM(AQ295)="Yes",5,0)</f>
        <v>5</v>
      </c>
      <c r="AB295" s="4" t="n">
        <f aca="false">IF(OR(TRIM(AR295)="Yes",TRIM(AR295)="Not Applicable"),5,0)</f>
        <v>5</v>
      </c>
      <c r="AC295" s="4" t="n">
        <f aca="false">IF(TRIM(AS295)="Excellent",5,IF(TRIM(AS295)="Very Good",4,IF(TRIM(AS295)="Good",3,IF(TRIM(AS295)="Average",2,0))))</f>
        <v>4</v>
      </c>
      <c r="AD295" s="7" t="n">
        <f aca="false">IF(COUNT(S295:AC295)=0,"",SUM(S295:AC295))</f>
        <v>99</v>
      </c>
      <c r="AE295" s="7"/>
      <c r="AF295" s="8"/>
      <c r="AG295" s="5"/>
      <c r="AH295" s="4"/>
      <c r="AI295" s="4" t="s">
        <v>62</v>
      </c>
      <c r="AJ295" s="4" t="s">
        <v>62</v>
      </c>
      <c r="AK295" s="4" t="s">
        <v>62</v>
      </c>
      <c r="AL295" s="4" t="s">
        <v>63</v>
      </c>
      <c r="AM295" s="4" t="s">
        <v>62</v>
      </c>
      <c r="AN295" s="4" t="s">
        <v>64</v>
      </c>
      <c r="AO295" s="4" t="s">
        <v>62</v>
      </c>
      <c r="AP295" s="4" t="s">
        <v>62</v>
      </c>
      <c r="AQ295" s="4" t="s">
        <v>62</v>
      </c>
      <c r="AR295" s="4" t="s">
        <v>62</v>
      </c>
      <c r="AS295" s="4" t="s">
        <v>74</v>
      </c>
      <c r="AT295" s="4" t="n">
        <v>7</v>
      </c>
      <c r="AU295" s="4" t="s">
        <v>66</v>
      </c>
      <c r="AV295" s="4" t="s">
        <v>91</v>
      </c>
      <c r="AW295" s="4" t="s">
        <v>958</v>
      </c>
      <c r="AX295" s="4" t="s">
        <v>803</v>
      </c>
      <c r="AY295" s="4" t="n">
        <v>5</v>
      </c>
      <c r="AZ295" s="4" t="s">
        <v>62</v>
      </c>
      <c r="BA295" s="4" t="s">
        <v>956</v>
      </c>
      <c r="BB295" s="4" t="s">
        <v>760</v>
      </c>
      <c r="BC295" s="6" t="n">
        <v>0.4444</v>
      </c>
      <c r="BD295" s="4" t="n">
        <v>95</v>
      </c>
    </row>
    <row r="296" customFormat="false" ht="86.55" hidden="false" customHeight="false" outlineLevel="0" collapsed="false">
      <c r="A296" s="4" t="n">
        <v>129</v>
      </c>
      <c r="B296" s="4" t="s">
        <v>753</v>
      </c>
      <c r="C296" s="4" t="s">
        <v>57</v>
      </c>
      <c r="D296" s="4" t="s">
        <v>754</v>
      </c>
      <c r="E296" s="4" t="s">
        <v>823</v>
      </c>
      <c r="F296" s="4" t="n">
        <v>454</v>
      </c>
      <c r="G296" s="5" t="s">
        <v>959</v>
      </c>
      <c r="H296" s="5" t="s">
        <v>450</v>
      </c>
      <c r="I296" s="4"/>
      <c r="J296" s="4"/>
      <c r="K296" s="4"/>
      <c r="L296" s="4" t="n">
        <v>20</v>
      </c>
      <c r="M296" s="4" t="n">
        <v>20</v>
      </c>
      <c r="N296" s="4" t="n">
        <v>0</v>
      </c>
      <c r="O296" s="4" t="n">
        <v>14</v>
      </c>
      <c r="P296" s="4" t="n">
        <v>6</v>
      </c>
      <c r="Q296" s="4" t="n">
        <v>8</v>
      </c>
      <c r="R296" s="6" t="n">
        <f aca="false">IF(N(L296)=0,0,O296/L296)</f>
        <v>0.7</v>
      </c>
      <c r="S296" s="4" t="n">
        <f aca="false">IF(R296="","",IF(R296&gt;=0.8,50,IF(R296&gt;=0.5,30,IF(R296&gt;=0.01,10,0))))</f>
        <v>30</v>
      </c>
      <c r="T296" s="4" t="n">
        <f aca="false">IF(TRIM(AI296)="Yes",2.5,0)</f>
        <v>2.5</v>
      </c>
      <c r="U296" s="4" t="n">
        <f aca="false">IF(TRIM(AJ296)="Yes",10,0)</f>
        <v>10</v>
      </c>
      <c r="V296" s="4" t="n">
        <f aca="false">IF(TRIM(AK296)="Yes",5,0)</f>
        <v>5</v>
      </c>
      <c r="W296" s="4" t="n">
        <f aca="false">IF(TRIM(AM296)="Yes",5,0)</f>
        <v>5</v>
      </c>
      <c r="X296" s="4" t="n">
        <f aca="false">IF(OR(TRIM(AN296)="Fully Available",TRIM(AN296)="Not Applicable"),5,IF(TRIM(AN296)="Partially Available",2.5,0))</f>
        <v>5</v>
      </c>
      <c r="Y296" s="4" t="n">
        <f aca="false">IF(TRIM(AO296)="Yes",5,0)</f>
        <v>5</v>
      </c>
      <c r="Z296" s="4" t="n">
        <f aca="false">IF(TRIM(AP296)="Yes",2.5,0)</f>
        <v>2.5</v>
      </c>
      <c r="AA296" s="4" t="n">
        <f aca="false">IF(TRIM(AQ296)="Yes",5,0)</f>
        <v>5</v>
      </c>
      <c r="AB296" s="4" t="n">
        <f aca="false">IF(OR(TRIM(AR296)="Yes",TRIM(AR296)="Not Applicable"),5,0)</f>
        <v>5</v>
      </c>
      <c r="AC296" s="4" t="n">
        <f aca="false">IF(TRIM(AS296)="Excellent",5,IF(TRIM(AS296)="Very Good",4,IF(TRIM(AS296)="Good",3,IF(TRIM(AS296)="Average",2,0))))</f>
        <v>4</v>
      </c>
      <c r="AD296" s="7" t="n">
        <f aca="false">IF(COUNT(S296:AC296)=0,"",SUM(S296:AC296))</f>
        <v>79</v>
      </c>
      <c r="AE296" s="7" t="n">
        <f aca="false">IF(COUNTIF($F$2:F296,F296)=1,IFERROR(AVERAGEIF($F:$F,F296,$AD:$AD),""),"")</f>
        <v>84.8333333333333</v>
      </c>
      <c r="AF296" s="8" t="str">
        <f aca="false">IF(AH296&lt;&gt;"",AH296,IF(AE296="","",IF(AE296&gt;=80,"Excellent",IF(AE296&gt;=70,"Very Good",IF(AE296&gt;=60,"Good",IF(AE296&gt;=50,"Average","Poor"))))))</f>
        <v>Excellent</v>
      </c>
      <c r="AG296" s="5"/>
      <c r="AH296" s="4"/>
      <c r="AI296" s="4" t="s">
        <v>62</v>
      </c>
      <c r="AJ296" s="4" t="s">
        <v>62</v>
      </c>
      <c r="AK296" s="4" t="s">
        <v>62</v>
      </c>
      <c r="AL296" s="4" t="s">
        <v>63</v>
      </c>
      <c r="AM296" s="4" t="s">
        <v>62</v>
      </c>
      <c r="AN296" s="4" t="s">
        <v>64</v>
      </c>
      <c r="AO296" s="4" t="s">
        <v>62</v>
      </c>
      <c r="AP296" s="4" t="s">
        <v>62</v>
      </c>
      <c r="AQ296" s="4" t="s">
        <v>62</v>
      </c>
      <c r="AR296" s="4" t="s">
        <v>73</v>
      </c>
      <c r="AS296" s="4" t="s">
        <v>74</v>
      </c>
      <c r="AT296" s="4" t="n">
        <v>4</v>
      </c>
      <c r="AU296" s="4" t="s">
        <v>66</v>
      </c>
      <c r="AV296" s="4" t="s">
        <v>128</v>
      </c>
      <c r="AW296" s="4" t="s">
        <v>960</v>
      </c>
      <c r="AX296" s="4" t="s">
        <v>508</v>
      </c>
      <c r="AY296" s="4" t="n">
        <v>17</v>
      </c>
      <c r="AZ296" s="4" t="s">
        <v>62</v>
      </c>
      <c r="BA296" s="4" t="s">
        <v>961</v>
      </c>
      <c r="BB296" s="4" t="s">
        <v>760</v>
      </c>
      <c r="BC296" s="6" t="n">
        <v>0.5714</v>
      </c>
      <c r="BD296" s="4" t="n">
        <v>93</v>
      </c>
    </row>
    <row r="297" customFormat="false" ht="86.55" hidden="false" customHeight="false" outlineLevel="0" collapsed="false">
      <c r="A297" s="4"/>
      <c r="B297" s="4" t="s">
        <v>753</v>
      </c>
      <c r="C297" s="4" t="s">
        <v>57</v>
      </c>
      <c r="D297" s="4" t="s">
        <v>754</v>
      </c>
      <c r="E297" s="4" t="s">
        <v>823</v>
      </c>
      <c r="F297" s="4" t="n">
        <v>454</v>
      </c>
      <c r="G297" s="5" t="s">
        <v>959</v>
      </c>
      <c r="H297" s="5" t="s">
        <v>144</v>
      </c>
      <c r="I297" s="4"/>
      <c r="J297" s="4"/>
      <c r="K297" s="4"/>
      <c r="L297" s="4" t="n">
        <v>60</v>
      </c>
      <c r="M297" s="4" t="n">
        <v>60</v>
      </c>
      <c r="N297" s="4" t="n">
        <v>0</v>
      </c>
      <c r="O297" s="4" t="n">
        <v>45</v>
      </c>
      <c r="P297" s="4" t="n">
        <v>15</v>
      </c>
      <c r="Q297" s="4" t="n">
        <v>22</v>
      </c>
      <c r="R297" s="6" t="n">
        <f aca="false">IF(N(L297)=0,0,O297/L297)</f>
        <v>0.75</v>
      </c>
      <c r="S297" s="4" t="n">
        <f aca="false">IF(R297="","",IF(R297&gt;=0.8,50,IF(R297&gt;=0.5,30,IF(R297&gt;=0.01,10,0))))</f>
        <v>30</v>
      </c>
      <c r="T297" s="4" t="n">
        <f aca="false">IF(TRIM(AI297)="Yes",2.5,0)</f>
        <v>2.5</v>
      </c>
      <c r="U297" s="4" t="n">
        <f aca="false">IF(TRIM(AJ297)="Yes",10,0)</f>
        <v>10</v>
      </c>
      <c r="V297" s="4" t="n">
        <f aca="false">IF(TRIM(AK297)="Yes",5,0)</f>
        <v>5</v>
      </c>
      <c r="W297" s="4" t="n">
        <f aca="false">IF(TRIM(AM297)="Yes",5,0)</f>
        <v>5</v>
      </c>
      <c r="X297" s="4" t="n">
        <f aca="false">IF(OR(TRIM(AN297)="Fully Available",TRIM(AN297)="Not Applicable"),5,IF(TRIM(AN297)="Partially Available",2.5,0))</f>
        <v>5</v>
      </c>
      <c r="Y297" s="4" t="n">
        <f aca="false">IF(TRIM(AO297)="Yes",5,0)</f>
        <v>5</v>
      </c>
      <c r="Z297" s="4" t="n">
        <f aca="false">IF(TRIM(AP297)="Yes",2.5,0)</f>
        <v>2.5</v>
      </c>
      <c r="AA297" s="4" t="n">
        <f aca="false">IF(TRIM(AQ297)="Yes",5,0)</f>
        <v>5</v>
      </c>
      <c r="AB297" s="4" t="n">
        <f aca="false">IF(OR(TRIM(AR297)="Yes",TRIM(AR297)="Not Applicable"),5,0)</f>
        <v>5</v>
      </c>
      <c r="AC297" s="4" t="n">
        <f aca="false">IF(TRIM(AS297)="Excellent",5,IF(TRIM(AS297)="Very Good",4,IF(TRIM(AS297)="Good",3,IF(TRIM(AS297)="Average",2,0))))</f>
        <v>4</v>
      </c>
      <c r="AD297" s="7" t="n">
        <f aca="false">IF(COUNT(S297:AC297)=0,"",SUM(S297:AC297))</f>
        <v>79</v>
      </c>
      <c r="AE297" s="7"/>
      <c r="AF297" s="8"/>
      <c r="AG297" s="5"/>
      <c r="AH297" s="4"/>
      <c r="AI297" s="4" t="s">
        <v>62</v>
      </c>
      <c r="AJ297" s="4" t="s">
        <v>62</v>
      </c>
      <c r="AK297" s="4" t="s">
        <v>62</v>
      </c>
      <c r="AL297" s="4" t="s">
        <v>63</v>
      </c>
      <c r="AM297" s="4" t="s">
        <v>62</v>
      </c>
      <c r="AN297" s="4" t="s">
        <v>64</v>
      </c>
      <c r="AO297" s="4" t="s">
        <v>62</v>
      </c>
      <c r="AP297" s="4" t="s">
        <v>62</v>
      </c>
      <c r="AQ297" s="4" t="s">
        <v>62</v>
      </c>
      <c r="AR297" s="4" t="s">
        <v>73</v>
      </c>
      <c r="AS297" s="4" t="s">
        <v>74</v>
      </c>
      <c r="AT297" s="4" t="n">
        <v>4</v>
      </c>
      <c r="AU297" s="4" t="s">
        <v>66</v>
      </c>
      <c r="AV297" s="4" t="s">
        <v>128</v>
      </c>
      <c r="AW297" s="4" t="s">
        <v>962</v>
      </c>
      <c r="AX297" s="4" t="s">
        <v>508</v>
      </c>
      <c r="AY297" s="4" t="n">
        <v>15</v>
      </c>
      <c r="AZ297" s="4" t="s">
        <v>62</v>
      </c>
      <c r="BA297" s="4" t="s">
        <v>961</v>
      </c>
      <c r="BB297" s="4" t="s">
        <v>760</v>
      </c>
      <c r="BC297" s="6" t="n">
        <v>0.4889</v>
      </c>
      <c r="BD297" s="4" t="n">
        <v>93</v>
      </c>
    </row>
    <row r="298" customFormat="false" ht="86.55" hidden="false" customHeight="false" outlineLevel="0" collapsed="false">
      <c r="A298" s="4"/>
      <c r="B298" s="4" t="s">
        <v>753</v>
      </c>
      <c r="C298" s="4" t="s">
        <v>57</v>
      </c>
      <c r="D298" s="4" t="s">
        <v>754</v>
      </c>
      <c r="E298" s="4" t="s">
        <v>823</v>
      </c>
      <c r="F298" s="4" t="n">
        <v>454</v>
      </c>
      <c r="G298" s="5" t="s">
        <v>959</v>
      </c>
      <c r="H298" s="5" t="s">
        <v>254</v>
      </c>
      <c r="I298" s="4"/>
      <c r="J298" s="4"/>
      <c r="K298" s="4"/>
      <c r="L298" s="4" t="n">
        <v>20</v>
      </c>
      <c r="M298" s="4" t="n">
        <v>20</v>
      </c>
      <c r="N298" s="4" t="n">
        <v>0</v>
      </c>
      <c r="O298" s="4" t="n">
        <v>18</v>
      </c>
      <c r="P298" s="4" t="n">
        <v>2</v>
      </c>
      <c r="Q298" s="4" t="n">
        <v>10</v>
      </c>
      <c r="R298" s="6" t="n">
        <f aca="false">IF(N(L298)=0,0,O298/L298)</f>
        <v>0.9</v>
      </c>
      <c r="S298" s="4" t="n">
        <f aca="false">IF(R298="","",IF(R298&gt;=0.8,50,IF(R298&gt;=0.5,30,IF(R298&gt;=0.01,10,0))))</f>
        <v>50</v>
      </c>
      <c r="T298" s="4" t="n">
        <f aca="false">IF(TRIM(AI298)="Yes",2.5,0)</f>
        <v>2.5</v>
      </c>
      <c r="U298" s="4" t="n">
        <f aca="false">IF(TRIM(AJ298)="Yes",10,0)</f>
        <v>10</v>
      </c>
      <c r="V298" s="4" t="n">
        <f aca="false">IF(TRIM(AK298)="Yes",5,0)</f>
        <v>5</v>
      </c>
      <c r="W298" s="4" t="n">
        <f aca="false">IF(TRIM(AM298)="Yes",5,0)</f>
        <v>5</v>
      </c>
      <c r="X298" s="4" t="n">
        <f aca="false">IF(OR(TRIM(AN298)="Fully Available",TRIM(AN298)="Not Applicable"),5,IF(TRIM(AN298)="Partially Available",2.5,0))</f>
        <v>5</v>
      </c>
      <c r="Y298" s="4" t="n">
        <f aca="false">IF(TRIM(AO298)="Yes",5,0)</f>
        <v>5</v>
      </c>
      <c r="Z298" s="4" t="n">
        <f aca="false">IF(TRIM(AP298)="Yes",2.5,0)</f>
        <v>0</v>
      </c>
      <c r="AA298" s="4" t="n">
        <f aca="false">IF(TRIM(AQ298)="Yes",5,0)</f>
        <v>5</v>
      </c>
      <c r="AB298" s="4" t="n">
        <f aca="false">IF(OR(TRIM(AR298)="Yes",TRIM(AR298)="Not Applicable"),5,0)</f>
        <v>5</v>
      </c>
      <c r="AC298" s="4" t="n">
        <f aca="false">IF(TRIM(AS298)="Excellent",5,IF(TRIM(AS298)="Very Good",4,IF(TRIM(AS298)="Good",3,IF(TRIM(AS298)="Average",2,0))))</f>
        <v>4</v>
      </c>
      <c r="AD298" s="7" t="n">
        <f aca="false">IF(COUNT(S298:AC298)=0,"",SUM(S298:AC298))</f>
        <v>96.5</v>
      </c>
      <c r="AE298" s="7"/>
      <c r="AF298" s="8"/>
      <c r="AG298" s="5"/>
      <c r="AH298" s="4"/>
      <c r="AI298" s="4" t="s">
        <v>62</v>
      </c>
      <c r="AJ298" s="4" t="s">
        <v>62</v>
      </c>
      <c r="AK298" s="4" t="s">
        <v>62</v>
      </c>
      <c r="AL298" s="4" t="s">
        <v>63</v>
      </c>
      <c r="AM298" s="4" t="s">
        <v>62</v>
      </c>
      <c r="AN298" s="4" t="s">
        <v>64</v>
      </c>
      <c r="AO298" s="4" t="s">
        <v>62</v>
      </c>
      <c r="AP298" s="4" t="s">
        <v>82</v>
      </c>
      <c r="AQ298" s="4" t="s">
        <v>62</v>
      </c>
      <c r="AR298" s="4" t="s">
        <v>62</v>
      </c>
      <c r="AS298" s="4" t="s">
        <v>74</v>
      </c>
      <c r="AT298" s="4" t="n">
        <v>4</v>
      </c>
      <c r="AU298" s="4" t="s">
        <v>66</v>
      </c>
      <c r="AV298" s="4" t="s">
        <v>128</v>
      </c>
      <c r="AW298" s="4" t="s">
        <v>963</v>
      </c>
      <c r="AX298" s="4" t="s">
        <v>508</v>
      </c>
      <c r="AY298" s="4" t="n">
        <v>14</v>
      </c>
      <c r="AZ298" s="4" t="s">
        <v>62</v>
      </c>
      <c r="BA298" s="4" t="s">
        <v>961</v>
      </c>
      <c r="BB298" s="4" t="s">
        <v>760</v>
      </c>
      <c r="BC298" s="6" t="n">
        <v>0.5556</v>
      </c>
      <c r="BD298" s="4" t="n">
        <v>93</v>
      </c>
    </row>
    <row r="299" customFormat="false" ht="29.85" hidden="false" customHeight="false" outlineLevel="0" collapsed="false">
      <c r="A299" s="4" t="n">
        <v>130</v>
      </c>
      <c r="B299" s="4" t="s">
        <v>753</v>
      </c>
      <c r="C299" s="4" t="s">
        <v>57</v>
      </c>
      <c r="D299" s="4" t="s">
        <v>754</v>
      </c>
      <c r="E299" s="4" t="s">
        <v>964</v>
      </c>
      <c r="F299" s="4" t="n">
        <v>1264</v>
      </c>
      <c r="G299" s="5" t="s">
        <v>965</v>
      </c>
      <c r="H299" s="5" t="s">
        <v>966</v>
      </c>
      <c r="I299" s="4"/>
      <c r="J299" s="4"/>
      <c r="K299" s="4"/>
      <c r="L299" s="4" t="n">
        <v>20</v>
      </c>
      <c r="M299" s="4" t="n">
        <v>20</v>
      </c>
      <c r="N299" s="4" t="n">
        <v>0</v>
      </c>
      <c r="O299" s="4" t="n">
        <v>17</v>
      </c>
      <c r="P299" s="4" t="n">
        <v>3</v>
      </c>
      <c r="Q299" s="4" t="n">
        <v>6</v>
      </c>
      <c r="R299" s="6" t="n">
        <f aca="false">IF(N(L299)=0,0,O299/L299)</f>
        <v>0.85</v>
      </c>
      <c r="S299" s="4" t="n">
        <f aca="false">IF(R299="","",IF(R299&gt;=0.8,50,IF(R299&gt;=0.5,30,IF(R299&gt;=0.01,10,0))))</f>
        <v>50</v>
      </c>
      <c r="T299" s="4" t="n">
        <f aca="false">IF(TRIM(AI299)="Yes",2.5,0)</f>
        <v>2.5</v>
      </c>
      <c r="U299" s="4" t="n">
        <f aca="false">IF(TRIM(AJ299)="Yes",10,0)</f>
        <v>0</v>
      </c>
      <c r="V299" s="4" t="n">
        <f aca="false">IF(TRIM(AK299)="Yes",5,0)</f>
        <v>5</v>
      </c>
      <c r="W299" s="4" t="n">
        <f aca="false">IF(TRIM(AM299)="Yes",5,0)</f>
        <v>5</v>
      </c>
      <c r="X299" s="4" t="n">
        <f aca="false">IF(OR(TRIM(AN299)="Fully Available",TRIM(AN299)="Not Applicable"),5,IF(TRIM(AN299)="Partially Available",2.5,0))</f>
        <v>5</v>
      </c>
      <c r="Y299" s="4" t="n">
        <f aca="false">IF(TRIM(AO299)="Yes",5,0)</f>
        <v>5</v>
      </c>
      <c r="Z299" s="4" t="n">
        <f aca="false">IF(TRIM(AP299)="Yes",2.5,0)</f>
        <v>2.5</v>
      </c>
      <c r="AA299" s="4" t="n">
        <f aca="false">IF(TRIM(AQ299)="Yes",5,0)</f>
        <v>5</v>
      </c>
      <c r="AB299" s="4" t="n">
        <f aca="false">IF(OR(TRIM(AR299)="Yes",TRIM(AR299)="Not Applicable"),5,0)</f>
        <v>5</v>
      </c>
      <c r="AC299" s="4" t="n">
        <f aca="false">IF(TRIM(AS299)="Excellent",5,IF(TRIM(AS299)="Very Good",4,IF(TRIM(AS299)="Good",3,IF(TRIM(AS299)="Average",2,0))))</f>
        <v>4</v>
      </c>
      <c r="AD299" s="7" t="n">
        <f aca="false">IF(COUNT(S299:AC299)=0,"",SUM(S299:AC299))</f>
        <v>89</v>
      </c>
      <c r="AE299" s="7" t="n">
        <f aca="false">IF(COUNTIF($F$2:F299,F299)=1,IFERROR(AVERAGEIF($F:$F,F299,$AD:$AD),""),"")</f>
        <v>89</v>
      </c>
      <c r="AF299" s="8" t="str">
        <f aca="false">IF(AH299&lt;&gt;"",AH299,IF(AE299="","",IF(AE299&gt;=80,"Excellent",IF(AE299&gt;=70,"Very Good",IF(AE299&gt;=60,"Good",IF(AE299&gt;=50,"Average","Poor"))))))</f>
        <v>Excellent</v>
      </c>
      <c r="AG299" s="5"/>
      <c r="AH299" s="4"/>
      <c r="AI299" s="4" t="s">
        <v>62</v>
      </c>
      <c r="AJ299" s="4" t="s">
        <v>82</v>
      </c>
      <c r="AK299" s="4" t="s">
        <v>62</v>
      </c>
      <c r="AL299" s="4" t="s">
        <v>63</v>
      </c>
      <c r="AM299" s="4" t="s">
        <v>62</v>
      </c>
      <c r="AN299" s="4" t="s">
        <v>64</v>
      </c>
      <c r="AO299" s="4" t="s">
        <v>62</v>
      </c>
      <c r="AP299" s="4" t="s">
        <v>62</v>
      </c>
      <c r="AQ299" s="4" t="s">
        <v>62</v>
      </c>
      <c r="AR299" s="4" t="s">
        <v>62</v>
      </c>
      <c r="AS299" s="4" t="s">
        <v>74</v>
      </c>
      <c r="AT299" s="4" t="n">
        <v>5</v>
      </c>
      <c r="AU299" s="4" t="s">
        <v>112</v>
      </c>
      <c r="AV299" s="4" t="s">
        <v>67</v>
      </c>
      <c r="AW299" s="4" t="s">
        <v>967</v>
      </c>
      <c r="AX299" s="4" t="s">
        <v>968</v>
      </c>
      <c r="AY299" s="4" t="n">
        <v>12</v>
      </c>
      <c r="AZ299" s="4" t="s">
        <v>62</v>
      </c>
      <c r="BA299" s="4" t="s">
        <v>969</v>
      </c>
      <c r="BB299" s="4" t="s">
        <v>760</v>
      </c>
      <c r="BC299" s="6" t="n">
        <v>0.3529</v>
      </c>
      <c r="BD299" s="4" t="n">
        <v>88</v>
      </c>
    </row>
    <row r="300" customFormat="false" ht="29.85" hidden="false" customHeight="false" outlineLevel="0" collapsed="false">
      <c r="A300" s="4"/>
      <c r="B300" s="4" t="s">
        <v>753</v>
      </c>
      <c r="C300" s="4" t="s">
        <v>57</v>
      </c>
      <c r="D300" s="4" t="s">
        <v>754</v>
      </c>
      <c r="E300" s="4" t="s">
        <v>964</v>
      </c>
      <c r="F300" s="4" t="n">
        <v>1264</v>
      </c>
      <c r="G300" s="5" t="s">
        <v>965</v>
      </c>
      <c r="H300" s="5" t="s">
        <v>970</v>
      </c>
      <c r="I300" s="4"/>
      <c r="J300" s="4"/>
      <c r="K300" s="4"/>
      <c r="L300" s="4" t="n">
        <v>20</v>
      </c>
      <c r="M300" s="4" t="n">
        <v>20</v>
      </c>
      <c r="N300" s="4" t="n">
        <v>0</v>
      </c>
      <c r="O300" s="4" t="n">
        <v>17</v>
      </c>
      <c r="P300" s="4" t="n">
        <v>3</v>
      </c>
      <c r="Q300" s="4" t="n">
        <v>5</v>
      </c>
      <c r="R300" s="6" t="n">
        <f aca="false">IF(N(L300)=0,0,O300/L300)</f>
        <v>0.85</v>
      </c>
      <c r="S300" s="4" t="n">
        <f aca="false">IF(R300="","",IF(R300&gt;=0.8,50,IF(R300&gt;=0.5,30,IF(R300&gt;=0.01,10,0))))</f>
        <v>50</v>
      </c>
      <c r="T300" s="4" t="n">
        <f aca="false">IF(TRIM(AI300)="Yes",2.5,0)</f>
        <v>2.5</v>
      </c>
      <c r="U300" s="4" t="n">
        <f aca="false">IF(TRIM(AJ300)="Yes",10,0)</f>
        <v>0</v>
      </c>
      <c r="V300" s="4" t="n">
        <f aca="false">IF(TRIM(AK300)="Yes",5,0)</f>
        <v>5</v>
      </c>
      <c r="W300" s="4" t="n">
        <f aca="false">IF(TRIM(AM300)="Yes",5,0)</f>
        <v>5</v>
      </c>
      <c r="X300" s="4" t="n">
        <f aca="false">IF(OR(TRIM(AN300)="Fully Available",TRIM(AN300)="Not Applicable"),5,IF(TRIM(AN300)="Partially Available",2.5,0))</f>
        <v>5</v>
      </c>
      <c r="Y300" s="4" t="n">
        <f aca="false">IF(TRIM(AO300)="Yes",5,0)</f>
        <v>5</v>
      </c>
      <c r="Z300" s="4" t="n">
        <f aca="false">IF(TRIM(AP300)="Yes",2.5,0)</f>
        <v>2.5</v>
      </c>
      <c r="AA300" s="4" t="n">
        <f aca="false">IF(TRIM(AQ300)="Yes",5,0)</f>
        <v>5</v>
      </c>
      <c r="AB300" s="4" t="n">
        <f aca="false">IF(OR(TRIM(AR300)="Yes",TRIM(AR300)="Not Applicable"),5,0)</f>
        <v>5</v>
      </c>
      <c r="AC300" s="4" t="n">
        <f aca="false">IF(TRIM(AS300)="Excellent",5,IF(TRIM(AS300)="Very Good",4,IF(TRIM(AS300)="Good",3,IF(TRIM(AS300)="Average",2,0))))</f>
        <v>4</v>
      </c>
      <c r="AD300" s="7" t="n">
        <f aca="false">IF(COUNT(S300:AC300)=0,"",SUM(S300:AC300))</f>
        <v>89</v>
      </c>
      <c r="AE300" s="7"/>
      <c r="AF300" s="8"/>
      <c r="AG300" s="5"/>
      <c r="AH300" s="4"/>
      <c r="AI300" s="4" t="s">
        <v>62</v>
      </c>
      <c r="AJ300" s="4" t="s">
        <v>82</v>
      </c>
      <c r="AK300" s="4" t="s">
        <v>62</v>
      </c>
      <c r="AL300" s="4" t="s">
        <v>63</v>
      </c>
      <c r="AM300" s="4" t="s">
        <v>62</v>
      </c>
      <c r="AN300" s="4" t="s">
        <v>64</v>
      </c>
      <c r="AO300" s="4" t="s">
        <v>62</v>
      </c>
      <c r="AP300" s="4" t="s">
        <v>62</v>
      </c>
      <c r="AQ300" s="4" t="s">
        <v>62</v>
      </c>
      <c r="AR300" s="4" t="s">
        <v>62</v>
      </c>
      <c r="AS300" s="4" t="s">
        <v>74</v>
      </c>
      <c r="AT300" s="4" t="n">
        <v>5</v>
      </c>
      <c r="AU300" s="4" t="s">
        <v>66</v>
      </c>
      <c r="AV300" s="4" t="s">
        <v>67</v>
      </c>
      <c r="AW300" s="4" t="s">
        <v>971</v>
      </c>
      <c r="AX300" s="4" t="s">
        <v>972</v>
      </c>
      <c r="AY300" s="4" t="n">
        <v>4</v>
      </c>
      <c r="AZ300" s="4" t="s">
        <v>62</v>
      </c>
      <c r="BA300" s="4" t="s">
        <v>969</v>
      </c>
      <c r="BB300" s="4" t="s">
        <v>760</v>
      </c>
      <c r="BC300" s="6" t="n">
        <v>0.2941</v>
      </c>
      <c r="BD300" s="4" t="n">
        <v>88</v>
      </c>
    </row>
    <row r="301" customFormat="false" ht="171.6" hidden="false" customHeight="false" outlineLevel="0" collapsed="false">
      <c r="A301" s="4" t="n">
        <v>131</v>
      </c>
      <c r="B301" s="4" t="s">
        <v>753</v>
      </c>
      <c r="C301" s="4" t="s">
        <v>57</v>
      </c>
      <c r="D301" s="4" t="s">
        <v>754</v>
      </c>
      <c r="E301" s="4" t="s">
        <v>823</v>
      </c>
      <c r="F301" s="4" t="n">
        <v>1215</v>
      </c>
      <c r="G301" s="5" t="s">
        <v>973</v>
      </c>
      <c r="H301" s="5" t="s">
        <v>966</v>
      </c>
      <c r="I301" s="4"/>
      <c r="J301" s="4"/>
      <c r="K301" s="4"/>
      <c r="L301" s="4" t="n">
        <v>60</v>
      </c>
      <c r="M301" s="4" t="n">
        <v>60</v>
      </c>
      <c r="N301" s="4" t="n">
        <v>0</v>
      </c>
      <c r="O301" s="4" t="n">
        <v>47</v>
      </c>
      <c r="P301" s="4" t="n">
        <v>13</v>
      </c>
      <c r="Q301" s="4" t="n">
        <v>18</v>
      </c>
      <c r="R301" s="6" t="n">
        <f aca="false">IF(N(L301)=0,0,O301/L301)</f>
        <v>0.783333333333333</v>
      </c>
      <c r="S301" s="4" t="n">
        <f aca="false">IF(R301="","",IF(R301&gt;=0.8,50,IF(R301&gt;=0.5,30,IF(R301&gt;=0.01,10,0))))</f>
        <v>30</v>
      </c>
      <c r="T301" s="4" t="n">
        <f aca="false">IF(TRIM(AI301)="Yes",2.5,0)</f>
        <v>2.5</v>
      </c>
      <c r="U301" s="4" t="n">
        <f aca="false">IF(TRIM(AJ301)="Yes",10,0)</f>
        <v>10</v>
      </c>
      <c r="V301" s="4" t="n">
        <f aca="false">IF(TRIM(AK301)="Yes",5,0)</f>
        <v>5</v>
      </c>
      <c r="W301" s="4" t="n">
        <f aca="false">IF(TRIM(AM301)="Yes",5,0)</f>
        <v>5</v>
      </c>
      <c r="X301" s="4" t="n">
        <f aca="false">IF(OR(TRIM(AN301)="Fully Available",TRIM(AN301)="Not Applicable"),5,IF(TRIM(AN301)="Partially Available",2.5,0))</f>
        <v>5</v>
      </c>
      <c r="Y301" s="4" t="n">
        <f aca="false">IF(TRIM(AO301)="Yes",5,0)</f>
        <v>5</v>
      </c>
      <c r="Z301" s="4" t="n">
        <f aca="false">IF(TRIM(AP301)="Yes",2.5,0)</f>
        <v>2.5</v>
      </c>
      <c r="AA301" s="4" t="n">
        <f aca="false">IF(TRIM(AQ301)="Yes",5,0)</f>
        <v>5</v>
      </c>
      <c r="AB301" s="4" t="n">
        <f aca="false">IF(OR(TRIM(AR301)="Yes",TRIM(AR301)="Not Applicable"),5,0)</f>
        <v>5</v>
      </c>
      <c r="AC301" s="4" t="n">
        <f aca="false">IF(TRIM(AS301)="Excellent",5,IF(TRIM(AS301)="Very Good",4,IF(TRIM(AS301)="Good",3,IF(TRIM(AS301)="Average",2,0))))</f>
        <v>4</v>
      </c>
      <c r="AD301" s="7" t="n">
        <f aca="false">IF(COUNT(S301:AC301)=0,"",SUM(S301:AC301))</f>
        <v>79</v>
      </c>
      <c r="AE301" s="7" t="n">
        <f aca="false">IF(COUNTIF($F$2:F301,F301)=1,IFERROR(AVERAGEIF($F:$F,F301,$AD:$AD),""),"")</f>
        <v>79</v>
      </c>
      <c r="AF301" s="8" t="str">
        <f aca="false">IF(AH301&lt;&gt;"",AH301,IF(AE301="","",IF(AE301&gt;=80,"Excellent",IF(AE301&gt;=70,"Very Good",IF(AE301&gt;=60,"Good",IF(AE301&gt;=50,"Average","Poor"))))))</f>
        <v>Very Good</v>
      </c>
      <c r="AG301" s="5"/>
      <c r="AH301" s="4"/>
      <c r="AI301" s="4" t="s">
        <v>62</v>
      </c>
      <c r="AJ301" s="4" t="s">
        <v>62</v>
      </c>
      <c r="AK301" s="4" t="s">
        <v>62</v>
      </c>
      <c r="AL301" s="4" t="s">
        <v>63</v>
      </c>
      <c r="AM301" s="4" t="s">
        <v>62</v>
      </c>
      <c r="AN301" s="4" t="s">
        <v>64</v>
      </c>
      <c r="AO301" s="4" t="s">
        <v>62</v>
      </c>
      <c r="AP301" s="4" t="s">
        <v>62</v>
      </c>
      <c r="AQ301" s="4" t="s">
        <v>62</v>
      </c>
      <c r="AR301" s="4" t="s">
        <v>62</v>
      </c>
      <c r="AS301" s="4" t="s">
        <v>74</v>
      </c>
      <c r="AT301" s="4" t="n">
        <v>8</v>
      </c>
      <c r="AU301" s="4" t="s">
        <v>112</v>
      </c>
      <c r="AV301" s="4" t="s">
        <v>244</v>
      </c>
      <c r="AW301" s="4" t="s">
        <v>974</v>
      </c>
      <c r="AX301" s="4" t="s">
        <v>975</v>
      </c>
      <c r="AY301" s="4" t="n">
        <v>8</v>
      </c>
      <c r="AZ301" s="4" t="s">
        <v>62</v>
      </c>
      <c r="BA301" s="4" t="s">
        <v>976</v>
      </c>
      <c r="BB301" s="4" t="s">
        <v>760</v>
      </c>
      <c r="BC301" s="6" t="n">
        <v>0.383</v>
      </c>
      <c r="BD301" s="4" t="n">
        <v>94</v>
      </c>
    </row>
    <row r="302" customFormat="false" ht="58.2" hidden="false" customHeight="false" outlineLevel="0" collapsed="false">
      <c r="A302" s="4" t="n">
        <v>132</v>
      </c>
      <c r="B302" s="4" t="s">
        <v>753</v>
      </c>
      <c r="C302" s="4" t="s">
        <v>57</v>
      </c>
      <c r="D302" s="4" t="s">
        <v>754</v>
      </c>
      <c r="E302" s="4" t="s">
        <v>823</v>
      </c>
      <c r="F302" s="4" t="n">
        <v>5673</v>
      </c>
      <c r="G302" s="5" t="s">
        <v>977</v>
      </c>
      <c r="H302" s="5" t="s">
        <v>177</v>
      </c>
      <c r="I302" s="4"/>
      <c r="J302" s="4"/>
      <c r="K302" s="4"/>
      <c r="L302" s="4" t="n">
        <v>20</v>
      </c>
      <c r="M302" s="4" t="n">
        <v>20</v>
      </c>
      <c r="N302" s="4" t="n">
        <v>0</v>
      </c>
      <c r="O302" s="4" t="n">
        <v>4</v>
      </c>
      <c r="P302" s="4" t="n">
        <v>16</v>
      </c>
      <c r="Q302" s="4" t="n">
        <v>4</v>
      </c>
      <c r="R302" s="6" t="n">
        <f aca="false">IF(N(L302)=0,0,O302/L302)</f>
        <v>0.2</v>
      </c>
      <c r="S302" s="4" t="n">
        <f aca="false">IF(R302="","",IF(R302&gt;=0.8,50,IF(R302&gt;=0.5,30,IF(R302&gt;=0.01,10,0))))</f>
        <v>10</v>
      </c>
      <c r="T302" s="4" t="n">
        <f aca="false">IF(TRIM(AI302)="Yes",2.5,0)</f>
        <v>2.5</v>
      </c>
      <c r="U302" s="4" t="n">
        <f aca="false">IF(TRIM(AJ302)="Yes",10,0)</f>
        <v>0</v>
      </c>
      <c r="V302" s="4" t="n">
        <f aca="false">IF(TRIM(AK302)="Yes",5,0)</f>
        <v>5</v>
      </c>
      <c r="W302" s="4" t="n">
        <f aca="false">IF(TRIM(AM302)="Yes",5,0)</f>
        <v>5</v>
      </c>
      <c r="X302" s="4" t="n">
        <f aca="false">IF(OR(TRIM(AN302)="Fully Available",TRIM(AN302)="Not Applicable"),5,IF(TRIM(AN302)="Partially Available",2.5,0))</f>
        <v>5</v>
      </c>
      <c r="Y302" s="4" t="n">
        <f aca="false">IF(TRIM(AO302)="Yes",5,0)</f>
        <v>5</v>
      </c>
      <c r="Z302" s="4" t="n">
        <f aca="false">IF(TRIM(AP302)="Yes",2.5,0)</f>
        <v>2.5</v>
      </c>
      <c r="AA302" s="4" t="n">
        <f aca="false">IF(TRIM(AQ302)="Yes",5,0)</f>
        <v>5</v>
      </c>
      <c r="AB302" s="4" t="n">
        <f aca="false">IF(OR(TRIM(AR302)="Yes",TRIM(AR302)="Not Applicable"),5,0)</f>
        <v>5</v>
      </c>
      <c r="AC302" s="4" t="n">
        <f aca="false">IF(TRIM(AS302)="Excellent",5,IF(TRIM(AS302)="Very Good",4,IF(TRIM(AS302)="Good",3,IF(TRIM(AS302)="Average",2,0))))</f>
        <v>4</v>
      </c>
      <c r="AD302" s="7" t="n">
        <f aca="false">IF(COUNT(S302:AC302)=0,"",SUM(S302:AC302))</f>
        <v>49</v>
      </c>
      <c r="AE302" s="7" t="n">
        <f aca="false">IF(COUNTIF($F$2:F302,F302)=1,IFERROR(AVERAGEIF($F:$F,F302,$AD:$AD),""),"")</f>
        <v>65.6666666666667</v>
      </c>
      <c r="AF302" s="8" t="str">
        <f aca="false">IF(AH302&lt;&gt;"",AH302,IF(AE302="","",IF(AE302&gt;=80,"Excellent",IF(AE302&gt;=70,"Very Good",IF(AE302&gt;=60,"Good",IF(AE302&gt;=50,"Average","Poor"))))))</f>
        <v>Good</v>
      </c>
      <c r="AG302" s="5"/>
      <c r="AH302" s="4"/>
      <c r="AI302" s="4" t="s">
        <v>62</v>
      </c>
      <c r="AJ302" s="4" t="s">
        <v>82</v>
      </c>
      <c r="AK302" s="4" t="s">
        <v>62</v>
      </c>
      <c r="AL302" s="4" t="s">
        <v>63</v>
      </c>
      <c r="AM302" s="4" t="s">
        <v>62</v>
      </c>
      <c r="AN302" s="4" t="s">
        <v>64</v>
      </c>
      <c r="AO302" s="4" t="s">
        <v>62</v>
      </c>
      <c r="AP302" s="4" t="s">
        <v>62</v>
      </c>
      <c r="AQ302" s="4" t="s">
        <v>62</v>
      </c>
      <c r="AR302" s="4" t="s">
        <v>73</v>
      </c>
      <c r="AS302" s="4" t="s">
        <v>74</v>
      </c>
      <c r="AT302" s="4" t="n">
        <v>5</v>
      </c>
      <c r="AU302" s="4" t="s">
        <v>66</v>
      </c>
      <c r="AV302" s="4" t="s">
        <v>67</v>
      </c>
      <c r="AW302" s="4" t="s">
        <v>978</v>
      </c>
      <c r="AX302" s="4" t="s">
        <v>972</v>
      </c>
      <c r="AY302" s="4" t="n">
        <v>26</v>
      </c>
      <c r="AZ302" s="4" t="s">
        <v>62</v>
      </c>
      <c r="BA302" s="4" t="s">
        <v>979</v>
      </c>
      <c r="BB302" s="4" t="s">
        <v>760</v>
      </c>
      <c r="BC302" s="6" t="n">
        <v>1</v>
      </c>
      <c r="BD302" s="4" t="n">
        <v>70</v>
      </c>
    </row>
    <row r="303" customFormat="false" ht="58.2" hidden="false" customHeight="false" outlineLevel="0" collapsed="false">
      <c r="A303" s="4"/>
      <c r="B303" s="4" t="s">
        <v>753</v>
      </c>
      <c r="C303" s="4" t="s">
        <v>57</v>
      </c>
      <c r="D303" s="4" t="s">
        <v>754</v>
      </c>
      <c r="E303" s="4" t="s">
        <v>823</v>
      </c>
      <c r="F303" s="4" t="n">
        <v>5673</v>
      </c>
      <c r="G303" s="5" t="s">
        <v>977</v>
      </c>
      <c r="H303" s="5" t="s">
        <v>86</v>
      </c>
      <c r="I303" s="4"/>
      <c r="J303" s="4"/>
      <c r="K303" s="4"/>
      <c r="L303" s="4" t="n">
        <v>60</v>
      </c>
      <c r="M303" s="4" t="n">
        <v>60</v>
      </c>
      <c r="N303" s="4" t="n">
        <v>0</v>
      </c>
      <c r="O303" s="4" t="n">
        <v>47</v>
      </c>
      <c r="P303" s="4" t="n">
        <v>13</v>
      </c>
      <c r="Q303" s="4" t="n">
        <v>23</v>
      </c>
      <c r="R303" s="6" t="n">
        <f aca="false">IF(N(L303)=0,0,O303/L303)</f>
        <v>0.783333333333333</v>
      </c>
      <c r="S303" s="4" t="n">
        <f aca="false">IF(R303="","",IF(R303&gt;=0.8,50,IF(R303&gt;=0.5,30,IF(R303&gt;=0.01,10,0))))</f>
        <v>30</v>
      </c>
      <c r="T303" s="4" t="n">
        <f aca="false">IF(TRIM(AI303)="Yes",2.5,0)</f>
        <v>2.5</v>
      </c>
      <c r="U303" s="4" t="n">
        <f aca="false">IF(TRIM(AJ303)="Yes",10,0)</f>
        <v>0</v>
      </c>
      <c r="V303" s="4" t="n">
        <f aca="false">IF(TRIM(AK303)="Yes",5,0)</f>
        <v>5</v>
      </c>
      <c r="W303" s="4" t="n">
        <f aca="false">IF(TRIM(AM303)="Yes",5,0)</f>
        <v>5</v>
      </c>
      <c r="X303" s="4" t="n">
        <f aca="false">IF(OR(TRIM(AN303)="Fully Available",TRIM(AN303)="Not Applicable"),5,IF(TRIM(AN303)="Partially Available",2.5,0))</f>
        <v>5</v>
      </c>
      <c r="Y303" s="4" t="n">
        <f aca="false">IF(TRIM(AO303)="Yes",5,0)</f>
        <v>0</v>
      </c>
      <c r="Z303" s="4" t="n">
        <f aca="false">IF(TRIM(AP303)="Yes",2.5,0)</f>
        <v>2.5</v>
      </c>
      <c r="AA303" s="4" t="n">
        <f aca="false">IF(TRIM(AQ303)="Yes",5,0)</f>
        <v>5</v>
      </c>
      <c r="AB303" s="4" t="n">
        <f aca="false">IF(OR(TRIM(AR303)="Yes",TRIM(AR303)="Not Applicable"),5,0)</f>
        <v>0</v>
      </c>
      <c r="AC303" s="4" t="n">
        <f aca="false">IF(TRIM(AS303)="Excellent",5,IF(TRIM(AS303)="Very Good",4,IF(TRIM(AS303)="Good",3,IF(TRIM(AS303)="Average",2,0))))</f>
        <v>4</v>
      </c>
      <c r="AD303" s="7" t="n">
        <f aca="false">IF(COUNT(S303:AC303)=0,"",SUM(S303:AC303))</f>
        <v>59</v>
      </c>
      <c r="AE303" s="7"/>
      <c r="AF303" s="8"/>
      <c r="AG303" s="5"/>
      <c r="AH303" s="4"/>
      <c r="AI303" s="4" t="s">
        <v>62</v>
      </c>
      <c r="AJ303" s="4" t="s">
        <v>82</v>
      </c>
      <c r="AK303" s="4" t="s">
        <v>62</v>
      </c>
      <c r="AL303" s="4" t="s">
        <v>63</v>
      </c>
      <c r="AM303" s="4" t="s">
        <v>62</v>
      </c>
      <c r="AN303" s="4" t="s">
        <v>64</v>
      </c>
      <c r="AO303" s="4" t="s">
        <v>82</v>
      </c>
      <c r="AP303" s="4" t="s">
        <v>62</v>
      </c>
      <c r="AQ303" s="4" t="s">
        <v>62</v>
      </c>
      <c r="AR303" s="4" t="s">
        <v>82</v>
      </c>
      <c r="AS303" s="4" t="s">
        <v>74</v>
      </c>
      <c r="AT303" s="4" t="n">
        <v>4</v>
      </c>
      <c r="AU303" s="4" t="s">
        <v>66</v>
      </c>
      <c r="AV303" s="4" t="s">
        <v>67</v>
      </c>
      <c r="AW303" s="4" t="s">
        <v>980</v>
      </c>
      <c r="AX303" s="4" t="s">
        <v>839</v>
      </c>
      <c r="AY303" s="4" t="n">
        <v>5</v>
      </c>
      <c r="AZ303" s="4" t="s">
        <v>62</v>
      </c>
      <c r="BA303" s="4" t="s">
        <v>979</v>
      </c>
      <c r="BB303" s="4" t="s">
        <v>760</v>
      </c>
      <c r="BC303" s="6" t="n">
        <v>0.4894</v>
      </c>
      <c r="BD303" s="4" t="n">
        <v>70</v>
      </c>
    </row>
    <row r="304" customFormat="false" ht="58.2" hidden="false" customHeight="false" outlineLevel="0" collapsed="false">
      <c r="A304" s="4"/>
      <c r="B304" s="4" t="s">
        <v>753</v>
      </c>
      <c r="C304" s="4" t="s">
        <v>57</v>
      </c>
      <c r="D304" s="4" t="s">
        <v>754</v>
      </c>
      <c r="E304" s="4" t="s">
        <v>823</v>
      </c>
      <c r="F304" s="4" t="n">
        <v>5673</v>
      </c>
      <c r="G304" s="5" t="s">
        <v>977</v>
      </c>
      <c r="H304" s="5" t="s">
        <v>238</v>
      </c>
      <c r="I304" s="4"/>
      <c r="J304" s="4"/>
      <c r="K304" s="4"/>
      <c r="L304" s="4" t="n">
        <v>20</v>
      </c>
      <c r="M304" s="4" t="n">
        <v>20</v>
      </c>
      <c r="N304" s="4" t="n">
        <v>0</v>
      </c>
      <c r="O304" s="4" t="n">
        <v>17</v>
      </c>
      <c r="P304" s="4" t="n">
        <v>3</v>
      </c>
      <c r="Q304" s="4" t="n">
        <v>10</v>
      </c>
      <c r="R304" s="6" t="n">
        <f aca="false">IF(N(L304)=0,0,O304/L304)</f>
        <v>0.85</v>
      </c>
      <c r="S304" s="4" t="n">
        <f aca="false">IF(R304="","",IF(R304&gt;=0.8,50,IF(R304&gt;=0.5,30,IF(R304&gt;=0.01,10,0))))</f>
        <v>50</v>
      </c>
      <c r="T304" s="4" t="n">
        <f aca="false">IF(TRIM(AI304)="Yes",2.5,0)</f>
        <v>2.5</v>
      </c>
      <c r="U304" s="4" t="n">
        <f aca="false">IF(TRIM(AJ304)="Yes",10,0)</f>
        <v>0</v>
      </c>
      <c r="V304" s="4" t="n">
        <f aca="false">IF(TRIM(AK304)="Yes",5,0)</f>
        <v>5</v>
      </c>
      <c r="W304" s="4" t="n">
        <f aca="false">IF(TRIM(AM304)="Yes",5,0)</f>
        <v>5</v>
      </c>
      <c r="X304" s="4" t="n">
        <f aca="false">IF(OR(TRIM(AN304)="Fully Available",TRIM(AN304)="Not Applicable"),5,IF(TRIM(AN304)="Partially Available",2.5,0))</f>
        <v>5</v>
      </c>
      <c r="Y304" s="4" t="n">
        <f aca="false">IF(TRIM(AO304)="Yes",5,0)</f>
        <v>5</v>
      </c>
      <c r="Z304" s="4" t="n">
        <f aca="false">IF(TRIM(AP304)="Yes",2.5,0)</f>
        <v>2.5</v>
      </c>
      <c r="AA304" s="4" t="n">
        <f aca="false">IF(TRIM(AQ304)="Yes",5,0)</f>
        <v>5</v>
      </c>
      <c r="AB304" s="4" t="n">
        <f aca="false">IF(OR(TRIM(AR304)="Yes",TRIM(AR304)="Not Applicable"),5,0)</f>
        <v>5</v>
      </c>
      <c r="AC304" s="4" t="n">
        <f aca="false">IF(TRIM(AS304)="Excellent",5,IF(TRIM(AS304)="Very Good",4,IF(TRIM(AS304)="Good",3,IF(TRIM(AS304)="Average",2,0))))</f>
        <v>4</v>
      </c>
      <c r="AD304" s="7" t="n">
        <f aca="false">IF(COUNT(S304:AC304)=0,"",SUM(S304:AC304))</f>
        <v>89</v>
      </c>
      <c r="AE304" s="7"/>
      <c r="AF304" s="8"/>
      <c r="AG304" s="5"/>
      <c r="AH304" s="4"/>
      <c r="AI304" s="4" t="s">
        <v>62</v>
      </c>
      <c r="AJ304" s="4" t="s">
        <v>82</v>
      </c>
      <c r="AK304" s="4" t="s">
        <v>62</v>
      </c>
      <c r="AL304" s="4" t="s">
        <v>63</v>
      </c>
      <c r="AM304" s="4" t="s">
        <v>62</v>
      </c>
      <c r="AN304" s="4" t="s">
        <v>64</v>
      </c>
      <c r="AO304" s="4" t="s">
        <v>62</v>
      </c>
      <c r="AP304" s="4" t="s">
        <v>62</v>
      </c>
      <c r="AQ304" s="4" t="s">
        <v>62</v>
      </c>
      <c r="AR304" s="4" t="s">
        <v>73</v>
      </c>
      <c r="AS304" s="4" t="s">
        <v>74</v>
      </c>
      <c r="AT304" s="4" t="n">
        <v>5</v>
      </c>
      <c r="AU304" s="4" t="s">
        <v>66</v>
      </c>
      <c r="AV304" s="4" t="s">
        <v>67</v>
      </c>
      <c r="AW304" s="4" t="s">
        <v>981</v>
      </c>
      <c r="AX304" s="4" t="s">
        <v>982</v>
      </c>
      <c r="AY304" s="4" t="n">
        <v>3</v>
      </c>
      <c r="AZ304" s="4" t="s">
        <v>62</v>
      </c>
      <c r="BA304" s="4" t="s">
        <v>979</v>
      </c>
      <c r="BB304" s="4" t="s">
        <v>760</v>
      </c>
      <c r="BC304" s="6" t="n">
        <v>0.5882</v>
      </c>
      <c r="BD304" s="4" t="n">
        <v>70</v>
      </c>
    </row>
    <row r="305" customFormat="false" ht="114.9" hidden="false" customHeight="false" outlineLevel="0" collapsed="false">
      <c r="A305" s="4" t="n">
        <v>133</v>
      </c>
      <c r="B305" s="4" t="s">
        <v>753</v>
      </c>
      <c r="C305" s="4" t="s">
        <v>57</v>
      </c>
      <c r="D305" s="4" t="s">
        <v>754</v>
      </c>
      <c r="E305" s="4" t="s">
        <v>755</v>
      </c>
      <c r="F305" s="4" t="n">
        <v>2398</v>
      </c>
      <c r="G305" s="5" t="s">
        <v>983</v>
      </c>
      <c r="H305" s="5" t="s">
        <v>984</v>
      </c>
      <c r="I305" s="4"/>
      <c r="J305" s="4"/>
      <c r="K305" s="4"/>
      <c r="L305" s="4" t="n">
        <v>20</v>
      </c>
      <c r="M305" s="4" t="n">
        <v>20</v>
      </c>
      <c r="N305" s="4" t="n">
        <v>0</v>
      </c>
      <c r="O305" s="4" t="n">
        <v>14</v>
      </c>
      <c r="P305" s="4" t="n">
        <v>6</v>
      </c>
      <c r="Q305" s="4" t="n">
        <v>5</v>
      </c>
      <c r="R305" s="6" t="n">
        <f aca="false">IF(N(L305)=0,0,O305/L305)</f>
        <v>0.7</v>
      </c>
      <c r="S305" s="4" t="n">
        <f aca="false">IF(R305="","",IF(R305&gt;=0.8,50,IF(R305&gt;=0.5,30,IF(R305&gt;=0.01,10,0))))</f>
        <v>30</v>
      </c>
      <c r="T305" s="4" t="n">
        <f aca="false">IF(TRIM(AI305)="Yes",2.5,0)</f>
        <v>2.5</v>
      </c>
      <c r="U305" s="4" t="n">
        <f aca="false">IF(TRIM(AJ305)="Yes",10,0)</f>
        <v>10</v>
      </c>
      <c r="V305" s="4" t="n">
        <f aca="false">IF(TRIM(AK305)="Yes",5,0)</f>
        <v>5</v>
      </c>
      <c r="W305" s="4" t="n">
        <f aca="false">IF(TRIM(AM305)="Yes",5,0)</f>
        <v>5</v>
      </c>
      <c r="X305" s="4" t="n">
        <f aca="false">IF(OR(TRIM(AN305)="Fully Available",TRIM(AN305)="Not Applicable"),5,IF(TRIM(AN305)="Partially Available",2.5,0))</f>
        <v>5</v>
      </c>
      <c r="Y305" s="4" t="n">
        <f aca="false">IF(TRIM(AO305)="Yes",5,0)</f>
        <v>5</v>
      </c>
      <c r="Z305" s="4" t="n">
        <f aca="false">IF(TRIM(AP305)="Yes",2.5,0)</f>
        <v>2.5</v>
      </c>
      <c r="AA305" s="4" t="n">
        <f aca="false">IF(TRIM(AQ305)="Yes",5,0)</f>
        <v>5</v>
      </c>
      <c r="AB305" s="4" t="n">
        <f aca="false">IF(OR(TRIM(AR305)="Yes",TRIM(AR305)="Not Applicable"),5,0)</f>
        <v>5</v>
      </c>
      <c r="AC305" s="4" t="n">
        <f aca="false">IF(TRIM(AS305)="Excellent",5,IF(TRIM(AS305)="Very Good",4,IF(TRIM(AS305)="Good",3,IF(TRIM(AS305)="Average",2,0))))</f>
        <v>4</v>
      </c>
      <c r="AD305" s="7" t="n">
        <f aca="false">IF(COUNT(S305:AC305)=0,"",SUM(S305:AC305))</f>
        <v>79</v>
      </c>
      <c r="AE305" s="7" t="n">
        <f aca="false">IF(COUNTIF($F$2:F305,F305)=1,IFERROR(AVERAGEIF($F:$F,F305,$AD:$AD),""),"")</f>
        <v>89</v>
      </c>
      <c r="AF305" s="8" t="str">
        <f aca="false">IF(AH305&lt;&gt;"",AH305,IF(AE305="","",IF(AE305&gt;=80,"Excellent",IF(AE305&gt;=70,"Very Good",IF(AE305&gt;=60,"Good",IF(AE305&gt;=50,"Average","Poor"))))))</f>
        <v>Excellent</v>
      </c>
      <c r="AG305" s="5"/>
      <c r="AH305" s="4"/>
      <c r="AI305" s="4" t="s">
        <v>62</v>
      </c>
      <c r="AJ305" s="4" t="s">
        <v>62</v>
      </c>
      <c r="AK305" s="4" t="s">
        <v>62</v>
      </c>
      <c r="AL305" s="4" t="s">
        <v>63</v>
      </c>
      <c r="AM305" s="4" t="s">
        <v>62</v>
      </c>
      <c r="AN305" s="4" t="s">
        <v>64</v>
      </c>
      <c r="AO305" s="4" t="s">
        <v>62</v>
      </c>
      <c r="AP305" s="4" t="s">
        <v>62</v>
      </c>
      <c r="AQ305" s="4" t="s">
        <v>62</v>
      </c>
      <c r="AR305" s="4" t="s">
        <v>62</v>
      </c>
      <c r="AS305" s="4" t="s">
        <v>74</v>
      </c>
      <c r="AT305" s="4" t="n">
        <v>9</v>
      </c>
      <c r="AU305" s="4" t="s">
        <v>112</v>
      </c>
      <c r="AV305" s="4" t="s">
        <v>208</v>
      </c>
      <c r="AW305" s="4" t="s">
        <v>985</v>
      </c>
      <c r="AX305" s="4" t="s">
        <v>986</v>
      </c>
      <c r="AY305" s="4" t="n">
        <v>9</v>
      </c>
      <c r="AZ305" s="4" t="s">
        <v>62</v>
      </c>
      <c r="BA305" s="4" t="s">
        <v>987</v>
      </c>
      <c r="BB305" s="4" t="s">
        <v>760</v>
      </c>
      <c r="BC305" s="6" t="n">
        <v>0.3571</v>
      </c>
      <c r="BD305" s="4" t="n">
        <v>93</v>
      </c>
    </row>
    <row r="306" customFormat="false" ht="114.9" hidden="false" customHeight="false" outlineLevel="0" collapsed="false">
      <c r="A306" s="4"/>
      <c r="B306" s="4" t="s">
        <v>753</v>
      </c>
      <c r="C306" s="4" t="s">
        <v>57</v>
      </c>
      <c r="D306" s="4" t="s">
        <v>754</v>
      </c>
      <c r="E306" s="4" t="s">
        <v>755</v>
      </c>
      <c r="F306" s="4" t="n">
        <v>2398</v>
      </c>
      <c r="G306" s="5" t="s">
        <v>983</v>
      </c>
      <c r="H306" s="5" t="s">
        <v>254</v>
      </c>
      <c r="I306" s="4"/>
      <c r="J306" s="4"/>
      <c r="K306" s="4"/>
      <c r="L306" s="4" t="n">
        <v>20</v>
      </c>
      <c r="M306" s="4" t="n">
        <v>20</v>
      </c>
      <c r="N306" s="4" t="n">
        <v>0</v>
      </c>
      <c r="O306" s="4" t="n">
        <v>14</v>
      </c>
      <c r="P306" s="4" t="n">
        <v>6</v>
      </c>
      <c r="Q306" s="4" t="n">
        <v>7</v>
      </c>
      <c r="R306" s="6" t="n">
        <f aca="false">IF(N(L306)=0,0,O306/L306)</f>
        <v>0.7</v>
      </c>
      <c r="S306" s="4" t="n">
        <f aca="false">IF(R306="","",IF(R306&gt;=0.8,50,IF(R306&gt;=0.5,30,IF(R306&gt;=0.01,10,0))))</f>
        <v>30</v>
      </c>
      <c r="T306" s="4" t="n">
        <f aca="false">IF(TRIM(AI306)="Yes",2.5,0)</f>
        <v>2.5</v>
      </c>
      <c r="U306" s="4" t="n">
        <f aca="false">IF(TRIM(AJ306)="Yes",10,0)</f>
        <v>10</v>
      </c>
      <c r="V306" s="4" t="n">
        <f aca="false">IF(TRIM(AK306)="Yes",5,0)</f>
        <v>5</v>
      </c>
      <c r="W306" s="4" t="n">
        <f aca="false">IF(TRIM(AM306)="Yes",5,0)</f>
        <v>5</v>
      </c>
      <c r="X306" s="4" t="n">
        <f aca="false">IF(OR(TRIM(AN306)="Fully Available",TRIM(AN306)="Not Applicable"),5,IF(TRIM(AN306)="Partially Available",2.5,0))</f>
        <v>5</v>
      </c>
      <c r="Y306" s="4" t="n">
        <f aca="false">IF(TRIM(AO306)="Yes",5,0)</f>
        <v>5</v>
      </c>
      <c r="Z306" s="4" t="n">
        <f aca="false">IF(TRIM(AP306)="Yes",2.5,0)</f>
        <v>2.5</v>
      </c>
      <c r="AA306" s="4" t="n">
        <f aca="false">IF(TRIM(AQ306)="Yes",5,0)</f>
        <v>5</v>
      </c>
      <c r="AB306" s="4" t="n">
        <f aca="false">IF(OR(TRIM(AR306)="Yes",TRIM(AR306)="Not Applicable"),5,0)</f>
        <v>5</v>
      </c>
      <c r="AC306" s="4" t="n">
        <f aca="false">IF(TRIM(AS306)="Excellent",5,IF(TRIM(AS306)="Very Good",4,IF(TRIM(AS306)="Good",3,IF(TRIM(AS306)="Average",2,0))))</f>
        <v>4</v>
      </c>
      <c r="AD306" s="7" t="n">
        <f aca="false">IF(COUNT(S306:AC306)=0,"",SUM(S306:AC306))</f>
        <v>79</v>
      </c>
      <c r="AE306" s="7"/>
      <c r="AF306" s="8"/>
      <c r="AG306" s="5"/>
      <c r="AH306" s="4"/>
      <c r="AI306" s="4" t="s">
        <v>62</v>
      </c>
      <c r="AJ306" s="4" t="s">
        <v>62</v>
      </c>
      <c r="AK306" s="4" t="s">
        <v>62</v>
      </c>
      <c r="AL306" s="4" t="s">
        <v>63</v>
      </c>
      <c r="AM306" s="4" t="s">
        <v>62</v>
      </c>
      <c r="AN306" s="4" t="s">
        <v>64</v>
      </c>
      <c r="AO306" s="4" t="s">
        <v>62</v>
      </c>
      <c r="AP306" s="4" t="s">
        <v>62</v>
      </c>
      <c r="AQ306" s="4" t="s">
        <v>62</v>
      </c>
      <c r="AR306" s="4" t="s">
        <v>62</v>
      </c>
      <c r="AS306" s="4" t="s">
        <v>74</v>
      </c>
      <c r="AT306" s="4" t="n">
        <v>10</v>
      </c>
      <c r="AU306" s="4" t="s">
        <v>66</v>
      </c>
      <c r="AV306" s="4" t="s">
        <v>208</v>
      </c>
      <c r="AW306" s="4" t="s">
        <v>988</v>
      </c>
      <c r="AX306" s="4" t="s">
        <v>117</v>
      </c>
      <c r="AY306" s="4" t="n">
        <v>5</v>
      </c>
      <c r="AZ306" s="4" t="s">
        <v>62</v>
      </c>
      <c r="BA306" s="4" t="s">
        <v>987</v>
      </c>
      <c r="BB306" s="4" t="s">
        <v>760</v>
      </c>
      <c r="BC306" s="6" t="n">
        <v>0.5</v>
      </c>
      <c r="BD306" s="4" t="n">
        <v>93</v>
      </c>
    </row>
    <row r="307" customFormat="false" ht="114.9" hidden="false" customHeight="false" outlineLevel="0" collapsed="false">
      <c r="A307" s="4"/>
      <c r="B307" s="4" t="s">
        <v>753</v>
      </c>
      <c r="C307" s="4" t="s">
        <v>57</v>
      </c>
      <c r="D307" s="4" t="s">
        <v>754</v>
      </c>
      <c r="E307" s="4" t="s">
        <v>755</v>
      </c>
      <c r="F307" s="4" t="n">
        <v>2398</v>
      </c>
      <c r="G307" s="5" t="s">
        <v>983</v>
      </c>
      <c r="H307" s="5" t="s">
        <v>181</v>
      </c>
      <c r="I307" s="4"/>
      <c r="J307" s="4"/>
      <c r="K307" s="4"/>
      <c r="L307" s="4" t="n">
        <v>20</v>
      </c>
      <c r="M307" s="4" t="n">
        <v>20</v>
      </c>
      <c r="N307" s="4" t="n">
        <v>0</v>
      </c>
      <c r="O307" s="4" t="n">
        <v>17</v>
      </c>
      <c r="P307" s="4" t="n">
        <v>3</v>
      </c>
      <c r="Q307" s="4" t="n">
        <v>8</v>
      </c>
      <c r="R307" s="6" t="n">
        <f aca="false">IF(N(L307)=0,0,O307/L307)</f>
        <v>0.85</v>
      </c>
      <c r="S307" s="4" t="n">
        <f aca="false">IF(R307="","",IF(R307&gt;=0.8,50,IF(R307&gt;=0.5,30,IF(R307&gt;=0.01,10,0))))</f>
        <v>50</v>
      </c>
      <c r="T307" s="4" t="n">
        <f aca="false">IF(TRIM(AI307)="Yes",2.5,0)</f>
        <v>2.5</v>
      </c>
      <c r="U307" s="4" t="n">
        <f aca="false">IF(TRIM(AJ307)="Yes",10,0)</f>
        <v>10</v>
      </c>
      <c r="V307" s="4" t="n">
        <f aca="false">IF(TRIM(AK307)="Yes",5,0)</f>
        <v>5</v>
      </c>
      <c r="W307" s="4" t="n">
        <f aca="false">IF(TRIM(AM307)="Yes",5,0)</f>
        <v>5</v>
      </c>
      <c r="X307" s="4" t="n">
        <f aca="false">IF(OR(TRIM(AN307)="Fully Available",TRIM(AN307)="Not Applicable"),5,IF(TRIM(AN307)="Partially Available",2.5,0))</f>
        <v>5</v>
      </c>
      <c r="Y307" s="4" t="n">
        <f aca="false">IF(TRIM(AO307)="Yes",5,0)</f>
        <v>5</v>
      </c>
      <c r="Z307" s="4" t="n">
        <f aca="false">IF(TRIM(AP307)="Yes",2.5,0)</f>
        <v>2.5</v>
      </c>
      <c r="AA307" s="4" t="n">
        <f aca="false">IF(TRIM(AQ307)="Yes",5,0)</f>
        <v>5</v>
      </c>
      <c r="AB307" s="4" t="n">
        <f aca="false">IF(OR(TRIM(AR307)="Yes",TRIM(AR307)="Not Applicable"),5,0)</f>
        <v>5</v>
      </c>
      <c r="AC307" s="4" t="n">
        <f aca="false">IF(TRIM(AS307)="Excellent",5,IF(TRIM(AS307)="Very Good",4,IF(TRIM(AS307)="Good",3,IF(TRIM(AS307)="Average",2,0))))</f>
        <v>4</v>
      </c>
      <c r="AD307" s="7" t="n">
        <f aca="false">IF(COUNT(S307:AC307)=0,"",SUM(S307:AC307))</f>
        <v>99</v>
      </c>
      <c r="AE307" s="7"/>
      <c r="AF307" s="8"/>
      <c r="AG307" s="5"/>
      <c r="AH307" s="4"/>
      <c r="AI307" s="4" t="s">
        <v>62</v>
      </c>
      <c r="AJ307" s="4" t="s">
        <v>62</v>
      </c>
      <c r="AK307" s="4" t="s">
        <v>62</v>
      </c>
      <c r="AL307" s="4" t="s">
        <v>63</v>
      </c>
      <c r="AM307" s="4" t="s">
        <v>62</v>
      </c>
      <c r="AN307" s="4" t="s">
        <v>64</v>
      </c>
      <c r="AO307" s="4" t="s">
        <v>62</v>
      </c>
      <c r="AP307" s="4" t="s">
        <v>62</v>
      </c>
      <c r="AQ307" s="4" t="s">
        <v>62</v>
      </c>
      <c r="AR307" s="4" t="s">
        <v>62</v>
      </c>
      <c r="AS307" s="4" t="s">
        <v>74</v>
      </c>
      <c r="AT307" s="4" t="n">
        <v>13</v>
      </c>
      <c r="AU307" s="4" t="s">
        <v>66</v>
      </c>
      <c r="AV307" s="4" t="s">
        <v>208</v>
      </c>
      <c r="AW307" s="4" t="s">
        <v>989</v>
      </c>
      <c r="AX307" s="4" t="s">
        <v>990</v>
      </c>
      <c r="AY307" s="4" t="n">
        <v>5</v>
      </c>
      <c r="AZ307" s="4" t="s">
        <v>62</v>
      </c>
      <c r="BA307" s="4" t="s">
        <v>987</v>
      </c>
      <c r="BB307" s="4" t="s">
        <v>760</v>
      </c>
      <c r="BC307" s="6" t="n">
        <v>0.4706</v>
      </c>
      <c r="BD307" s="4" t="n">
        <v>93</v>
      </c>
    </row>
    <row r="308" customFormat="false" ht="114.9" hidden="false" customHeight="false" outlineLevel="0" collapsed="false">
      <c r="A308" s="4"/>
      <c r="B308" s="4" t="s">
        <v>753</v>
      </c>
      <c r="C308" s="4" t="s">
        <v>57</v>
      </c>
      <c r="D308" s="4" t="s">
        <v>754</v>
      </c>
      <c r="E308" s="4" t="s">
        <v>755</v>
      </c>
      <c r="F308" s="4" t="n">
        <v>2398</v>
      </c>
      <c r="G308" s="5" t="s">
        <v>983</v>
      </c>
      <c r="H308" s="5" t="s">
        <v>169</v>
      </c>
      <c r="I308" s="4"/>
      <c r="J308" s="4"/>
      <c r="K308" s="4"/>
      <c r="L308" s="4" t="n">
        <v>20</v>
      </c>
      <c r="M308" s="4" t="n">
        <v>20</v>
      </c>
      <c r="N308" s="4" t="n">
        <v>0</v>
      </c>
      <c r="O308" s="4" t="n">
        <v>17</v>
      </c>
      <c r="P308" s="4" t="n">
        <v>3</v>
      </c>
      <c r="Q308" s="4" t="n">
        <v>8</v>
      </c>
      <c r="R308" s="6" t="n">
        <f aca="false">IF(N(L308)=0,0,O308/L308)</f>
        <v>0.85</v>
      </c>
      <c r="S308" s="4" t="n">
        <f aca="false">IF(R308="","",IF(R308&gt;=0.8,50,IF(R308&gt;=0.5,30,IF(R308&gt;=0.01,10,0))))</f>
        <v>50</v>
      </c>
      <c r="T308" s="4" t="n">
        <f aca="false">IF(TRIM(AI308)="Yes",2.5,0)</f>
        <v>2.5</v>
      </c>
      <c r="U308" s="4" t="n">
        <f aca="false">IF(TRIM(AJ308)="Yes",10,0)</f>
        <v>10</v>
      </c>
      <c r="V308" s="4" t="n">
        <f aca="false">IF(TRIM(AK308)="Yes",5,0)</f>
        <v>5</v>
      </c>
      <c r="W308" s="4" t="n">
        <f aca="false">IF(TRIM(AM308)="Yes",5,0)</f>
        <v>5</v>
      </c>
      <c r="X308" s="4" t="n">
        <f aca="false">IF(OR(TRIM(AN308)="Fully Available",TRIM(AN308)="Not Applicable"),5,IF(TRIM(AN308)="Partially Available",2.5,0))</f>
        <v>5</v>
      </c>
      <c r="Y308" s="4" t="n">
        <f aca="false">IF(TRIM(AO308)="Yes",5,0)</f>
        <v>5</v>
      </c>
      <c r="Z308" s="4" t="n">
        <f aca="false">IF(TRIM(AP308)="Yes",2.5,0)</f>
        <v>2.5</v>
      </c>
      <c r="AA308" s="4" t="n">
        <f aca="false">IF(TRIM(AQ308)="Yes",5,0)</f>
        <v>5</v>
      </c>
      <c r="AB308" s="4" t="n">
        <f aca="false">IF(OR(TRIM(AR308)="Yes",TRIM(AR308)="Not Applicable"),5,0)</f>
        <v>5</v>
      </c>
      <c r="AC308" s="4" t="n">
        <f aca="false">IF(TRIM(AS308)="Excellent",5,IF(TRIM(AS308)="Very Good",4,IF(TRIM(AS308)="Good",3,IF(TRIM(AS308)="Average",2,0))))</f>
        <v>4</v>
      </c>
      <c r="AD308" s="7" t="n">
        <f aca="false">IF(COUNT(S308:AC308)=0,"",SUM(S308:AC308))</f>
        <v>99</v>
      </c>
      <c r="AE308" s="7"/>
      <c r="AF308" s="8"/>
      <c r="AG308" s="5"/>
      <c r="AH308" s="4"/>
      <c r="AI308" s="4" t="s">
        <v>62</v>
      </c>
      <c r="AJ308" s="4" t="s">
        <v>62</v>
      </c>
      <c r="AK308" s="4" t="s">
        <v>62</v>
      </c>
      <c r="AL308" s="4" t="s">
        <v>63</v>
      </c>
      <c r="AM308" s="4" t="s">
        <v>62</v>
      </c>
      <c r="AN308" s="4" t="s">
        <v>64</v>
      </c>
      <c r="AO308" s="4" t="s">
        <v>62</v>
      </c>
      <c r="AP308" s="4" t="s">
        <v>62</v>
      </c>
      <c r="AQ308" s="4" t="s">
        <v>62</v>
      </c>
      <c r="AR308" s="4" t="s">
        <v>62</v>
      </c>
      <c r="AS308" s="4" t="s">
        <v>74</v>
      </c>
      <c r="AT308" s="4" t="n">
        <v>30</v>
      </c>
      <c r="AU308" s="4" t="s">
        <v>66</v>
      </c>
      <c r="AV308" s="4" t="s">
        <v>208</v>
      </c>
      <c r="AW308" s="4" t="s">
        <v>991</v>
      </c>
      <c r="AX308" s="4" t="s">
        <v>992</v>
      </c>
      <c r="AY308" s="4" t="n">
        <v>11</v>
      </c>
      <c r="AZ308" s="4" t="s">
        <v>62</v>
      </c>
      <c r="BA308" s="4" t="s">
        <v>987</v>
      </c>
      <c r="BB308" s="4" t="s">
        <v>760</v>
      </c>
      <c r="BC308" s="6" t="n">
        <v>0.4706</v>
      </c>
      <c r="BD308" s="4" t="n">
        <v>93</v>
      </c>
    </row>
    <row r="309" customFormat="false" ht="129.1" hidden="false" customHeight="false" outlineLevel="0" collapsed="false">
      <c r="A309" s="4" t="n">
        <v>134</v>
      </c>
      <c r="B309" s="4" t="s">
        <v>753</v>
      </c>
      <c r="C309" s="4" t="s">
        <v>57</v>
      </c>
      <c r="D309" s="4" t="s">
        <v>754</v>
      </c>
      <c r="E309" s="4" t="s">
        <v>993</v>
      </c>
      <c r="F309" s="4" t="n">
        <v>6358</v>
      </c>
      <c r="G309" s="5" t="s">
        <v>994</v>
      </c>
      <c r="H309" s="5" t="s">
        <v>238</v>
      </c>
      <c r="I309" s="4"/>
      <c r="J309" s="4"/>
      <c r="K309" s="4"/>
      <c r="L309" s="4" t="n">
        <v>20</v>
      </c>
      <c r="M309" s="4" t="n">
        <v>20</v>
      </c>
      <c r="N309" s="4" t="n">
        <v>0</v>
      </c>
      <c r="O309" s="4" t="n">
        <v>17</v>
      </c>
      <c r="P309" s="4" t="n">
        <v>3</v>
      </c>
      <c r="Q309" s="4" t="n">
        <v>6</v>
      </c>
      <c r="R309" s="6" t="n">
        <f aca="false">IF(N(L309)=0,0,O309/L309)</f>
        <v>0.85</v>
      </c>
      <c r="S309" s="4" t="n">
        <f aca="false">IF(R309="","",IF(R309&gt;=0.8,50,IF(R309&gt;=0.5,30,IF(R309&gt;=0.01,10,0))))</f>
        <v>50</v>
      </c>
      <c r="T309" s="4" t="n">
        <f aca="false">IF(TRIM(AI309)="Yes",2.5,0)</f>
        <v>0</v>
      </c>
      <c r="U309" s="4" t="n">
        <f aca="false">IF(TRIM(AJ309)="Yes",10,0)</f>
        <v>0</v>
      </c>
      <c r="V309" s="4" t="n">
        <f aca="false">IF(TRIM(AK309)="Yes",5,0)</f>
        <v>0</v>
      </c>
      <c r="W309" s="4" t="n">
        <f aca="false">IF(TRIM(AM309)="Yes",5,0)</f>
        <v>5</v>
      </c>
      <c r="X309" s="4" t="n">
        <f aca="false">IF(OR(TRIM(AN309)="Fully Available",TRIM(AN309)="Not Applicable"),5,IF(TRIM(AN309)="Partially Available",2.5,0))</f>
        <v>5</v>
      </c>
      <c r="Y309" s="4" t="n">
        <f aca="false">IF(TRIM(AO309)="Yes",5,0)</f>
        <v>5</v>
      </c>
      <c r="Z309" s="4" t="n">
        <f aca="false">IF(TRIM(AP309)="Yes",2.5,0)</f>
        <v>2.5</v>
      </c>
      <c r="AA309" s="4" t="n">
        <f aca="false">IF(TRIM(AQ309)="Yes",5,0)</f>
        <v>5</v>
      </c>
      <c r="AB309" s="4" t="n">
        <f aca="false">IF(OR(TRIM(AR309)="Yes",TRIM(AR309)="Not Applicable"),5,0)</f>
        <v>5</v>
      </c>
      <c r="AC309" s="4" t="n">
        <f aca="false">IF(TRIM(AS309)="Excellent",5,IF(TRIM(AS309)="Very Good",4,IF(TRIM(AS309)="Good",3,IF(TRIM(AS309)="Average",2,0))))</f>
        <v>4</v>
      </c>
      <c r="AD309" s="7" t="n">
        <f aca="false">IF(COUNT(S309:AC309)=0,"",SUM(S309:AC309))</f>
        <v>81.5</v>
      </c>
      <c r="AE309" s="7" t="n">
        <f aca="false">IF(COUNTIF($F$2:F309,F309)=1,IFERROR(AVERAGEIF($F:$F,F309,$AD:$AD),""),"")</f>
        <v>81.5</v>
      </c>
      <c r="AF309" s="8" t="str">
        <f aca="false">IF(AH309&lt;&gt;"",AH309,IF(AE309="","",IF(AE309&gt;=80,"Excellent",IF(AE309&gt;=70,"Very Good",IF(AE309&gt;=60,"Good",IF(AE309&gt;=50,"Average","Poor"))))))</f>
        <v>Excellent</v>
      </c>
      <c r="AG309" s="5"/>
      <c r="AH309" s="4"/>
      <c r="AI309" s="4" t="s">
        <v>82</v>
      </c>
      <c r="AJ309" s="4" t="s">
        <v>82</v>
      </c>
      <c r="AK309" s="4" t="s">
        <v>82</v>
      </c>
      <c r="AL309" s="4" t="s">
        <v>63</v>
      </c>
      <c r="AM309" s="4" t="s">
        <v>62</v>
      </c>
      <c r="AN309" s="4" t="s">
        <v>64</v>
      </c>
      <c r="AO309" s="4" t="s">
        <v>62</v>
      </c>
      <c r="AP309" s="4" t="s">
        <v>62</v>
      </c>
      <c r="AQ309" s="4" t="s">
        <v>62</v>
      </c>
      <c r="AR309" s="4" t="s">
        <v>73</v>
      </c>
      <c r="AS309" s="4" t="s">
        <v>74</v>
      </c>
      <c r="AT309" s="4" t="n">
        <v>7</v>
      </c>
      <c r="AU309" s="4" t="s">
        <v>66</v>
      </c>
      <c r="AV309" s="4" t="s">
        <v>91</v>
      </c>
      <c r="AW309" s="4" t="s">
        <v>845</v>
      </c>
      <c r="AX309" s="4" t="s">
        <v>995</v>
      </c>
      <c r="AY309" s="4" t="n">
        <v>5</v>
      </c>
      <c r="AZ309" s="4" t="s">
        <v>62</v>
      </c>
      <c r="BA309" s="4" t="s">
        <v>996</v>
      </c>
      <c r="BB309" s="4" t="s">
        <v>760</v>
      </c>
      <c r="BC309" s="6" t="n">
        <v>0.3529</v>
      </c>
      <c r="BD309" s="4" t="n">
        <v>70</v>
      </c>
    </row>
    <row r="310" customFormat="false" ht="129.1" hidden="false" customHeight="false" outlineLevel="0" collapsed="false">
      <c r="A310" s="4"/>
      <c r="B310" s="4" t="s">
        <v>753</v>
      </c>
      <c r="C310" s="4" t="s">
        <v>57</v>
      </c>
      <c r="D310" s="4" t="s">
        <v>754</v>
      </c>
      <c r="E310" s="4" t="s">
        <v>993</v>
      </c>
      <c r="F310" s="4" t="n">
        <v>6358</v>
      </c>
      <c r="G310" s="5" t="s">
        <v>994</v>
      </c>
      <c r="H310" s="5" t="s">
        <v>261</v>
      </c>
      <c r="I310" s="4"/>
      <c r="J310" s="4"/>
      <c r="K310" s="4"/>
      <c r="L310" s="4" t="n">
        <v>20</v>
      </c>
      <c r="M310" s="4" t="n">
        <v>20</v>
      </c>
      <c r="N310" s="4" t="n">
        <v>0</v>
      </c>
      <c r="O310" s="4" t="n">
        <v>16</v>
      </c>
      <c r="P310" s="4" t="n">
        <v>4</v>
      </c>
      <c r="Q310" s="4" t="n">
        <v>6</v>
      </c>
      <c r="R310" s="6" t="n">
        <f aca="false">IF(N(L310)=0,0,O310/L310)</f>
        <v>0.8</v>
      </c>
      <c r="S310" s="4" t="n">
        <f aca="false">IF(R310="","",IF(R310&gt;=0.8,50,IF(R310&gt;=0.5,30,IF(R310&gt;=0.01,10,0))))</f>
        <v>50</v>
      </c>
      <c r="T310" s="4" t="n">
        <f aca="false">IF(TRIM(AI310)="Yes",2.5,0)</f>
        <v>0</v>
      </c>
      <c r="U310" s="4" t="n">
        <f aca="false">IF(TRIM(AJ310)="Yes",10,0)</f>
        <v>0</v>
      </c>
      <c r="V310" s="4" t="n">
        <f aca="false">IF(TRIM(AK310)="Yes",5,0)</f>
        <v>0</v>
      </c>
      <c r="W310" s="4" t="n">
        <f aca="false">IF(TRIM(AM310)="Yes",5,0)</f>
        <v>5</v>
      </c>
      <c r="X310" s="4" t="n">
        <f aca="false">IF(OR(TRIM(AN310)="Fully Available",TRIM(AN310)="Not Applicable"),5,IF(TRIM(AN310)="Partially Available",2.5,0))</f>
        <v>5</v>
      </c>
      <c r="Y310" s="4" t="n">
        <f aca="false">IF(TRIM(AO310)="Yes",5,0)</f>
        <v>5</v>
      </c>
      <c r="Z310" s="4" t="n">
        <f aca="false">IF(TRIM(AP310)="Yes",2.5,0)</f>
        <v>2.5</v>
      </c>
      <c r="AA310" s="4" t="n">
        <f aca="false">IF(TRIM(AQ310)="Yes",5,0)</f>
        <v>5</v>
      </c>
      <c r="AB310" s="4" t="n">
        <f aca="false">IF(OR(TRIM(AR310)="Yes",TRIM(AR310)="Not Applicable"),5,0)</f>
        <v>5</v>
      </c>
      <c r="AC310" s="4" t="n">
        <f aca="false">IF(TRIM(AS310)="Excellent",5,IF(TRIM(AS310)="Very Good",4,IF(TRIM(AS310)="Good",3,IF(TRIM(AS310)="Average",2,0))))</f>
        <v>4</v>
      </c>
      <c r="AD310" s="7" t="n">
        <f aca="false">IF(COUNT(S310:AC310)=0,"",SUM(S310:AC310))</f>
        <v>81.5</v>
      </c>
      <c r="AE310" s="7"/>
      <c r="AF310" s="8"/>
      <c r="AG310" s="5"/>
      <c r="AH310" s="4"/>
      <c r="AI310" s="4" t="s">
        <v>82</v>
      </c>
      <c r="AJ310" s="4" t="s">
        <v>82</v>
      </c>
      <c r="AK310" s="4" t="s">
        <v>82</v>
      </c>
      <c r="AL310" s="4" t="s">
        <v>63</v>
      </c>
      <c r="AM310" s="4" t="s">
        <v>62</v>
      </c>
      <c r="AN310" s="4" t="s">
        <v>64</v>
      </c>
      <c r="AO310" s="4" t="s">
        <v>62</v>
      </c>
      <c r="AP310" s="4" t="s">
        <v>62</v>
      </c>
      <c r="AQ310" s="4" t="s">
        <v>62</v>
      </c>
      <c r="AR310" s="4" t="s">
        <v>73</v>
      </c>
      <c r="AS310" s="4" t="s">
        <v>74</v>
      </c>
      <c r="AT310" s="4" t="n">
        <v>7</v>
      </c>
      <c r="AU310" s="4" t="s">
        <v>66</v>
      </c>
      <c r="AV310" s="4" t="s">
        <v>91</v>
      </c>
      <c r="AW310" s="4" t="s">
        <v>845</v>
      </c>
      <c r="AX310" s="4" t="s">
        <v>793</v>
      </c>
      <c r="AY310" s="4" t="n">
        <v>5</v>
      </c>
      <c r="AZ310" s="4" t="s">
        <v>62</v>
      </c>
      <c r="BA310" s="4" t="s">
        <v>996</v>
      </c>
      <c r="BB310" s="4" t="s">
        <v>760</v>
      </c>
      <c r="BC310" s="6" t="n">
        <v>0.375</v>
      </c>
      <c r="BD310" s="4" t="n">
        <v>70</v>
      </c>
    </row>
    <row r="311" customFormat="false" ht="86.55" hidden="false" customHeight="false" outlineLevel="0" collapsed="false">
      <c r="A311" s="4" t="n">
        <v>135</v>
      </c>
      <c r="B311" s="4" t="s">
        <v>753</v>
      </c>
      <c r="C311" s="4" t="s">
        <v>57</v>
      </c>
      <c r="D311" s="4" t="s">
        <v>754</v>
      </c>
      <c r="E311" s="4" t="s">
        <v>993</v>
      </c>
      <c r="F311" s="4" t="n">
        <v>5804</v>
      </c>
      <c r="G311" s="5" t="s">
        <v>997</v>
      </c>
      <c r="H311" s="5" t="s">
        <v>90</v>
      </c>
      <c r="I311" s="4"/>
      <c r="J311" s="4"/>
      <c r="K311" s="4"/>
      <c r="L311" s="4" t="n">
        <v>20</v>
      </c>
      <c r="M311" s="4" t="n">
        <v>20</v>
      </c>
      <c r="N311" s="4" t="n">
        <v>0</v>
      </c>
      <c r="O311" s="4" t="n">
        <v>13</v>
      </c>
      <c r="P311" s="4" t="n">
        <v>7</v>
      </c>
      <c r="Q311" s="4" t="n">
        <v>8</v>
      </c>
      <c r="R311" s="6" t="n">
        <f aca="false">IF(N(L311)=0,0,O311/L311)</f>
        <v>0.65</v>
      </c>
      <c r="S311" s="4" t="n">
        <f aca="false">IF(R311="","",IF(R311&gt;=0.8,50,IF(R311&gt;=0.5,30,IF(R311&gt;=0.01,10,0))))</f>
        <v>30</v>
      </c>
      <c r="T311" s="4" t="n">
        <f aca="false">IF(TRIM(AI311)="Yes",2.5,0)</f>
        <v>2.5</v>
      </c>
      <c r="U311" s="4" t="n">
        <f aca="false">IF(TRIM(AJ311)="Yes",10,0)</f>
        <v>10</v>
      </c>
      <c r="V311" s="4" t="n">
        <f aca="false">IF(TRIM(AK311)="Yes",5,0)</f>
        <v>5</v>
      </c>
      <c r="W311" s="4" t="n">
        <f aca="false">IF(TRIM(AM311)="Yes",5,0)</f>
        <v>5</v>
      </c>
      <c r="X311" s="4" t="n">
        <f aca="false">IF(OR(TRIM(AN311)="Fully Available",TRIM(AN311)="Not Applicable"),5,IF(TRIM(AN311)="Partially Available",2.5,0))</f>
        <v>5</v>
      </c>
      <c r="Y311" s="4" t="n">
        <f aca="false">IF(TRIM(AO311)="Yes",5,0)</f>
        <v>5</v>
      </c>
      <c r="Z311" s="4" t="n">
        <f aca="false">IF(TRIM(AP311)="Yes",2.5,0)</f>
        <v>2.5</v>
      </c>
      <c r="AA311" s="4" t="n">
        <f aca="false">IF(TRIM(AQ311)="Yes",5,0)</f>
        <v>5</v>
      </c>
      <c r="AB311" s="4" t="n">
        <f aca="false">IF(OR(TRIM(AR311)="Yes",TRIM(AR311)="Not Applicable"),5,0)</f>
        <v>5</v>
      </c>
      <c r="AC311" s="4" t="n">
        <f aca="false">IF(TRIM(AS311)="Excellent",5,IF(TRIM(AS311)="Very Good",4,IF(TRIM(AS311)="Good",3,IF(TRIM(AS311)="Average",2,0))))</f>
        <v>4</v>
      </c>
      <c r="AD311" s="7" t="n">
        <f aca="false">IF(COUNT(S311:AC311)=0,"",SUM(S311:AC311))</f>
        <v>79</v>
      </c>
      <c r="AE311" s="7" t="n">
        <f aca="false">IF(COUNTIF($F$2:F311,F311)=1,IFERROR(AVERAGEIF($F:$F,F311,$AD:$AD),""),"")</f>
        <v>89</v>
      </c>
      <c r="AF311" s="8" t="str">
        <f aca="false">IF(AH311&lt;&gt;"",AH311,IF(AE311="","",IF(AE311&gt;=80,"Excellent",IF(AE311&gt;=70,"Very Good",IF(AE311&gt;=60,"Good",IF(AE311&gt;=50,"Average","Poor"))))))</f>
        <v>Excellent</v>
      </c>
      <c r="AG311" s="5"/>
      <c r="AH311" s="4"/>
      <c r="AI311" s="4" t="s">
        <v>62</v>
      </c>
      <c r="AJ311" s="4" t="s">
        <v>62</v>
      </c>
      <c r="AK311" s="4" t="s">
        <v>62</v>
      </c>
      <c r="AL311" s="4" t="s">
        <v>63</v>
      </c>
      <c r="AM311" s="4" t="s">
        <v>62</v>
      </c>
      <c r="AN311" s="4" t="s">
        <v>64</v>
      </c>
      <c r="AO311" s="4" t="s">
        <v>62</v>
      </c>
      <c r="AP311" s="4" t="s">
        <v>62</v>
      </c>
      <c r="AQ311" s="4" t="s">
        <v>62</v>
      </c>
      <c r="AR311" s="4" t="s">
        <v>73</v>
      </c>
      <c r="AS311" s="4" t="s">
        <v>74</v>
      </c>
      <c r="AT311" s="4" t="n">
        <v>7</v>
      </c>
      <c r="AU311" s="4" t="s">
        <v>66</v>
      </c>
      <c r="AV311" s="4" t="s">
        <v>128</v>
      </c>
      <c r="AW311" s="4" t="s">
        <v>845</v>
      </c>
      <c r="AX311" s="4" t="s">
        <v>793</v>
      </c>
      <c r="AY311" s="4" t="n">
        <v>5</v>
      </c>
      <c r="AZ311" s="4" t="s">
        <v>62</v>
      </c>
      <c r="BA311" s="4" t="s">
        <v>998</v>
      </c>
      <c r="BB311" s="4" t="s">
        <v>760</v>
      </c>
      <c r="BC311" s="6" t="n">
        <v>0.6154</v>
      </c>
      <c r="BD311" s="4" t="n">
        <v>93</v>
      </c>
    </row>
    <row r="312" customFormat="false" ht="86.55" hidden="false" customHeight="false" outlineLevel="0" collapsed="false">
      <c r="A312" s="4"/>
      <c r="B312" s="4" t="s">
        <v>753</v>
      </c>
      <c r="C312" s="4" t="s">
        <v>57</v>
      </c>
      <c r="D312" s="4" t="s">
        <v>754</v>
      </c>
      <c r="E312" s="4" t="s">
        <v>993</v>
      </c>
      <c r="F312" s="4" t="n">
        <v>5804</v>
      </c>
      <c r="G312" s="5" t="s">
        <v>997</v>
      </c>
      <c r="H312" s="5" t="s">
        <v>217</v>
      </c>
      <c r="I312" s="4"/>
      <c r="J312" s="4"/>
      <c r="K312" s="4"/>
      <c r="L312" s="4" t="n">
        <v>20</v>
      </c>
      <c r="M312" s="4" t="n">
        <v>20</v>
      </c>
      <c r="N312" s="4" t="n">
        <v>0</v>
      </c>
      <c r="O312" s="4" t="n">
        <v>16</v>
      </c>
      <c r="P312" s="4" t="n">
        <v>4</v>
      </c>
      <c r="Q312" s="4" t="n">
        <v>8</v>
      </c>
      <c r="R312" s="6" t="n">
        <f aca="false">IF(N(L312)=0,0,O312/L312)</f>
        <v>0.8</v>
      </c>
      <c r="S312" s="4" t="n">
        <f aca="false">IF(R312="","",IF(R312&gt;=0.8,50,IF(R312&gt;=0.5,30,IF(R312&gt;=0.01,10,0))))</f>
        <v>50</v>
      </c>
      <c r="T312" s="4" t="n">
        <f aca="false">IF(TRIM(AI312)="Yes",2.5,0)</f>
        <v>2.5</v>
      </c>
      <c r="U312" s="4" t="n">
        <f aca="false">IF(TRIM(AJ312)="Yes",10,0)</f>
        <v>10</v>
      </c>
      <c r="V312" s="4" t="n">
        <f aca="false">IF(TRIM(AK312)="Yes",5,0)</f>
        <v>5</v>
      </c>
      <c r="W312" s="4" t="n">
        <f aca="false">IF(TRIM(AM312)="Yes",5,0)</f>
        <v>5</v>
      </c>
      <c r="X312" s="4" t="n">
        <f aca="false">IF(OR(TRIM(AN312)="Fully Available",TRIM(AN312)="Not Applicable"),5,IF(TRIM(AN312)="Partially Available",2.5,0))</f>
        <v>5</v>
      </c>
      <c r="Y312" s="4" t="n">
        <f aca="false">IF(TRIM(AO312)="Yes",5,0)</f>
        <v>5</v>
      </c>
      <c r="Z312" s="4" t="n">
        <f aca="false">IF(TRIM(AP312)="Yes",2.5,0)</f>
        <v>2.5</v>
      </c>
      <c r="AA312" s="4" t="n">
        <f aca="false">IF(TRIM(AQ312)="Yes",5,0)</f>
        <v>5</v>
      </c>
      <c r="AB312" s="4" t="n">
        <f aca="false">IF(OR(TRIM(AR312)="Yes",TRIM(AR312)="Not Applicable"),5,0)</f>
        <v>5</v>
      </c>
      <c r="AC312" s="4" t="n">
        <f aca="false">IF(TRIM(AS312)="Excellent",5,IF(TRIM(AS312)="Very Good",4,IF(TRIM(AS312)="Good",3,IF(TRIM(AS312)="Average",2,0))))</f>
        <v>4</v>
      </c>
      <c r="AD312" s="7" t="n">
        <f aca="false">IF(COUNT(S312:AC312)=0,"",SUM(S312:AC312))</f>
        <v>99</v>
      </c>
      <c r="AE312" s="7"/>
      <c r="AF312" s="8"/>
      <c r="AG312" s="5"/>
      <c r="AH312" s="4"/>
      <c r="AI312" s="4" t="s">
        <v>62</v>
      </c>
      <c r="AJ312" s="4" t="s">
        <v>62</v>
      </c>
      <c r="AK312" s="4" t="s">
        <v>62</v>
      </c>
      <c r="AL312" s="4" t="s">
        <v>63</v>
      </c>
      <c r="AM312" s="4" t="s">
        <v>62</v>
      </c>
      <c r="AN312" s="4" t="s">
        <v>64</v>
      </c>
      <c r="AO312" s="4" t="s">
        <v>62</v>
      </c>
      <c r="AP312" s="4" t="s">
        <v>62</v>
      </c>
      <c r="AQ312" s="4" t="s">
        <v>62</v>
      </c>
      <c r="AR312" s="4" t="s">
        <v>62</v>
      </c>
      <c r="AS312" s="4" t="s">
        <v>74</v>
      </c>
      <c r="AT312" s="4" t="n">
        <v>4</v>
      </c>
      <c r="AU312" s="4" t="s">
        <v>112</v>
      </c>
      <c r="AV312" s="4" t="s">
        <v>128</v>
      </c>
      <c r="AW312" s="4" t="s">
        <v>999</v>
      </c>
      <c r="AX312" s="4" t="s">
        <v>1000</v>
      </c>
      <c r="AY312" s="4" t="n">
        <v>16</v>
      </c>
      <c r="AZ312" s="4" t="s">
        <v>62</v>
      </c>
      <c r="BA312" s="4" t="s">
        <v>998</v>
      </c>
      <c r="BB312" s="4" t="s">
        <v>760</v>
      </c>
      <c r="BC312" s="6" t="n">
        <v>0.5</v>
      </c>
      <c r="BD312" s="4" t="n">
        <v>93</v>
      </c>
    </row>
    <row r="313" customFormat="false" ht="86.55" hidden="false" customHeight="false" outlineLevel="0" collapsed="false">
      <c r="A313" s="4"/>
      <c r="B313" s="4" t="s">
        <v>753</v>
      </c>
      <c r="C313" s="4" t="s">
        <v>57</v>
      </c>
      <c r="D313" s="4" t="s">
        <v>754</v>
      </c>
      <c r="E313" s="4" t="s">
        <v>993</v>
      </c>
      <c r="F313" s="4" t="n">
        <v>5804</v>
      </c>
      <c r="G313" s="5" t="s">
        <v>997</v>
      </c>
      <c r="H313" s="5" t="s">
        <v>78</v>
      </c>
      <c r="I313" s="4"/>
      <c r="J313" s="4"/>
      <c r="K313" s="4"/>
      <c r="L313" s="4" t="n">
        <v>20</v>
      </c>
      <c r="M313" s="4" t="n">
        <v>20</v>
      </c>
      <c r="N313" s="4" t="n">
        <v>0</v>
      </c>
      <c r="O313" s="4" t="n">
        <v>14</v>
      </c>
      <c r="P313" s="4" t="n">
        <v>6</v>
      </c>
      <c r="Q313" s="4" t="n">
        <v>10</v>
      </c>
      <c r="R313" s="6" t="n">
        <f aca="false">IF(N(L313)=0,0,O313/L313)</f>
        <v>0.7</v>
      </c>
      <c r="S313" s="4" t="n">
        <f aca="false">IF(R313="","",IF(R313&gt;=0.8,50,IF(R313&gt;=0.5,30,IF(R313&gt;=0.01,10,0))))</f>
        <v>30</v>
      </c>
      <c r="T313" s="4" t="n">
        <f aca="false">IF(TRIM(AI313)="Yes",2.5,0)</f>
        <v>2.5</v>
      </c>
      <c r="U313" s="4" t="n">
        <f aca="false">IF(TRIM(AJ313)="Yes",10,0)</f>
        <v>10</v>
      </c>
      <c r="V313" s="4" t="n">
        <f aca="false">IF(TRIM(AK313)="Yes",5,0)</f>
        <v>5</v>
      </c>
      <c r="W313" s="4" t="n">
        <f aca="false">IF(TRIM(AM313)="Yes",5,0)</f>
        <v>5</v>
      </c>
      <c r="X313" s="4" t="n">
        <f aca="false">IF(OR(TRIM(AN313)="Fully Available",TRIM(AN313)="Not Applicable"),5,IF(TRIM(AN313)="Partially Available",2.5,0))</f>
        <v>5</v>
      </c>
      <c r="Y313" s="4" t="n">
        <f aca="false">IF(TRIM(AO313)="Yes",5,0)</f>
        <v>5</v>
      </c>
      <c r="Z313" s="4" t="n">
        <f aca="false">IF(TRIM(AP313)="Yes",2.5,0)</f>
        <v>2.5</v>
      </c>
      <c r="AA313" s="4" t="n">
        <f aca="false">IF(TRIM(AQ313)="Yes",5,0)</f>
        <v>5</v>
      </c>
      <c r="AB313" s="4" t="n">
        <f aca="false">IF(OR(TRIM(AR313)="Yes",TRIM(AR313)="Not Applicable"),5,0)</f>
        <v>5</v>
      </c>
      <c r="AC313" s="4" t="n">
        <f aca="false">IF(TRIM(AS313)="Excellent",5,IF(TRIM(AS313)="Very Good",4,IF(TRIM(AS313)="Good",3,IF(TRIM(AS313)="Average",2,0))))</f>
        <v>4</v>
      </c>
      <c r="AD313" s="7" t="n">
        <f aca="false">IF(COUNT(S313:AC313)=0,"",SUM(S313:AC313))</f>
        <v>79</v>
      </c>
      <c r="AE313" s="7"/>
      <c r="AF313" s="8"/>
      <c r="AG313" s="5"/>
      <c r="AH313" s="4"/>
      <c r="AI313" s="4" t="s">
        <v>62</v>
      </c>
      <c r="AJ313" s="4" t="s">
        <v>62</v>
      </c>
      <c r="AK313" s="4" t="s">
        <v>62</v>
      </c>
      <c r="AL313" s="4" t="s">
        <v>63</v>
      </c>
      <c r="AM313" s="4" t="s">
        <v>62</v>
      </c>
      <c r="AN313" s="4" t="s">
        <v>64</v>
      </c>
      <c r="AO313" s="4" t="s">
        <v>62</v>
      </c>
      <c r="AP313" s="4" t="s">
        <v>62</v>
      </c>
      <c r="AQ313" s="4" t="s">
        <v>62</v>
      </c>
      <c r="AR313" s="4" t="s">
        <v>73</v>
      </c>
      <c r="AS313" s="4" t="s">
        <v>74</v>
      </c>
      <c r="AT313" s="4" t="n">
        <v>4</v>
      </c>
      <c r="AU313" s="4" t="s">
        <v>66</v>
      </c>
      <c r="AV313" s="4" t="s">
        <v>128</v>
      </c>
      <c r="AW313" s="4" t="s">
        <v>1001</v>
      </c>
      <c r="AX313" s="4" t="s">
        <v>839</v>
      </c>
      <c r="AY313" s="4" t="n">
        <v>13</v>
      </c>
      <c r="AZ313" s="4" t="s">
        <v>62</v>
      </c>
      <c r="BA313" s="4" t="s">
        <v>998</v>
      </c>
      <c r="BB313" s="4" t="s">
        <v>760</v>
      </c>
      <c r="BC313" s="6" t="n">
        <v>0.7143</v>
      </c>
      <c r="BD313" s="4" t="n">
        <v>93</v>
      </c>
    </row>
    <row r="314" customFormat="false" ht="86.55" hidden="false" customHeight="false" outlineLevel="0" collapsed="false">
      <c r="A314" s="4"/>
      <c r="B314" s="4" t="s">
        <v>753</v>
      </c>
      <c r="C314" s="4" t="s">
        <v>57</v>
      </c>
      <c r="D314" s="4" t="s">
        <v>754</v>
      </c>
      <c r="E314" s="4" t="s">
        <v>993</v>
      </c>
      <c r="F314" s="4" t="n">
        <v>5804</v>
      </c>
      <c r="G314" s="5" t="s">
        <v>997</v>
      </c>
      <c r="H314" s="5" t="s">
        <v>321</v>
      </c>
      <c r="I314" s="4"/>
      <c r="J314" s="4"/>
      <c r="K314" s="4"/>
      <c r="L314" s="4" t="n">
        <v>20</v>
      </c>
      <c r="M314" s="4" t="n">
        <v>20</v>
      </c>
      <c r="N314" s="4" t="n">
        <v>0</v>
      </c>
      <c r="O314" s="4" t="n">
        <v>17</v>
      </c>
      <c r="P314" s="4" t="n">
        <v>3</v>
      </c>
      <c r="Q314" s="4" t="n">
        <v>10</v>
      </c>
      <c r="R314" s="6" t="n">
        <f aca="false">IF(N(L314)=0,0,O314/L314)</f>
        <v>0.85</v>
      </c>
      <c r="S314" s="4" t="n">
        <f aca="false">IF(R314="","",IF(R314&gt;=0.8,50,IF(R314&gt;=0.5,30,IF(R314&gt;=0.01,10,0))))</f>
        <v>50</v>
      </c>
      <c r="T314" s="4" t="n">
        <f aca="false">IF(TRIM(AI314)="Yes",2.5,0)</f>
        <v>2.5</v>
      </c>
      <c r="U314" s="4" t="n">
        <f aca="false">IF(TRIM(AJ314)="Yes",10,0)</f>
        <v>10</v>
      </c>
      <c r="V314" s="4" t="n">
        <f aca="false">IF(TRIM(AK314)="Yes",5,0)</f>
        <v>5</v>
      </c>
      <c r="W314" s="4" t="n">
        <f aca="false">IF(TRIM(AM314)="Yes",5,0)</f>
        <v>5</v>
      </c>
      <c r="X314" s="4" t="n">
        <f aca="false">IF(OR(TRIM(AN314)="Fully Available",TRIM(AN314)="Not Applicable"),5,IF(TRIM(AN314)="Partially Available",2.5,0))</f>
        <v>5</v>
      </c>
      <c r="Y314" s="4" t="n">
        <f aca="false">IF(TRIM(AO314)="Yes",5,0)</f>
        <v>5</v>
      </c>
      <c r="Z314" s="4" t="n">
        <f aca="false">IF(TRIM(AP314)="Yes",2.5,0)</f>
        <v>2.5</v>
      </c>
      <c r="AA314" s="4" t="n">
        <f aca="false">IF(TRIM(AQ314)="Yes",5,0)</f>
        <v>5</v>
      </c>
      <c r="AB314" s="4" t="n">
        <f aca="false">IF(OR(TRIM(AR314)="Yes",TRIM(AR314)="Not Applicable"),5,0)</f>
        <v>5</v>
      </c>
      <c r="AC314" s="4" t="n">
        <f aca="false">IF(TRIM(AS314)="Excellent",5,IF(TRIM(AS314)="Very Good",4,IF(TRIM(AS314)="Good",3,IF(TRIM(AS314)="Average",2,0))))</f>
        <v>4</v>
      </c>
      <c r="AD314" s="7" t="n">
        <f aca="false">IF(COUNT(S314:AC314)=0,"",SUM(S314:AC314))</f>
        <v>99</v>
      </c>
      <c r="AE314" s="7"/>
      <c r="AF314" s="8"/>
      <c r="AG314" s="5"/>
      <c r="AH314" s="4"/>
      <c r="AI314" s="4" t="s">
        <v>62</v>
      </c>
      <c r="AJ314" s="4" t="s">
        <v>62</v>
      </c>
      <c r="AK314" s="4" t="s">
        <v>62</v>
      </c>
      <c r="AL314" s="4" t="s">
        <v>63</v>
      </c>
      <c r="AM314" s="4" t="s">
        <v>62</v>
      </c>
      <c r="AN314" s="4" t="s">
        <v>64</v>
      </c>
      <c r="AO314" s="4" t="s">
        <v>62</v>
      </c>
      <c r="AP314" s="4" t="s">
        <v>62</v>
      </c>
      <c r="AQ314" s="4" t="s">
        <v>62</v>
      </c>
      <c r="AR314" s="4" t="s">
        <v>62</v>
      </c>
      <c r="AS314" s="4" t="s">
        <v>74</v>
      </c>
      <c r="AT314" s="4" t="n">
        <v>4</v>
      </c>
      <c r="AU314" s="4" t="s">
        <v>66</v>
      </c>
      <c r="AV314" s="4" t="s">
        <v>128</v>
      </c>
      <c r="AW314" s="4" t="s">
        <v>1001</v>
      </c>
      <c r="AX314" s="4" t="s">
        <v>839</v>
      </c>
      <c r="AY314" s="4" t="n">
        <v>13</v>
      </c>
      <c r="AZ314" s="4" t="s">
        <v>62</v>
      </c>
      <c r="BA314" s="4" t="s">
        <v>998</v>
      </c>
      <c r="BB314" s="4" t="s">
        <v>760</v>
      </c>
      <c r="BC314" s="6" t="n">
        <v>0.5882</v>
      </c>
      <c r="BD314" s="4" t="n">
        <v>93</v>
      </c>
    </row>
    <row r="315" customFormat="false" ht="29.85" hidden="false" customHeight="false" outlineLevel="0" collapsed="false">
      <c r="A315" s="4" t="n">
        <v>136</v>
      </c>
      <c r="B315" s="4" t="s">
        <v>753</v>
      </c>
      <c r="C315" s="4" t="s">
        <v>57</v>
      </c>
      <c r="D315" s="4" t="s">
        <v>754</v>
      </c>
      <c r="E315" s="4" t="s">
        <v>964</v>
      </c>
      <c r="F315" s="4" t="n">
        <v>94</v>
      </c>
      <c r="G315" s="5" t="s">
        <v>1002</v>
      </c>
      <c r="H315" s="5" t="s">
        <v>111</v>
      </c>
      <c r="I315" s="4"/>
      <c r="J315" s="4"/>
      <c r="K315" s="4"/>
      <c r="L315" s="4" t="n">
        <v>20</v>
      </c>
      <c r="M315" s="4" t="n">
        <v>20</v>
      </c>
      <c r="N315" s="4" t="n">
        <v>0</v>
      </c>
      <c r="O315" s="4" t="n">
        <v>17</v>
      </c>
      <c r="P315" s="4" t="n">
        <v>3</v>
      </c>
      <c r="Q315" s="4" t="n">
        <v>7</v>
      </c>
      <c r="R315" s="6" t="n">
        <f aca="false">IF(N(L315)=0,0,O315/L315)</f>
        <v>0.85</v>
      </c>
      <c r="S315" s="4" t="n">
        <f aca="false">IF(R315="","",IF(R315&gt;=0.8,50,IF(R315&gt;=0.5,30,IF(R315&gt;=0.01,10,0))))</f>
        <v>50</v>
      </c>
      <c r="T315" s="4" t="n">
        <f aca="false">IF(TRIM(AI315)="Yes",2.5,0)</f>
        <v>2.5</v>
      </c>
      <c r="U315" s="4" t="n">
        <f aca="false">IF(TRIM(AJ315)="Yes",10,0)</f>
        <v>0</v>
      </c>
      <c r="V315" s="4" t="n">
        <f aca="false">IF(TRIM(AK315)="Yes",5,0)</f>
        <v>5</v>
      </c>
      <c r="W315" s="4" t="n">
        <f aca="false">IF(TRIM(AM315)="Yes",5,0)</f>
        <v>5</v>
      </c>
      <c r="X315" s="4" t="n">
        <f aca="false">IF(OR(TRIM(AN315)="Fully Available",TRIM(AN315)="Not Applicable"),5,IF(TRIM(AN315)="Partially Available",2.5,0))</f>
        <v>2.5</v>
      </c>
      <c r="Y315" s="4" t="n">
        <f aca="false">IF(TRIM(AO315)="Yes",5,0)</f>
        <v>5</v>
      </c>
      <c r="Z315" s="4" t="n">
        <f aca="false">IF(TRIM(AP315)="Yes",2.5,0)</f>
        <v>2.5</v>
      </c>
      <c r="AA315" s="4" t="n">
        <f aca="false">IF(TRIM(AQ315)="Yes",5,0)</f>
        <v>5</v>
      </c>
      <c r="AB315" s="4" t="n">
        <f aca="false">IF(OR(TRIM(AR315)="Yes",TRIM(AR315)="Not Applicable"),5,0)</f>
        <v>5</v>
      </c>
      <c r="AC315" s="4" t="n">
        <f aca="false">IF(TRIM(AS315)="Excellent",5,IF(TRIM(AS315)="Very Good",4,IF(TRIM(AS315)="Good",3,IF(TRIM(AS315)="Average",2,0))))</f>
        <v>4</v>
      </c>
      <c r="AD315" s="7" t="n">
        <f aca="false">IF(COUNT(S315:AC315)=0,"",SUM(S315:AC315))</f>
        <v>86.5</v>
      </c>
      <c r="AE315" s="7" t="n">
        <f aca="false">IF(COUNTIF($F$2:F315,F315)=1,IFERROR(AVERAGEIF($F:$F,F315,$AD:$AD),""),"")</f>
        <v>87.75</v>
      </c>
      <c r="AF315" s="8" t="str">
        <f aca="false">IF(AH315&lt;&gt;"",AH315,IF(AE315="","",IF(AE315&gt;=80,"Excellent",IF(AE315&gt;=70,"Very Good",IF(AE315&gt;=60,"Good",IF(AE315&gt;=50,"Average","Poor"))))))</f>
        <v>Excellent</v>
      </c>
      <c r="AG315" s="5"/>
      <c r="AH315" s="4"/>
      <c r="AI315" s="4" t="s">
        <v>62</v>
      </c>
      <c r="AJ315" s="4" t="s">
        <v>82</v>
      </c>
      <c r="AK315" s="4" t="s">
        <v>62</v>
      </c>
      <c r="AL315" s="4" t="s">
        <v>63</v>
      </c>
      <c r="AM315" s="4" t="s">
        <v>62</v>
      </c>
      <c r="AN315" s="4" t="s">
        <v>147</v>
      </c>
      <c r="AO315" s="4" t="s">
        <v>62</v>
      </c>
      <c r="AP315" s="4" t="s">
        <v>62</v>
      </c>
      <c r="AQ315" s="4" t="s">
        <v>62</v>
      </c>
      <c r="AR315" s="4" t="s">
        <v>62</v>
      </c>
      <c r="AS315" s="4" t="s">
        <v>74</v>
      </c>
      <c r="AT315" s="4" t="n">
        <v>13</v>
      </c>
      <c r="AU315" s="4" t="s">
        <v>112</v>
      </c>
      <c r="AV315" s="4" t="s">
        <v>208</v>
      </c>
      <c r="AW315" s="4" t="s">
        <v>1003</v>
      </c>
      <c r="AX315" s="4" t="s">
        <v>1004</v>
      </c>
      <c r="AY315" s="4" t="n">
        <v>10</v>
      </c>
      <c r="AZ315" s="4" t="s">
        <v>62</v>
      </c>
      <c r="BA315" s="4" t="s">
        <v>1005</v>
      </c>
      <c r="BB315" s="4" t="s">
        <v>760</v>
      </c>
      <c r="BC315" s="6" t="n">
        <v>0.4118</v>
      </c>
      <c r="BD315" s="4" t="n">
        <v>83</v>
      </c>
    </row>
    <row r="316" customFormat="false" ht="29.85" hidden="false" customHeight="false" outlineLevel="0" collapsed="false">
      <c r="A316" s="4"/>
      <c r="B316" s="4" t="s">
        <v>753</v>
      </c>
      <c r="C316" s="4" t="s">
        <v>57</v>
      </c>
      <c r="D316" s="4" t="s">
        <v>754</v>
      </c>
      <c r="E316" s="4" t="s">
        <v>964</v>
      </c>
      <c r="F316" s="4" t="n">
        <v>94</v>
      </c>
      <c r="G316" s="5" t="s">
        <v>1002</v>
      </c>
      <c r="H316" s="5" t="s">
        <v>265</v>
      </c>
      <c r="I316" s="4"/>
      <c r="J316" s="4"/>
      <c r="K316" s="4"/>
      <c r="L316" s="4" t="n">
        <v>20</v>
      </c>
      <c r="M316" s="4" t="n">
        <v>20</v>
      </c>
      <c r="N316" s="4" t="n">
        <v>0</v>
      </c>
      <c r="O316" s="4" t="n">
        <v>17</v>
      </c>
      <c r="P316" s="4" t="n">
        <v>3</v>
      </c>
      <c r="Q316" s="4" t="n">
        <v>7</v>
      </c>
      <c r="R316" s="6" t="n">
        <f aca="false">IF(N(L316)=0,0,O316/L316)</f>
        <v>0.85</v>
      </c>
      <c r="S316" s="4" t="n">
        <f aca="false">IF(R316="","",IF(R316&gt;=0.8,50,IF(R316&gt;=0.5,30,IF(R316&gt;=0.01,10,0))))</f>
        <v>50</v>
      </c>
      <c r="T316" s="4" t="n">
        <f aca="false">IF(TRIM(AI316)="Yes",2.5,0)</f>
        <v>2.5</v>
      </c>
      <c r="U316" s="4" t="n">
        <f aca="false">IF(TRIM(AJ316)="Yes",10,0)</f>
        <v>0</v>
      </c>
      <c r="V316" s="4" t="n">
        <f aca="false">IF(TRIM(AK316)="Yes",5,0)</f>
        <v>5</v>
      </c>
      <c r="W316" s="4" t="n">
        <f aca="false">IF(TRIM(AM316)="Yes",5,0)</f>
        <v>5</v>
      </c>
      <c r="X316" s="4" t="n">
        <f aca="false">IF(OR(TRIM(AN316)="Fully Available",TRIM(AN316)="Not Applicable"),5,IF(TRIM(AN316)="Partially Available",2.5,0))</f>
        <v>5</v>
      </c>
      <c r="Y316" s="4" t="n">
        <f aca="false">IF(TRIM(AO316)="Yes",5,0)</f>
        <v>5</v>
      </c>
      <c r="Z316" s="4" t="n">
        <f aca="false">IF(TRIM(AP316)="Yes",2.5,0)</f>
        <v>2.5</v>
      </c>
      <c r="AA316" s="4" t="n">
        <f aca="false">IF(TRIM(AQ316)="Yes",5,0)</f>
        <v>5</v>
      </c>
      <c r="AB316" s="4" t="n">
        <f aca="false">IF(OR(TRIM(AR316)="Yes",TRIM(AR316)="Not Applicable"),5,0)</f>
        <v>5</v>
      </c>
      <c r="AC316" s="4" t="n">
        <f aca="false">IF(TRIM(AS316)="Excellent",5,IF(TRIM(AS316)="Very Good",4,IF(TRIM(AS316)="Good",3,IF(TRIM(AS316)="Average",2,0))))</f>
        <v>4</v>
      </c>
      <c r="AD316" s="7" t="n">
        <f aca="false">IF(COUNT(S316:AC316)=0,"",SUM(S316:AC316))</f>
        <v>89</v>
      </c>
      <c r="AE316" s="7"/>
      <c r="AF316" s="8"/>
      <c r="AG316" s="5"/>
      <c r="AH316" s="4"/>
      <c r="AI316" s="4" t="s">
        <v>62</v>
      </c>
      <c r="AJ316" s="4" t="s">
        <v>82</v>
      </c>
      <c r="AK316" s="4" t="s">
        <v>62</v>
      </c>
      <c r="AL316" s="4" t="s">
        <v>63</v>
      </c>
      <c r="AM316" s="4" t="s">
        <v>62</v>
      </c>
      <c r="AN316" s="4" t="s">
        <v>64</v>
      </c>
      <c r="AO316" s="4" t="s">
        <v>62</v>
      </c>
      <c r="AP316" s="4" t="s">
        <v>62</v>
      </c>
      <c r="AQ316" s="4" t="s">
        <v>62</v>
      </c>
      <c r="AR316" s="4" t="s">
        <v>62</v>
      </c>
      <c r="AS316" s="4" t="s">
        <v>74</v>
      </c>
      <c r="AT316" s="4" t="n">
        <v>10</v>
      </c>
      <c r="AU316" s="4" t="s">
        <v>66</v>
      </c>
      <c r="AV316" s="4" t="s">
        <v>208</v>
      </c>
      <c r="AW316" s="4" t="s">
        <v>1006</v>
      </c>
      <c r="AX316" s="4" t="s">
        <v>259</v>
      </c>
      <c r="AY316" s="4" t="n">
        <v>2</v>
      </c>
      <c r="AZ316" s="4" t="s">
        <v>62</v>
      </c>
      <c r="BA316" s="4" t="s">
        <v>1005</v>
      </c>
      <c r="BB316" s="4" t="s">
        <v>760</v>
      </c>
      <c r="BC316" s="6" t="n">
        <v>0.4118</v>
      </c>
      <c r="BD316" s="4" t="n">
        <v>83</v>
      </c>
    </row>
    <row r="317" customFormat="false" ht="199.95" hidden="false" customHeight="false" outlineLevel="0" collapsed="false">
      <c r="A317" s="4" t="n">
        <v>137</v>
      </c>
      <c r="B317" s="4" t="s">
        <v>753</v>
      </c>
      <c r="C317" s="4" t="s">
        <v>57</v>
      </c>
      <c r="D317" s="4" t="s">
        <v>754</v>
      </c>
      <c r="E317" s="4" t="s">
        <v>823</v>
      </c>
      <c r="F317" s="4" t="n">
        <v>519</v>
      </c>
      <c r="G317" s="5" t="s">
        <v>1007</v>
      </c>
      <c r="H317" s="5" t="s">
        <v>1008</v>
      </c>
      <c r="I317" s="4"/>
      <c r="J317" s="4"/>
      <c r="K317" s="4"/>
      <c r="L317" s="4" t="n">
        <v>20</v>
      </c>
      <c r="M317" s="4" t="n">
        <v>20</v>
      </c>
      <c r="N317" s="4" t="n">
        <v>0</v>
      </c>
      <c r="O317" s="4" t="n">
        <v>11</v>
      </c>
      <c r="P317" s="4" t="n">
        <v>9</v>
      </c>
      <c r="Q317" s="4" t="n">
        <v>11</v>
      </c>
      <c r="R317" s="6" t="n">
        <f aca="false">IF(N(L317)=0,0,O317/L317)</f>
        <v>0.55</v>
      </c>
      <c r="S317" s="4" t="n">
        <f aca="false">IF(R317="","",IF(R317&gt;=0.8,50,IF(R317&gt;=0.5,30,IF(R317&gt;=0.01,10,0))))</f>
        <v>30</v>
      </c>
      <c r="T317" s="4" t="n">
        <f aca="false">IF(TRIM(AI317)="Yes",2.5,0)</f>
        <v>2.5</v>
      </c>
      <c r="U317" s="4" t="n">
        <f aca="false">IF(TRIM(AJ317)="Yes",10,0)</f>
        <v>10</v>
      </c>
      <c r="V317" s="4" t="n">
        <f aca="false">IF(TRIM(AK317)="Yes",5,0)</f>
        <v>5</v>
      </c>
      <c r="W317" s="4" t="n">
        <f aca="false">IF(TRIM(AM317)="Yes",5,0)</f>
        <v>5</v>
      </c>
      <c r="X317" s="4" t="n">
        <f aca="false">IF(OR(TRIM(AN317)="Fully Available",TRIM(AN317)="Not Applicable"),5,IF(TRIM(AN317)="Partially Available",2.5,0))</f>
        <v>5</v>
      </c>
      <c r="Y317" s="4" t="n">
        <f aca="false">IF(TRIM(AO317)="Yes",5,0)</f>
        <v>5</v>
      </c>
      <c r="Z317" s="4" t="n">
        <f aca="false">IF(TRIM(AP317)="Yes",2.5,0)</f>
        <v>2.5</v>
      </c>
      <c r="AA317" s="4" t="n">
        <f aca="false">IF(TRIM(AQ317)="Yes",5,0)</f>
        <v>5</v>
      </c>
      <c r="AB317" s="4" t="n">
        <f aca="false">IF(OR(TRIM(AR317)="Yes",TRIM(AR317)="Not Applicable"),5,0)</f>
        <v>5</v>
      </c>
      <c r="AC317" s="4" t="n">
        <f aca="false">IF(TRIM(AS317)="Excellent",5,IF(TRIM(AS317)="Very Good",4,IF(TRIM(AS317)="Good",3,IF(TRIM(AS317)="Average",2,0))))</f>
        <v>3</v>
      </c>
      <c r="AD317" s="7" t="n">
        <f aca="false">IF(COUNT(S317:AC317)=0,"",SUM(S317:AC317))</f>
        <v>78</v>
      </c>
      <c r="AE317" s="7" t="n">
        <f aca="false">IF(COUNTIF($F$2:F317,F317)=1,IFERROR(AVERAGEIF($F:$F,F317,$AD:$AD),""),"")</f>
        <v>80.5</v>
      </c>
      <c r="AF317" s="8" t="str">
        <f aca="false">IF(AH317&lt;&gt;"",AH317,IF(AE317="","",IF(AE317&gt;=80,"Excellent",IF(AE317&gt;=70,"Very Good",IF(AE317&gt;=60,"Good",IF(AE317&gt;=50,"Average","Poor"))))))</f>
        <v>Excellent</v>
      </c>
      <c r="AG317" s="5"/>
      <c r="AH317" s="4"/>
      <c r="AI317" s="4" t="s">
        <v>62</v>
      </c>
      <c r="AJ317" s="4" t="s">
        <v>62</v>
      </c>
      <c r="AK317" s="4" t="s">
        <v>62</v>
      </c>
      <c r="AL317" s="4" t="s">
        <v>63</v>
      </c>
      <c r="AM317" s="4" t="s">
        <v>62</v>
      </c>
      <c r="AN317" s="4" t="s">
        <v>64</v>
      </c>
      <c r="AO317" s="4" t="s">
        <v>62</v>
      </c>
      <c r="AP317" s="4" t="s">
        <v>62</v>
      </c>
      <c r="AQ317" s="4" t="s">
        <v>62</v>
      </c>
      <c r="AR317" s="4" t="s">
        <v>62</v>
      </c>
      <c r="AS317" s="4" t="s">
        <v>185</v>
      </c>
      <c r="AT317" s="4" t="n">
        <v>12</v>
      </c>
      <c r="AU317" s="4" t="s">
        <v>66</v>
      </c>
      <c r="AV317" s="4" t="s">
        <v>91</v>
      </c>
      <c r="AW317" s="4" t="s">
        <v>1009</v>
      </c>
      <c r="AX317" s="4" t="s">
        <v>368</v>
      </c>
      <c r="AY317" s="4" t="n">
        <v>2</v>
      </c>
      <c r="AZ317" s="4" t="s">
        <v>62</v>
      </c>
      <c r="BA317" s="4" t="s">
        <v>1010</v>
      </c>
      <c r="BB317" s="4" t="s">
        <v>760</v>
      </c>
      <c r="BC317" s="6" t="n">
        <v>1</v>
      </c>
      <c r="BD317" s="4" t="n">
        <v>86</v>
      </c>
    </row>
    <row r="318" customFormat="false" ht="199.95" hidden="false" customHeight="false" outlineLevel="0" collapsed="false">
      <c r="A318" s="4"/>
      <c r="B318" s="4" t="s">
        <v>753</v>
      </c>
      <c r="C318" s="4" t="s">
        <v>57</v>
      </c>
      <c r="D318" s="4" t="s">
        <v>754</v>
      </c>
      <c r="E318" s="4" t="s">
        <v>823</v>
      </c>
      <c r="F318" s="4" t="n">
        <v>519</v>
      </c>
      <c r="G318" s="5" t="s">
        <v>1007</v>
      </c>
      <c r="H318" s="5" t="s">
        <v>528</v>
      </c>
      <c r="I318" s="4"/>
      <c r="J318" s="4"/>
      <c r="K318" s="4"/>
      <c r="L318" s="4" t="n">
        <v>20</v>
      </c>
      <c r="M318" s="4" t="n">
        <v>20</v>
      </c>
      <c r="N318" s="4" t="n">
        <v>0</v>
      </c>
      <c r="O318" s="4" t="n">
        <v>13</v>
      </c>
      <c r="P318" s="4" t="n">
        <v>7</v>
      </c>
      <c r="Q318" s="4" t="n">
        <v>9</v>
      </c>
      <c r="R318" s="6" t="n">
        <f aca="false">IF(N(L318)=0,0,O318/L318)</f>
        <v>0.65</v>
      </c>
      <c r="S318" s="4" t="n">
        <f aca="false">IF(R318="","",IF(R318&gt;=0.8,50,IF(R318&gt;=0.5,30,IF(R318&gt;=0.01,10,0))))</f>
        <v>30</v>
      </c>
      <c r="T318" s="4" t="n">
        <f aca="false">IF(TRIM(AI318)="Yes",2.5,0)</f>
        <v>2.5</v>
      </c>
      <c r="U318" s="4" t="n">
        <f aca="false">IF(TRIM(AJ318)="Yes",10,0)</f>
        <v>10</v>
      </c>
      <c r="V318" s="4" t="n">
        <f aca="false">IF(TRIM(AK318)="Yes",5,0)</f>
        <v>5</v>
      </c>
      <c r="W318" s="4" t="n">
        <f aca="false">IF(TRIM(AM318)="Yes",5,0)</f>
        <v>5</v>
      </c>
      <c r="X318" s="4" t="n">
        <f aca="false">IF(OR(TRIM(AN318)="Fully Available",TRIM(AN318)="Not Applicable"),5,IF(TRIM(AN318)="Partially Available",2.5,0))</f>
        <v>5</v>
      </c>
      <c r="Y318" s="4" t="n">
        <f aca="false">IF(TRIM(AO318)="Yes",5,0)</f>
        <v>5</v>
      </c>
      <c r="Z318" s="4" t="n">
        <f aca="false">IF(TRIM(AP318)="Yes",2.5,0)</f>
        <v>2.5</v>
      </c>
      <c r="AA318" s="4" t="n">
        <f aca="false">IF(TRIM(AQ318)="Yes",5,0)</f>
        <v>5</v>
      </c>
      <c r="AB318" s="4" t="n">
        <f aca="false">IF(OR(TRIM(AR318)="Yes",TRIM(AR318)="Not Applicable"),5,0)</f>
        <v>5</v>
      </c>
      <c r="AC318" s="4" t="n">
        <f aca="false">IF(TRIM(AS318)="Excellent",5,IF(TRIM(AS318)="Very Good",4,IF(TRIM(AS318)="Good",3,IF(TRIM(AS318)="Average",2,0))))</f>
        <v>3</v>
      </c>
      <c r="AD318" s="7" t="n">
        <f aca="false">IF(COUNT(S318:AC318)=0,"",SUM(S318:AC318))</f>
        <v>78</v>
      </c>
      <c r="AE318" s="7"/>
      <c r="AF318" s="8"/>
      <c r="AG318" s="5"/>
      <c r="AH318" s="4"/>
      <c r="AI318" s="4" t="s">
        <v>62</v>
      </c>
      <c r="AJ318" s="4" t="s">
        <v>62</v>
      </c>
      <c r="AK318" s="4" t="s">
        <v>62</v>
      </c>
      <c r="AL318" s="4" t="s">
        <v>63</v>
      </c>
      <c r="AM318" s="4" t="s">
        <v>62</v>
      </c>
      <c r="AN318" s="4" t="s">
        <v>64</v>
      </c>
      <c r="AO318" s="4" t="s">
        <v>62</v>
      </c>
      <c r="AP318" s="4" t="s">
        <v>62</v>
      </c>
      <c r="AQ318" s="4" t="s">
        <v>62</v>
      </c>
      <c r="AR318" s="4" t="s">
        <v>62</v>
      </c>
      <c r="AS318" s="4" t="s">
        <v>185</v>
      </c>
      <c r="AT318" s="4" t="n">
        <v>5</v>
      </c>
      <c r="AU318" s="4" t="s">
        <v>66</v>
      </c>
      <c r="AV318" s="4" t="s">
        <v>91</v>
      </c>
      <c r="AW318" s="4" t="s">
        <v>1011</v>
      </c>
      <c r="AX318" s="4" t="s">
        <v>192</v>
      </c>
      <c r="AY318" s="4" t="n">
        <v>17</v>
      </c>
      <c r="AZ318" s="4" t="s">
        <v>62</v>
      </c>
      <c r="BA318" s="4" t="s">
        <v>1010</v>
      </c>
      <c r="BB318" s="4" t="s">
        <v>760</v>
      </c>
      <c r="BC318" s="6" t="n">
        <v>0.6923</v>
      </c>
      <c r="BD318" s="4" t="n">
        <v>86</v>
      </c>
    </row>
    <row r="319" customFormat="false" ht="199.95" hidden="false" customHeight="false" outlineLevel="0" collapsed="false">
      <c r="A319" s="4"/>
      <c r="B319" s="4" t="s">
        <v>753</v>
      </c>
      <c r="C319" s="4" t="s">
        <v>57</v>
      </c>
      <c r="D319" s="4" t="s">
        <v>754</v>
      </c>
      <c r="E319" s="4" t="s">
        <v>823</v>
      </c>
      <c r="F319" s="4" t="n">
        <v>519</v>
      </c>
      <c r="G319" s="5" t="s">
        <v>1007</v>
      </c>
      <c r="H319" s="5" t="s">
        <v>273</v>
      </c>
      <c r="I319" s="4"/>
      <c r="J319" s="4"/>
      <c r="K319" s="4"/>
      <c r="L319" s="4" t="n">
        <v>20</v>
      </c>
      <c r="M319" s="4" t="n">
        <v>20</v>
      </c>
      <c r="N319" s="4" t="n">
        <v>0</v>
      </c>
      <c r="O319" s="4" t="n">
        <v>18</v>
      </c>
      <c r="P319" s="4" t="n">
        <v>2</v>
      </c>
      <c r="Q319" s="4" t="n">
        <v>12</v>
      </c>
      <c r="R319" s="6" t="n">
        <f aca="false">IF(N(L319)=0,0,O319/L319)</f>
        <v>0.9</v>
      </c>
      <c r="S319" s="4" t="n">
        <f aca="false">IF(R319="","",IF(R319&gt;=0.8,50,IF(R319&gt;=0.5,30,IF(R319&gt;=0.01,10,0))))</f>
        <v>50</v>
      </c>
      <c r="T319" s="4" t="n">
        <f aca="false">IF(TRIM(AI319)="Yes",2.5,0)</f>
        <v>2.5</v>
      </c>
      <c r="U319" s="4" t="n">
        <f aca="false">IF(TRIM(AJ319)="Yes",10,0)</f>
        <v>10</v>
      </c>
      <c r="V319" s="4" t="n">
        <f aca="false">IF(TRIM(AK319)="Yes",5,0)</f>
        <v>5</v>
      </c>
      <c r="W319" s="4" t="n">
        <f aca="false">IF(TRIM(AM319)="Yes",5,0)</f>
        <v>5</v>
      </c>
      <c r="X319" s="4" t="n">
        <f aca="false">IF(OR(TRIM(AN319)="Fully Available",TRIM(AN319)="Not Applicable"),5,IF(TRIM(AN319)="Partially Available",2.5,0))</f>
        <v>5</v>
      </c>
      <c r="Y319" s="4" t="n">
        <f aca="false">IF(TRIM(AO319)="Yes",5,0)</f>
        <v>5</v>
      </c>
      <c r="Z319" s="4" t="n">
        <f aca="false">IF(TRIM(AP319)="Yes",2.5,0)</f>
        <v>2.5</v>
      </c>
      <c r="AA319" s="4" t="n">
        <f aca="false">IF(TRIM(AQ319)="Yes",5,0)</f>
        <v>5</v>
      </c>
      <c r="AB319" s="4" t="n">
        <f aca="false">IF(OR(TRIM(AR319)="Yes",TRIM(AR319)="Not Applicable"),5,0)</f>
        <v>5</v>
      </c>
      <c r="AC319" s="4" t="n">
        <f aca="false">IF(TRIM(AS319)="Excellent",5,IF(TRIM(AS319)="Very Good",4,IF(TRIM(AS319)="Good",3,IF(TRIM(AS319)="Average",2,0))))</f>
        <v>3</v>
      </c>
      <c r="AD319" s="7" t="n">
        <f aca="false">IF(COUNT(S319:AC319)=0,"",SUM(S319:AC319))</f>
        <v>98</v>
      </c>
      <c r="AE319" s="7"/>
      <c r="AF319" s="8"/>
      <c r="AG319" s="5"/>
      <c r="AH319" s="4"/>
      <c r="AI319" s="4" t="s">
        <v>62</v>
      </c>
      <c r="AJ319" s="4" t="s">
        <v>62</v>
      </c>
      <c r="AK319" s="4" t="s">
        <v>62</v>
      </c>
      <c r="AL319" s="4" t="s">
        <v>63</v>
      </c>
      <c r="AM319" s="4" t="s">
        <v>62</v>
      </c>
      <c r="AN319" s="4" t="s">
        <v>73</v>
      </c>
      <c r="AO319" s="4" t="s">
        <v>62</v>
      </c>
      <c r="AP319" s="4" t="s">
        <v>62</v>
      </c>
      <c r="AQ319" s="4" t="s">
        <v>62</v>
      </c>
      <c r="AR319" s="4" t="s">
        <v>73</v>
      </c>
      <c r="AS319" s="4" t="s">
        <v>185</v>
      </c>
      <c r="AT319" s="4" t="n">
        <v>11</v>
      </c>
      <c r="AU319" s="4" t="s">
        <v>66</v>
      </c>
      <c r="AV319" s="4" t="s">
        <v>91</v>
      </c>
      <c r="AW319" s="4" t="s">
        <v>1012</v>
      </c>
      <c r="AX319" s="4" t="s">
        <v>1013</v>
      </c>
      <c r="AY319" s="4" t="n">
        <v>4</v>
      </c>
      <c r="AZ319" s="4" t="s">
        <v>62</v>
      </c>
      <c r="BA319" s="4" t="s">
        <v>1010</v>
      </c>
      <c r="BB319" s="4" t="s">
        <v>760</v>
      </c>
      <c r="BC319" s="6" t="n">
        <v>0.6667</v>
      </c>
      <c r="BD319" s="4" t="n">
        <v>86</v>
      </c>
    </row>
    <row r="320" customFormat="false" ht="199.95" hidden="false" customHeight="false" outlineLevel="0" collapsed="false">
      <c r="A320" s="4"/>
      <c r="B320" s="4" t="s">
        <v>753</v>
      </c>
      <c r="C320" s="4" t="s">
        <v>57</v>
      </c>
      <c r="D320" s="4" t="s">
        <v>754</v>
      </c>
      <c r="E320" s="4" t="s">
        <v>823</v>
      </c>
      <c r="F320" s="4" t="n">
        <v>519</v>
      </c>
      <c r="G320" s="5" t="s">
        <v>1007</v>
      </c>
      <c r="H320" s="5" t="s">
        <v>919</v>
      </c>
      <c r="I320" s="4"/>
      <c r="J320" s="4"/>
      <c r="K320" s="4"/>
      <c r="L320" s="4" t="n">
        <v>20</v>
      </c>
      <c r="M320" s="4" t="n">
        <v>20</v>
      </c>
      <c r="N320" s="4" t="n">
        <v>0</v>
      </c>
      <c r="O320" s="4" t="n">
        <v>13</v>
      </c>
      <c r="P320" s="4" t="n">
        <v>7</v>
      </c>
      <c r="Q320" s="4" t="n">
        <v>10</v>
      </c>
      <c r="R320" s="6" t="n">
        <f aca="false">IF(N(L320)=0,0,O320/L320)</f>
        <v>0.65</v>
      </c>
      <c r="S320" s="4" t="n">
        <f aca="false">IF(R320="","",IF(R320&gt;=0.8,50,IF(R320&gt;=0.5,30,IF(R320&gt;=0.01,10,0))))</f>
        <v>30</v>
      </c>
      <c r="T320" s="4" t="n">
        <f aca="false">IF(TRIM(AI320)="Yes",2.5,0)</f>
        <v>2.5</v>
      </c>
      <c r="U320" s="4" t="n">
        <f aca="false">IF(TRIM(AJ320)="Yes",10,0)</f>
        <v>10</v>
      </c>
      <c r="V320" s="4" t="n">
        <f aca="false">IF(TRIM(AK320)="Yes",5,0)</f>
        <v>5</v>
      </c>
      <c r="W320" s="4" t="n">
        <f aca="false">IF(TRIM(AM320)="Yes",5,0)</f>
        <v>5</v>
      </c>
      <c r="X320" s="4" t="n">
        <f aca="false">IF(OR(TRIM(AN320)="Fully Available",TRIM(AN320)="Not Applicable"),5,IF(TRIM(AN320)="Partially Available",2.5,0))</f>
        <v>5</v>
      </c>
      <c r="Y320" s="4" t="n">
        <f aca="false">IF(TRIM(AO320)="Yes",5,0)</f>
        <v>5</v>
      </c>
      <c r="Z320" s="4" t="n">
        <f aca="false">IF(TRIM(AP320)="Yes",2.5,0)</f>
        <v>2.5</v>
      </c>
      <c r="AA320" s="4" t="n">
        <f aca="false">IF(TRIM(AQ320)="Yes",5,0)</f>
        <v>5</v>
      </c>
      <c r="AB320" s="4" t="n">
        <f aca="false">IF(OR(TRIM(AR320)="Yes",TRIM(AR320)="Not Applicable"),5,0)</f>
        <v>5</v>
      </c>
      <c r="AC320" s="4" t="n">
        <f aca="false">IF(TRIM(AS320)="Excellent",5,IF(TRIM(AS320)="Very Good",4,IF(TRIM(AS320)="Good",3,IF(TRIM(AS320)="Average",2,0))))</f>
        <v>3</v>
      </c>
      <c r="AD320" s="7" t="n">
        <f aca="false">IF(COUNT(S320:AC320)=0,"",SUM(S320:AC320))</f>
        <v>78</v>
      </c>
      <c r="AE320" s="7"/>
      <c r="AF320" s="8"/>
      <c r="AG320" s="5"/>
      <c r="AH320" s="4"/>
      <c r="AI320" s="4" t="s">
        <v>62</v>
      </c>
      <c r="AJ320" s="4" t="s">
        <v>62</v>
      </c>
      <c r="AK320" s="4" t="s">
        <v>62</v>
      </c>
      <c r="AL320" s="4" t="s">
        <v>63</v>
      </c>
      <c r="AM320" s="4" t="s">
        <v>62</v>
      </c>
      <c r="AN320" s="4" t="s">
        <v>64</v>
      </c>
      <c r="AO320" s="4" t="s">
        <v>62</v>
      </c>
      <c r="AP320" s="4" t="s">
        <v>62</v>
      </c>
      <c r="AQ320" s="4" t="s">
        <v>62</v>
      </c>
      <c r="AR320" s="4" t="s">
        <v>62</v>
      </c>
      <c r="AS320" s="4" t="s">
        <v>185</v>
      </c>
      <c r="AT320" s="4" t="n">
        <v>5</v>
      </c>
      <c r="AU320" s="4" t="s">
        <v>66</v>
      </c>
      <c r="AV320" s="4" t="s">
        <v>91</v>
      </c>
      <c r="AW320" s="4" t="s">
        <v>1014</v>
      </c>
      <c r="AX320" s="4" t="s">
        <v>1015</v>
      </c>
      <c r="AY320" s="4" t="n">
        <v>1</v>
      </c>
      <c r="AZ320" s="4" t="s">
        <v>62</v>
      </c>
      <c r="BA320" s="4" t="s">
        <v>1010</v>
      </c>
      <c r="BB320" s="4" t="s">
        <v>760</v>
      </c>
      <c r="BC320" s="6" t="n">
        <v>0.7692</v>
      </c>
      <c r="BD320" s="4" t="n">
        <v>86</v>
      </c>
    </row>
    <row r="321" customFormat="false" ht="199.95" hidden="false" customHeight="false" outlineLevel="0" collapsed="false">
      <c r="A321" s="4"/>
      <c r="B321" s="4" t="s">
        <v>753</v>
      </c>
      <c r="C321" s="4" t="s">
        <v>57</v>
      </c>
      <c r="D321" s="4" t="s">
        <v>754</v>
      </c>
      <c r="E321" s="4" t="s">
        <v>823</v>
      </c>
      <c r="F321" s="4" t="n">
        <v>519</v>
      </c>
      <c r="G321" s="5" t="s">
        <v>1007</v>
      </c>
      <c r="H321" s="5" t="s">
        <v>127</v>
      </c>
      <c r="I321" s="4"/>
      <c r="J321" s="4"/>
      <c r="K321" s="4"/>
      <c r="L321" s="4" t="n">
        <v>20</v>
      </c>
      <c r="M321" s="4" t="n">
        <v>20</v>
      </c>
      <c r="N321" s="4" t="n">
        <v>0</v>
      </c>
      <c r="O321" s="4" t="n">
        <v>14</v>
      </c>
      <c r="P321" s="4" t="n">
        <v>6</v>
      </c>
      <c r="Q321" s="4" t="n">
        <v>10</v>
      </c>
      <c r="R321" s="6" t="n">
        <f aca="false">IF(N(L321)=0,0,O321/L321)</f>
        <v>0.7</v>
      </c>
      <c r="S321" s="4" t="n">
        <f aca="false">IF(R321="","",IF(R321&gt;=0.8,50,IF(R321&gt;=0.5,30,IF(R321&gt;=0.01,10,0))))</f>
        <v>30</v>
      </c>
      <c r="T321" s="4" t="n">
        <f aca="false">IF(TRIM(AI321)="Yes",2.5,0)</f>
        <v>2.5</v>
      </c>
      <c r="U321" s="4" t="n">
        <f aca="false">IF(TRIM(AJ321)="Yes",10,0)</f>
        <v>10</v>
      </c>
      <c r="V321" s="4" t="n">
        <f aca="false">IF(TRIM(AK321)="Yes",5,0)</f>
        <v>5</v>
      </c>
      <c r="W321" s="4" t="n">
        <f aca="false">IF(TRIM(AM321)="Yes",5,0)</f>
        <v>5</v>
      </c>
      <c r="X321" s="4" t="n">
        <f aca="false">IF(OR(TRIM(AN321)="Fully Available",TRIM(AN321)="Not Applicable"),5,IF(TRIM(AN321)="Partially Available",2.5,0))</f>
        <v>5</v>
      </c>
      <c r="Y321" s="4" t="n">
        <f aca="false">IF(TRIM(AO321)="Yes",5,0)</f>
        <v>5</v>
      </c>
      <c r="Z321" s="4" t="n">
        <f aca="false">IF(TRIM(AP321)="Yes",2.5,0)</f>
        <v>2.5</v>
      </c>
      <c r="AA321" s="4" t="n">
        <f aca="false">IF(TRIM(AQ321)="Yes",5,0)</f>
        <v>0</v>
      </c>
      <c r="AB321" s="4" t="n">
        <f aca="false">IF(OR(TRIM(AR321)="Yes",TRIM(AR321)="Not Applicable"),5,0)</f>
        <v>5</v>
      </c>
      <c r="AC321" s="4" t="n">
        <f aca="false">IF(TRIM(AS321)="Excellent",5,IF(TRIM(AS321)="Very Good",4,IF(TRIM(AS321)="Good",3,IF(TRIM(AS321)="Average",2,0))))</f>
        <v>3</v>
      </c>
      <c r="AD321" s="7" t="n">
        <f aca="false">IF(COUNT(S321:AC321)=0,"",SUM(S321:AC321))</f>
        <v>73</v>
      </c>
      <c r="AE321" s="7"/>
      <c r="AF321" s="8"/>
      <c r="AG321" s="5"/>
      <c r="AH321" s="4"/>
      <c r="AI321" s="4" t="s">
        <v>62</v>
      </c>
      <c r="AJ321" s="4" t="s">
        <v>62</v>
      </c>
      <c r="AK321" s="4" t="s">
        <v>62</v>
      </c>
      <c r="AL321" s="4" t="s">
        <v>63</v>
      </c>
      <c r="AM321" s="4" t="s">
        <v>62</v>
      </c>
      <c r="AN321" s="4" t="s">
        <v>64</v>
      </c>
      <c r="AO321" s="4" t="s">
        <v>62</v>
      </c>
      <c r="AP321" s="4" t="s">
        <v>62</v>
      </c>
      <c r="AQ321" s="4" t="s">
        <v>82</v>
      </c>
      <c r="AR321" s="4" t="s">
        <v>62</v>
      </c>
      <c r="AS321" s="4" t="s">
        <v>185</v>
      </c>
      <c r="AT321" s="4" t="n">
        <v>5</v>
      </c>
      <c r="AU321" s="4" t="s">
        <v>66</v>
      </c>
      <c r="AV321" s="4" t="s">
        <v>91</v>
      </c>
      <c r="AW321" s="4" t="s">
        <v>1016</v>
      </c>
      <c r="AX321" s="4" t="s">
        <v>1017</v>
      </c>
      <c r="AY321" s="4" t="n">
        <v>5</v>
      </c>
      <c r="AZ321" s="4" t="s">
        <v>62</v>
      </c>
      <c r="BA321" s="4" t="s">
        <v>1010</v>
      </c>
      <c r="BB321" s="4" t="s">
        <v>760</v>
      </c>
      <c r="BC321" s="6" t="n">
        <v>0.7143</v>
      </c>
      <c r="BD321" s="4" t="n">
        <v>86</v>
      </c>
    </row>
    <row r="322" customFormat="false" ht="199.95" hidden="false" customHeight="false" outlineLevel="0" collapsed="false">
      <c r="A322" s="4"/>
      <c r="B322" s="4" t="s">
        <v>753</v>
      </c>
      <c r="C322" s="4" t="s">
        <v>57</v>
      </c>
      <c r="D322" s="4" t="s">
        <v>754</v>
      </c>
      <c r="E322" s="4" t="s">
        <v>823</v>
      </c>
      <c r="F322" s="4" t="n">
        <v>519</v>
      </c>
      <c r="G322" s="5" t="s">
        <v>1007</v>
      </c>
      <c r="H322" s="5" t="s">
        <v>430</v>
      </c>
      <c r="I322" s="4"/>
      <c r="J322" s="4"/>
      <c r="K322" s="4"/>
      <c r="L322" s="4" t="n">
        <v>20</v>
      </c>
      <c r="M322" s="4" t="n">
        <v>20</v>
      </c>
      <c r="N322" s="4" t="n">
        <v>0</v>
      </c>
      <c r="O322" s="4" t="n">
        <v>13</v>
      </c>
      <c r="P322" s="4" t="n">
        <v>7</v>
      </c>
      <c r="Q322" s="4" t="n">
        <v>10</v>
      </c>
      <c r="R322" s="6" t="n">
        <f aca="false">IF(N(L322)=0,0,O322/L322)</f>
        <v>0.65</v>
      </c>
      <c r="S322" s="4" t="n">
        <f aca="false">IF(R322="","",IF(R322&gt;=0.8,50,IF(R322&gt;=0.5,30,IF(R322&gt;=0.01,10,0))))</f>
        <v>30</v>
      </c>
      <c r="T322" s="4" t="n">
        <f aca="false">IF(TRIM(AI322)="Yes",2.5,0)</f>
        <v>2.5</v>
      </c>
      <c r="U322" s="4" t="n">
        <f aca="false">IF(TRIM(AJ322)="Yes",10,0)</f>
        <v>10</v>
      </c>
      <c r="V322" s="4" t="n">
        <f aca="false">IF(TRIM(AK322)="Yes",5,0)</f>
        <v>5</v>
      </c>
      <c r="W322" s="4" t="n">
        <f aca="false">IF(TRIM(AM322)="Yes",5,0)</f>
        <v>5</v>
      </c>
      <c r="X322" s="4" t="n">
        <f aca="false">IF(OR(TRIM(AN322)="Fully Available",TRIM(AN322)="Not Applicable"),5,IF(TRIM(AN322)="Partially Available",2.5,0))</f>
        <v>5</v>
      </c>
      <c r="Y322" s="4" t="n">
        <f aca="false">IF(TRIM(AO322)="Yes",5,0)</f>
        <v>5</v>
      </c>
      <c r="Z322" s="4" t="n">
        <f aca="false">IF(TRIM(AP322)="Yes",2.5,0)</f>
        <v>2.5</v>
      </c>
      <c r="AA322" s="4" t="n">
        <f aca="false">IF(TRIM(AQ322)="Yes",5,0)</f>
        <v>5</v>
      </c>
      <c r="AB322" s="4" t="n">
        <f aca="false">IF(OR(TRIM(AR322)="Yes",TRIM(AR322)="Not Applicable"),5,0)</f>
        <v>5</v>
      </c>
      <c r="AC322" s="4" t="n">
        <f aca="false">IF(TRIM(AS322)="Excellent",5,IF(TRIM(AS322)="Very Good",4,IF(TRIM(AS322)="Good",3,IF(TRIM(AS322)="Average",2,0))))</f>
        <v>3</v>
      </c>
      <c r="AD322" s="7" t="n">
        <f aca="false">IF(COUNT(S322:AC322)=0,"",SUM(S322:AC322))</f>
        <v>78</v>
      </c>
      <c r="AE322" s="7"/>
      <c r="AF322" s="8"/>
      <c r="AG322" s="5"/>
      <c r="AH322" s="4"/>
      <c r="AI322" s="4" t="s">
        <v>62</v>
      </c>
      <c r="AJ322" s="4" t="s">
        <v>62</v>
      </c>
      <c r="AK322" s="4" t="s">
        <v>62</v>
      </c>
      <c r="AL322" s="4" t="s">
        <v>63</v>
      </c>
      <c r="AM322" s="4" t="s">
        <v>62</v>
      </c>
      <c r="AN322" s="4" t="s">
        <v>64</v>
      </c>
      <c r="AO322" s="4" t="s">
        <v>62</v>
      </c>
      <c r="AP322" s="4" t="s">
        <v>62</v>
      </c>
      <c r="AQ322" s="4" t="s">
        <v>62</v>
      </c>
      <c r="AR322" s="4" t="s">
        <v>73</v>
      </c>
      <c r="AS322" s="4" t="s">
        <v>185</v>
      </c>
      <c r="AT322" s="4" t="n">
        <v>13</v>
      </c>
      <c r="AU322" s="4" t="s">
        <v>66</v>
      </c>
      <c r="AV322" s="4" t="s">
        <v>91</v>
      </c>
      <c r="AW322" s="4" t="s">
        <v>1018</v>
      </c>
      <c r="AX322" s="4" t="s">
        <v>1019</v>
      </c>
      <c r="AY322" s="4" t="n">
        <v>11</v>
      </c>
      <c r="AZ322" s="4" t="s">
        <v>62</v>
      </c>
      <c r="BA322" s="4" t="s">
        <v>1010</v>
      </c>
      <c r="BB322" s="4" t="s">
        <v>760</v>
      </c>
      <c r="BC322" s="6" t="n">
        <v>0.7692</v>
      </c>
      <c r="BD322" s="4" t="n">
        <v>86</v>
      </c>
    </row>
    <row r="323" customFormat="false" ht="58.2" hidden="false" customHeight="false" outlineLevel="0" collapsed="false">
      <c r="A323" s="4" t="n">
        <v>138</v>
      </c>
      <c r="B323" s="4" t="s">
        <v>753</v>
      </c>
      <c r="C323" s="4" t="s">
        <v>57</v>
      </c>
      <c r="D323" s="4" t="s">
        <v>754</v>
      </c>
      <c r="E323" s="4" t="s">
        <v>770</v>
      </c>
      <c r="F323" s="4" t="n">
        <v>1846</v>
      </c>
      <c r="G323" s="5" t="s">
        <v>1020</v>
      </c>
      <c r="H323" s="5" t="s">
        <v>61</v>
      </c>
      <c r="I323" s="4"/>
      <c r="J323" s="4"/>
      <c r="K323" s="4"/>
      <c r="L323" s="4" t="n">
        <v>15</v>
      </c>
      <c r="M323" s="4" t="n">
        <v>15</v>
      </c>
      <c r="N323" s="4" t="n">
        <v>0</v>
      </c>
      <c r="O323" s="4" t="n">
        <v>13</v>
      </c>
      <c r="P323" s="4" t="n">
        <v>2</v>
      </c>
      <c r="Q323" s="4" t="n">
        <v>4</v>
      </c>
      <c r="R323" s="6" t="n">
        <f aca="false">IF(N(L323)=0,0,O323/L323)</f>
        <v>0.866666666666667</v>
      </c>
      <c r="S323" s="4" t="n">
        <f aca="false">IF(R323="","",IF(R323&gt;=0.8,50,IF(R323&gt;=0.5,30,IF(R323&gt;=0.01,10,0))))</f>
        <v>50</v>
      </c>
      <c r="T323" s="4" t="n">
        <f aca="false">IF(TRIM(AI323)="Yes",2.5,0)</f>
        <v>2.5</v>
      </c>
      <c r="U323" s="4" t="n">
        <f aca="false">IF(TRIM(AJ323)="Yes",10,0)</f>
        <v>10</v>
      </c>
      <c r="V323" s="4" t="n">
        <f aca="false">IF(TRIM(AK323)="Yes",5,0)</f>
        <v>5</v>
      </c>
      <c r="W323" s="4" t="n">
        <f aca="false">IF(TRIM(AM323)="Yes",5,0)</f>
        <v>5</v>
      </c>
      <c r="X323" s="4" t="n">
        <f aca="false">IF(OR(TRIM(AN323)="Fully Available",TRIM(AN323)="Not Applicable"),5,IF(TRIM(AN323)="Partially Available",2.5,0))</f>
        <v>2.5</v>
      </c>
      <c r="Y323" s="4" t="n">
        <f aca="false">IF(TRIM(AO323)="Yes",5,0)</f>
        <v>0</v>
      </c>
      <c r="Z323" s="4" t="n">
        <f aca="false">IF(TRIM(AP323)="Yes",2.5,0)</f>
        <v>2.5</v>
      </c>
      <c r="AA323" s="4" t="n">
        <f aca="false">IF(TRIM(AQ323)="Yes",5,0)</f>
        <v>5</v>
      </c>
      <c r="AB323" s="4" t="n">
        <f aca="false">IF(OR(TRIM(AR323)="Yes",TRIM(AR323)="Not Applicable"),5,0)</f>
        <v>5</v>
      </c>
      <c r="AC323" s="4" t="n">
        <f aca="false">IF(TRIM(AS323)="Excellent",5,IF(TRIM(AS323)="Very Good",4,IF(TRIM(AS323)="Good",3,IF(TRIM(AS323)="Average",2,0))))</f>
        <v>3</v>
      </c>
      <c r="AD323" s="7" t="n">
        <f aca="false">IF(COUNT(S323:AC323)=0,"",SUM(S323:AC323))</f>
        <v>90.5</v>
      </c>
      <c r="AE323" s="7" t="n">
        <f aca="false">IF(COUNTIF($F$2:F323,F323)=1,IFERROR(AVERAGEIF($F:$F,F323,$AD:$AD),""),"")</f>
        <v>94.25</v>
      </c>
      <c r="AF323" s="8" t="str">
        <f aca="false">IF(AH323&lt;&gt;"",AH323,IF(AE323="","",IF(AE323&gt;=80,"Excellent",IF(AE323&gt;=70,"Very Good",IF(AE323&gt;=60,"Good",IF(AE323&gt;=50,"Average","Poor"))))))</f>
        <v>Excellent</v>
      </c>
      <c r="AG323" s="5"/>
      <c r="AH323" s="4"/>
      <c r="AI323" s="4" t="s">
        <v>62</v>
      </c>
      <c r="AJ323" s="4" t="s">
        <v>62</v>
      </c>
      <c r="AK323" s="4" t="s">
        <v>62</v>
      </c>
      <c r="AL323" s="4" t="s">
        <v>63</v>
      </c>
      <c r="AM323" s="4" t="s">
        <v>62</v>
      </c>
      <c r="AN323" s="4" t="s">
        <v>147</v>
      </c>
      <c r="AO323" s="4" t="s">
        <v>82</v>
      </c>
      <c r="AP323" s="4" t="s">
        <v>62</v>
      </c>
      <c r="AQ323" s="4" t="s">
        <v>62</v>
      </c>
      <c r="AR323" s="4" t="s">
        <v>62</v>
      </c>
      <c r="AS323" s="4" t="s">
        <v>185</v>
      </c>
      <c r="AT323" s="4" t="n">
        <v>8</v>
      </c>
      <c r="AU323" s="4" t="s">
        <v>66</v>
      </c>
      <c r="AV323" s="4" t="s">
        <v>244</v>
      </c>
      <c r="AW323" s="4" t="s">
        <v>1021</v>
      </c>
      <c r="AX323" s="4" t="s">
        <v>1022</v>
      </c>
      <c r="AY323" s="4" t="n">
        <v>13</v>
      </c>
      <c r="AZ323" s="4" t="s">
        <v>62</v>
      </c>
      <c r="BA323" s="4" t="s">
        <v>1023</v>
      </c>
      <c r="BB323" s="4" t="s">
        <v>760</v>
      </c>
      <c r="BC323" s="6" t="n">
        <v>0.3077</v>
      </c>
      <c r="BD323" s="4" t="n">
        <v>86</v>
      </c>
    </row>
    <row r="324" customFormat="false" ht="58.2" hidden="false" customHeight="false" outlineLevel="0" collapsed="false">
      <c r="A324" s="4"/>
      <c r="B324" s="4" t="s">
        <v>753</v>
      </c>
      <c r="C324" s="4" t="s">
        <v>57</v>
      </c>
      <c r="D324" s="4" t="s">
        <v>754</v>
      </c>
      <c r="E324" s="4" t="s">
        <v>770</v>
      </c>
      <c r="F324" s="4" t="n">
        <v>1846</v>
      </c>
      <c r="G324" s="5" t="s">
        <v>1020</v>
      </c>
      <c r="H324" s="5" t="s">
        <v>261</v>
      </c>
      <c r="I324" s="4"/>
      <c r="J324" s="4"/>
      <c r="K324" s="4"/>
      <c r="L324" s="4" t="n">
        <v>20</v>
      </c>
      <c r="M324" s="4" t="n">
        <v>20</v>
      </c>
      <c r="N324" s="4" t="n">
        <v>0</v>
      </c>
      <c r="O324" s="4" t="n">
        <v>17</v>
      </c>
      <c r="P324" s="4" t="n">
        <v>3</v>
      </c>
      <c r="Q324" s="4" t="n">
        <v>8</v>
      </c>
      <c r="R324" s="6" t="n">
        <f aca="false">IF(N(L324)=0,0,O324/L324)</f>
        <v>0.85</v>
      </c>
      <c r="S324" s="4" t="n">
        <f aca="false">IF(R324="","",IF(R324&gt;=0.8,50,IF(R324&gt;=0.5,30,IF(R324&gt;=0.01,10,0))))</f>
        <v>50</v>
      </c>
      <c r="T324" s="4" t="n">
        <f aca="false">IF(TRIM(AI324)="Yes",2.5,0)</f>
        <v>2.5</v>
      </c>
      <c r="U324" s="4" t="n">
        <f aca="false">IF(TRIM(AJ324)="Yes",10,0)</f>
        <v>10</v>
      </c>
      <c r="V324" s="4" t="n">
        <f aca="false">IF(TRIM(AK324)="Yes",5,0)</f>
        <v>5</v>
      </c>
      <c r="W324" s="4" t="n">
        <f aca="false">IF(TRIM(AM324)="Yes",5,0)</f>
        <v>5</v>
      </c>
      <c r="X324" s="4" t="n">
        <f aca="false">IF(OR(TRIM(AN324)="Fully Available",TRIM(AN324)="Not Applicable"),5,IF(TRIM(AN324)="Partially Available",2.5,0))</f>
        <v>5</v>
      </c>
      <c r="Y324" s="4" t="n">
        <f aca="false">IF(TRIM(AO324)="Yes",5,0)</f>
        <v>5</v>
      </c>
      <c r="Z324" s="4" t="n">
        <f aca="false">IF(TRIM(AP324)="Yes",2.5,0)</f>
        <v>2.5</v>
      </c>
      <c r="AA324" s="4" t="n">
        <f aca="false">IF(TRIM(AQ324)="Yes",5,0)</f>
        <v>5</v>
      </c>
      <c r="AB324" s="4" t="n">
        <f aca="false">IF(OR(TRIM(AR324)="Yes",TRIM(AR324)="Not Applicable"),5,0)</f>
        <v>5</v>
      </c>
      <c r="AC324" s="4" t="n">
        <f aca="false">IF(TRIM(AS324)="Excellent",5,IF(TRIM(AS324)="Very Good",4,IF(TRIM(AS324)="Good",3,IF(TRIM(AS324)="Average",2,0))))</f>
        <v>3</v>
      </c>
      <c r="AD324" s="7" t="n">
        <f aca="false">IF(COUNT(S324:AC324)=0,"",SUM(S324:AC324))</f>
        <v>98</v>
      </c>
      <c r="AE324" s="7"/>
      <c r="AF324" s="8"/>
      <c r="AG324" s="5"/>
      <c r="AH324" s="4"/>
      <c r="AI324" s="4" t="s">
        <v>62</v>
      </c>
      <c r="AJ324" s="4" t="s">
        <v>62</v>
      </c>
      <c r="AK324" s="4" t="s">
        <v>62</v>
      </c>
      <c r="AL324" s="4" t="s">
        <v>63</v>
      </c>
      <c r="AM324" s="4" t="s">
        <v>62</v>
      </c>
      <c r="AN324" s="4" t="s">
        <v>64</v>
      </c>
      <c r="AO324" s="4" t="s">
        <v>62</v>
      </c>
      <c r="AP324" s="4" t="s">
        <v>62</v>
      </c>
      <c r="AQ324" s="4" t="s">
        <v>62</v>
      </c>
      <c r="AR324" s="4" t="s">
        <v>62</v>
      </c>
      <c r="AS324" s="4" t="s">
        <v>185</v>
      </c>
      <c r="AT324" s="4" t="n">
        <v>6</v>
      </c>
      <c r="AU324" s="4" t="s">
        <v>66</v>
      </c>
      <c r="AV324" s="4" t="s">
        <v>244</v>
      </c>
      <c r="AW324" s="4" t="s">
        <v>1024</v>
      </c>
      <c r="AX324" s="4" t="s">
        <v>773</v>
      </c>
      <c r="AY324" s="4" t="n">
        <v>4</v>
      </c>
      <c r="AZ324" s="4" t="s">
        <v>62</v>
      </c>
      <c r="BA324" s="4" t="s">
        <v>1023</v>
      </c>
      <c r="BB324" s="4" t="s">
        <v>760</v>
      </c>
      <c r="BC324" s="6" t="n">
        <v>0.4706</v>
      </c>
      <c r="BD324" s="4" t="n">
        <v>86</v>
      </c>
    </row>
    <row r="325" customFormat="false" ht="100.7" hidden="false" customHeight="false" outlineLevel="0" collapsed="false">
      <c r="A325" s="4" t="n">
        <v>139</v>
      </c>
      <c r="B325" s="4" t="s">
        <v>753</v>
      </c>
      <c r="C325" s="4" t="s">
        <v>57</v>
      </c>
      <c r="D325" s="4" t="s">
        <v>754</v>
      </c>
      <c r="E325" s="4" t="s">
        <v>817</v>
      </c>
      <c r="F325" s="4" t="n">
        <v>5373</v>
      </c>
      <c r="G325" s="5" t="s">
        <v>1025</v>
      </c>
      <c r="H325" s="5" t="s">
        <v>1026</v>
      </c>
      <c r="I325" s="4"/>
      <c r="J325" s="4"/>
      <c r="K325" s="4"/>
      <c r="L325" s="4" t="n">
        <v>120</v>
      </c>
      <c r="M325" s="4" t="n">
        <v>120</v>
      </c>
      <c r="N325" s="4" t="n">
        <v>0</v>
      </c>
      <c r="O325" s="4" t="n">
        <v>96</v>
      </c>
      <c r="P325" s="4" t="n">
        <v>24</v>
      </c>
      <c r="Q325" s="4" t="n">
        <v>36</v>
      </c>
      <c r="R325" s="6" t="n">
        <f aca="false">IF(N(L325)=0,0,O325/L325)</f>
        <v>0.8</v>
      </c>
      <c r="S325" s="4" t="n">
        <f aca="false">IF(R325="","",IF(R325&gt;=0.8,50,IF(R325&gt;=0.5,30,IF(R325&gt;=0.01,10,0))))</f>
        <v>50</v>
      </c>
      <c r="T325" s="4" t="n">
        <f aca="false">IF(TRIM(AI325)="Yes",2.5,0)</f>
        <v>0</v>
      </c>
      <c r="U325" s="4" t="n">
        <f aca="false">IF(TRIM(AJ325)="Yes",10,0)</f>
        <v>0</v>
      </c>
      <c r="V325" s="4" t="n">
        <f aca="false">IF(TRIM(AK325)="Yes",5,0)</f>
        <v>5</v>
      </c>
      <c r="W325" s="4" t="n">
        <f aca="false">IF(TRIM(AM325)="Yes",5,0)</f>
        <v>5</v>
      </c>
      <c r="X325" s="4" t="n">
        <f aca="false">IF(OR(TRIM(AN325)="Fully Available",TRIM(AN325)="Not Applicable"),5,IF(TRIM(AN325)="Partially Available",2.5,0))</f>
        <v>2.5</v>
      </c>
      <c r="Y325" s="4" t="n">
        <f aca="false">IF(TRIM(AO325)="Yes",5,0)</f>
        <v>5</v>
      </c>
      <c r="Z325" s="4" t="n">
        <f aca="false">IF(TRIM(AP325)="Yes",2.5,0)</f>
        <v>2.5</v>
      </c>
      <c r="AA325" s="4" t="n">
        <f aca="false">IF(TRIM(AQ325)="Yes",5,0)</f>
        <v>5</v>
      </c>
      <c r="AB325" s="4" t="n">
        <f aca="false">IF(OR(TRIM(AR325)="Yes",TRIM(AR325)="Not Applicable"),5,0)</f>
        <v>5</v>
      </c>
      <c r="AC325" s="4" t="n">
        <f aca="false">IF(TRIM(AS325)="Excellent",5,IF(TRIM(AS325)="Very Good",4,IF(TRIM(AS325)="Good",3,IF(TRIM(AS325)="Average",2,0))))</f>
        <v>3</v>
      </c>
      <c r="AD325" s="7" t="n">
        <f aca="false">IF(COUNT(S325:AC325)=0,"",SUM(S325:AC325))</f>
        <v>83</v>
      </c>
      <c r="AE325" s="7" t="n">
        <f aca="false">IF(COUNTIF($F$2:F325,F325)=1,IFERROR(AVERAGEIF($F:$F,F325,$AD:$AD),""),"")</f>
        <v>83</v>
      </c>
      <c r="AF325" s="8" t="str">
        <f aca="false">IF(AH325&lt;&gt;"",AH325,IF(AE325="","",IF(AE325&gt;=80,"Excellent",IF(AE325&gt;=70,"Very Good",IF(AE325&gt;=60,"Good",IF(AE325&gt;=50,"Average","Poor"))))))</f>
        <v>Excellent</v>
      </c>
      <c r="AG325" s="5"/>
      <c r="AH325" s="4"/>
      <c r="AI325" s="4" t="s">
        <v>82</v>
      </c>
      <c r="AJ325" s="4" t="s">
        <v>82</v>
      </c>
      <c r="AK325" s="4" t="s">
        <v>62</v>
      </c>
      <c r="AL325" s="4" t="s">
        <v>63</v>
      </c>
      <c r="AM325" s="4" t="s">
        <v>62</v>
      </c>
      <c r="AN325" s="4" t="s">
        <v>147</v>
      </c>
      <c r="AO325" s="4" t="s">
        <v>62</v>
      </c>
      <c r="AP325" s="4" t="s">
        <v>62</v>
      </c>
      <c r="AQ325" s="4" t="s">
        <v>62</v>
      </c>
      <c r="AR325" s="4" t="s">
        <v>73</v>
      </c>
      <c r="AS325" s="4" t="s">
        <v>185</v>
      </c>
      <c r="AT325" s="4" t="n">
        <v>2</v>
      </c>
      <c r="AU325" s="4" t="s">
        <v>66</v>
      </c>
      <c r="AV325" s="4" t="s">
        <v>128</v>
      </c>
      <c r="AW325" s="4" t="s">
        <v>1027</v>
      </c>
      <c r="AX325" s="4" t="s">
        <v>1028</v>
      </c>
      <c r="AY325" s="4" t="n">
        <v>2</v>
      </c>
      <c r="AZ325" s="4" t="s">
        <v>62</v>
      </c>
      <c r="BA325" s="4" t="s">
        <v>1029</v>
      </c>
      <c r="BB325" s="4" t="s">
        <v>760</v>
      </c>
      <c r="BC325" s="6" t="n">
        <v>0.375</v>
      </c>
      <c r="BD325" s="4" t="n">
        <v>67</v>
      </c>
    </row>
    <row r="326" customFormat="false" ht="86.55" hidden="false" customHeight="false" outlineLevel="0" collapsed="false">
      <c r="A326" s="4" t="n">
        <v>140</v>
      </c>
      <c r="B326" s="4" t="s">
        <v>753</v>
      </c>
      <c r="C326" s="4" t="s">
        <v>57</v>
      </c>
      <c r="D326" s="4" t="s">
        <v>754</v>
      </c>
      <c r="E326" s="4" t="s">
        <v>823</v>
      </c>
      <c r="F326" s="4" t="n">
        <v>974</v>
      </c>
      <c r="G326" s="5" t="s">
        <v>1030</v>
      </c>
      <c r="H326" s="5" t="s">
        <v>190</v>
      </c>
      <c r="I326" s="4"/>
      <c r="J326" s="4"/>
      <c r="K326" s="4"/>
      <c r="L326" s="4" t="n">
        <v>15</v>
      </c>
      <c r="M326" s="4" t="n">
        <v>15</v>
      </c>
      <c r="N326" s="4" t="n">
        <v>0</v>
      </c>
      <c r="O326" s="4" t="n">
        <v>12</v>
      </c>
      <c r="P326" s="4" t="n">
        <v>3</v>
      </c>
      <c r="Q326" s="4" t="n">
        <v>5</v>
      </c>
      <c r="R326" s="6" t="n">
        <f aca="false">IF(N(L326)=0,0,O326/L326)</f>
        <v>0.8</v>
      </c>
      <c r="S326" s="4" t="n">
        <f aca="false">IF(R326="","",IF(R326&gt;=0.8,50,IF(R326&gt;=0.5,30,IF(R326&gt;=0.01,10,0))))</f>
        <v>50</v>
      </c>
      <c r="T326" s="4" t="n">
        <f aca="false">IF(TRIM(AI326)="Yes",2.5,0)</f>
        <v>2.5</v>
      </c>
      <c r="U326" s="4" t="n">
        <f aca="false">IF(TRIM(AJ326)="Yes",10,0)</f>
        <v>10</v>
      </c>
      <c r="V326" s="4" t="n">
        <f aca="false">IF(TRIM(AK326)="Yes",5,0)</f>
        <v>5</v>
      </c>
      <c r="W326" s="4" t="n">
        <f aca="false">IF(TRIM(AM326)="Yes",5,0)</f>
        <v>5</v>
      </c>
      <c r="X326" s="4" t="n">
        <f aca="false">IF(OR(TRIM(AN326)="Fully Available",TRIM(AN326)="Not Applicable"),5,IF(TRIM(AN326)="Partially Available",2.5,0))</f>
        <v>5</v>
      </c>
      <c r="Y326" s="4" t="n">
        <f aca="false">IF(TRIM(AO326)="Yes",5,0)</f>
        <v>5</v>
      </c>
      <c r="Z326" s="4" t="n">
        <f aca="false">IF(TRIM(AP326)="Yes",2.5,0)</f>
        <v>2.5</v>
      </c>
      <c r="AA326" s="4" t="n">
        <f aca="false">IF(TRIM(AQ326)="Yes",5,0)</f>
        <v>5</v>
      </c>
      <c r="AB326" s="4" t="n">
        <f aca="false">IF(OR(TRIM(AR326)="Yes",TRIM(AR326)="Not Applicable"),5,0)</f>
        <v>5</v>
      </c>
      <c r="AC326" s="4" t="n">
        <f aca="false">IF(TRIM(AS326)="Excellent",5,IF(TRIM(AS326)="Very Good",4,IF(TRIM(AS326)="Good",3,IF(TRIM(AS326)="Average",2,0))))</f>
        <v>4</v>
      </c>
      <c r="AD326" s="7" t="n">
        <f aca="false">IF(COUNT(S326:AC326)=0,"",SUM(S326:AC326))</f>
        <v>99</v>
      </c>
      <c r="AE326" s="7" t="n">
        <f aca="false">IF(COUNTIF($F$2:F326,F326)=1,IFERROR(AVERAGEIF($F:$F,F326,$AD:$AD),""),"")</f>
        <v>99</v>
      </c>
      <c r="AF326" s="8" t="str">
        <f aca="false">IF(AH326&lt;&gt;"",AH326,IF(AE326="","",IF(AE326&gt;=80,"Excellent",IF(AE326&gt;=70,"Very Good",IF(AE326&gt;=60,"Good",IF(AE326&gt;=50,"Average","Poor"))))))</f>
        <v>Excellent</v>
      </c>
      <c r="AG326" s="5"/>
      <c r="AH326" s="4"/>
      <c r="AI326" s="4" t="s">
        <v>62</v>
      </c>
      <c r="AJ326" s="4" t="s">
        <v>62</v>
      </c>
      <c r="AK326" s="4" t="s">
        <v>62</v>
      </c>
      <c r="AL326" s="4" t="s">
        <v>63</v>
      </c>
      <c r="AM326" s="4" t="s">
        <v>62</v>
      </c>
      <c r="AN326" s="4" t="s">
        <v>64</v>
      </c>
      <c r="AO326" s="4" t="s">
        <v>62</v>
      </c>
      <c r="AP326" s="4" t="s">
        <v>62</v>
      </c>
      <c r="AQ326" s="4" t="s">
        <v>62</v>
      </c>
      <c r="AR326" s="4" t="s">
        <v>62</v>
      </c>
      <c r="AS326" s="4" t="s">
        <v>74</v>
      </c>
      <c r="AT326" s="4" t="n">
        <v>7</v>
      </c>
      <c r="AU326" s="4" t="s">
        <v>112</v>
      </c>
      <c r="AV326" s="4" t="s">
        <v>151</v>
      </c>
      <c r="AW326" s="4" t="s">
        <v>1031</v>
      </c>
      <c r="AX326" s="4" t="s">
        <v>368</v>
      </c>
      <c r="AY326" s="4" t="n">
        <v>12</v>
      </c>
      <c r="AZ326" s="4" t="s">
        <v>62</v>
      </c>
      <c r="BA326" s="4" t="s">
        <v>1032</v>
      </c>
      <c r="BB326" s="4" t="s">
        <v>760</v>
      </c>
      <c r="BC326" s="6" t="n">
        <v>0.4167</v>
      </c>
      <c r="BD326" s="4" t="n">
        <v>95</v>
      </c>
    </row>
    <row r="327" customFormat="false" ht="86.55" hidden="false" customHeight="false" outlineLevel="0" collapsed="false">
      <c r="A327" s="4"/>
      <c r="B327" s="4" t="s">
        <v>753</v>
      </c>
      <c r="C327" s="4" t="s">
        <v>57</v>
      </c>
      <c r="D327" s="4" t="s">
        <v>754</v>
      </c>
      <c r="E327" s="4" t="s">
        <v>823</v>
      </c>
      <c r="F327" s="4" t="n">
        <v>974</v>
      </c>
      <c r="G327" s="5" t="s">
        <v>1030</v>
      </c>
      <c r="H327" s="5" t="s">
        <v>1033</v>
      </c>
      <c r="I327" s="4"/>
      <c r="J327" s="4"/>
      <c r="K327" s="4"/>
      <c r="L327" s="4" t="n">
        <v>15</v>
      </c>
      <c r="M327" s="4" t="n">
        <v>15</v>
      </c>
      <c r="N327" s="4" t="n">
        <v>0</v>
      </c>
      <c r="O327" s="4" t="n">
        <v>12</v>
      </c>
      <c r="P327" s="4" t="n">
        <v>3</v>
      </c>
      <c r="Q327" s="4" t="n">
        <v>8</v>
      </c>
      <c r="R327" s="6" t="n">
        <f aca="false">IF(N(L327)=0,0,O327/L327)</f>
        <v>0.8</v>
      </c>
      <c r="S327" s="4" t="n">
        <f aca="false">IF(R327="","",IF(R327&gt;=0.8,50,IF(R327&gt;=0.5,30,IF(R327&gt;=0.01,10,0))))</f>
        <v>50</v>
      </c>
      <c r="T327" s="4" t="n">
        <f aca="false">IF(TRIM(AI327)="Yes",2.5,0)</f>
        <v>2.5</v>
      </c>
      <c r="U327" s="4" t="n">
        <f aca="false">IF(TRIM(AJ327)="Yes",10,0)</f>
        <v>10</v>
      </c>
      <c r="V327" s="4" t="n">
        <f aca="false">IF(TRIM(AK327)="Yes",5,0)</f>
        <v>5</v>
      </c>
      <c r="W327" s="4" t="n">
        <f aca="false">IF(TRIM(AM327)="Yes",5,0)</f>
        <v>5</v>
      </c>
      <c r="X327" s="4" t="n">
        <f aca="false">IF(OR(TRIM(AN327)="Fully Available",TRIM(AN327)="Not Applicable"),5,IF(TRIM(AN327)="Partially Available",2.5,0))</f>
        <v>5</v>
      </c>
      <c r="Y327" s="4" t="n">
        <f aca="false">IF(TRIM(AO327)="Yes",5,0)</f>
        <v>5</v>
      </c>
      <c r="Z327" s="4" t="n">
        <f aca="false">IF(TRIM(AP327)="Yes",2.5,0)</f>
        <v>2.5</v>
      </c>
      <c r="AA327" s="4" t="n">
        <f aca="false">IF(TRIM(AQ327)="Yes",5,0)</f>
        <v>5</v>
      </c>
      <c r="AB327" s="4" t="n">
        <f aca="false">IF(OR(TRIM(AR327)="Yes",TRIM(AR327)="Not Applicable"),5,0)</f>
        <v>5</v>
      </c>
      <c r="AC327" s="4" t="n">
        <f aca="false">IF(TRIM(AS327)="Excellent",5,IF(TRIM(AS327)="Very Good",4,IF(TRIM(AS327)="Good",3,IF(TRIM(AS327)="Average",2,0))))</f>
        <v>4</v>
      </c>
      <c r="AD327" s="7" t="n">
        <f aca="false">IF(COUNT(S327:AC327)=0,"",SUM(S327:AC327))</f>
        <v>99</v>
      </c>
      <c r="AE327" s="7"/>
      <c r="AF327" s="8"/>
      <c r="AG327" s="5"/>
      <c r="AH327" s="4"/>
      <c r="AI327" s="4" t="s">
        <v>62</v>
      </c>
      <c r="AJ327" s="4" t="s">
        <v>62</v>
      </c>
      <c r="AK327" s="4" t="s">
        <v>62</v>
      </c>
      <c r="AL327" s="4" t="s">
        <v>63</v>
      </c>
      <c r="AM327" s="4" t="s">
        <v>62</v>
      </c>
      <c r="AN327" s="4" t="s">
        <v>64</v>
      </c>
      <c r="AO327" s="4" t="s">
        <v>62</v>
      </c>
      <c r="AP327" s="4" t="s">
        <v>62</v>
      </c>
      <c r="AQ327" s="4" t="s">
        <v>62</v>
      </c>
      <c r="AR327" s="4" t="s">
        <v>62</v>
      </c>
      <c r="AS327" s="4" t="s">
        <v>74</v>
      </c>
      <c r="AT327" s="4" t="n">
        <v>7</v>
      </c>
      <c r="AU327" s="4" t="s">
        <v>112</v>
      </c>
      <c r="AV327" s="4" t="s">
        <v>151</v>
      </c>
      <c r="AW327" s="4" t="s">
        <v>1034</v>
      </c>
      <c r="AX327" s="4" t="s">
        <v>621</v>
      </c>
      <c r="AY327" s="4" t="n">
        <v>8</v>
      </c>
      <c r="AZ327" s="4" t="s">
        <v>62</v>
      </c>
      <c r="BA327" s="4" t="s">
        <v>1032</v>
      </c>
      <c r="BB327" s="4" t="s">
        <v>760</v>
      </c>
      <c r="BC327" s="6" t="n">
        <v>0.6667</v>
      </c>
      <c r="BD327" s="4" t="n">
        <v>95</v>
      </c>
    </row>
    <row r="328" customFormat="false" ht="86.55" hidden="false" customHeight="false" outlineLevel="0" collapsed="false">
      <c r="A328" s="4"/>
      <c r="B328" s="4" t="s">
        <v>753</v>
      </c>
      <c r="C328" s="4" t="s">
        <v>57</v>
      </c>
      <c r="D328" s="4" t="s">
        <v>754</v>
      </c>
      <c r="E328" s="4" t="s">
        <v>823</v>
      </c>
      <c r="F328" s="4" t="n">
        <v>974</v>
      </c>
      <c r="G328" s="5" t="s">
        <v>1030</v>
      </c>
      <c r="H328" s="5" t="s">
        <v>127</v>
      </c>
      <c r="I328" s="4"/>
      <c r="J328" s="4"/>
      <c r="K328" s="4"/>
      <c r="L328" s="4" t="n">
        <v>15</v>
      </c>
      <c r="M328" s="4" t="n">
        <v>15</v>
      </c>
      <c r="N328" s="4" t="n">
        <v>0</v>
      </c>
      <c r="O328" s="4" t="n">
        <v>13</v>
      </c>
      <c r="P328" s="4" t="n">
        <v>2</v>
      </c>
      <c r="Q328" s="4" t="n">
        <v>8</v>
      </c>
      <c r="R328" s="6" t="n">
        <f aca="false">IF(N(L328)=0,0,O328/L328)</f>
        <v>0.866666666666667</v>
      </c>
      <c r="S328" s="4" t="n">
        <f aca="false">IF(R328="","",IF(R328&gt;=0.8,50,IF(R328&gt;=0.5,30,IF(R328&gt;=0.01,10,0))))</f>
        <v>50</v>
      </c>
      <c r="T328" s="4" t="n">
        <f aca="false">IF(TRIM(AI328)="Yes",2.5,0)</f>
        <v>2.5</v>
      </c>
      <c r="U328" s="4" t="n">
        <f aca="false">IF(TRIM(AJ328)="Yes",10,0)</f>
        <v>10</v>
      </c>
      <c r="V328" s="4" t="n">
        <f aca="false">IF(TRIM(AK328)="Yes",5,0)</f>
        <v>5</v>
      </c>
      <c r="W328" s="4" t="n">
        <f aca="false">IF(TRIM(AM328)="Yes",5,0)</f>
        <v>5</v>
      </c>
      <c r="X328" s="4" t="n">
        <f aca="false">IF(OR(TRIM(AN328)="Fully Available",TRIM(AN328)="Not Applicable"),5,IF(TRIM(AN328)="Partially Available",2.5,0))</f>
        <v>5</v>
      </c>
      <c r="Y328" s="4" t="n">
        <f aca="false">IF(TRIM(AO328)="Yes",5,0)</f>
        <v>5</v>
      </c>
      <c r="Z328" s="4" t="n">
        <f aca="false">IF(TRIM(AP328)="Yes",2.5,0)</f>
        <v>2.5</v>
      </c>
      <c r="AA328" s="4" t="n">
        <f aca="false">IF(TRIM(AQ328)="Yes",5,0)</f>
        <v>5</v>
      </c>
      <c r="AB328" s="4" t="n">
        <f aca="false">IF(OR(TRIM(AR328)="Yes",TRIM(AR328)="Not Applicable"),5,0)</f>
        <v>5</v>
      </c>
      <c r="AC328" s="4" t="n">
        <f aca="false">IF(TRIM(AS328)="Excellent",5,IF(TRIM(AS328)="Very Good",4,IF(TRIM(AS328)="Good",3,IF(TRIM(AS328)="Average",2,0))))</f>
        <v>4</v>
      </c>
      <c r="AD328" s="7" t="n">
        <f aca="false">IF(COUNT(S328:AC328)=0,"",SUM(S328:AC328))</f>
        <v>99</v>
      </c>
      <c r="AE328" s="7"/>
      <c r="AF328" s="8"/>
      <c r="AG328" s="5"/>
      <c r="AH328" s="4"/>
      <c r="AI328" s="4" t="s">
        <v>62</v>
      </c>
      <c r="AJ328" s="4" t="s">
        <v>62</v>
      </c>
      <c r="AK328" s="4" t="s">
        <v>62</v>
      </c>
      <c r="AL328" s="4" t="s">
        <v>63</v>
      </c>
      <c r="AM328" s="4" t="s">
        <v>62</v>
      </c>
      <c r="AN328" s="4" t="s">
        <v>64</v>
      </c>
      <c r="AO328" s="4" t="s">
        <v>62</v>
      </c>
      <c r="AP328" s="4" t="s">
        <v>62</v>
      </c>
      <c r="AQ328" s="4" t="s">
        <v>62</v>
      </c>
      <c r="AR328" s="4" t="s">
        <v>62</v>
      </c>
      <c r="AS328" s="4" t="s">
        <v>74</v>
      </c>
      <c r="AT328" s="4" t="n">
        <v>7</v>
      </c>
      <c r="AU328" s="4" t="s">
        <v>66</v>
      </c>
      <c r="AV328" s="4" t="s">
        <v>151</v>
      </c>
      <c r="AW328" s="4" t="s">
        <v>1035</v>
      </c>
      <c r="AX328" s="4" t="s">
        <v>1036</v>
      </c>
      <c r="AY328" s="4" t="n">
        <v>6</v>
      </c>
      <c r="AZ328" s="4" t="s">
        <v>62</v>
      </c>
      <c r="BA328" s="4" t="s">
        <v>1032</v>
      </c>
      <c r="BB328" s="4" t="s">
        <v>760</v>
      </c>
      <c r="BC328" s="6" t="n">
        <v>0.6154</v>
      </c>
      <c r="BD328" s="4" t="n">
        <v>95</v>
      </c>
    </row>
    <row r="329" customFormat="false" ht="299.25" hidden="false" customHeight="false" outlineLevel="0" collapsed="false">
      <c r="A329" s="4" t="n">
        <v>141</v>
      </c>
      <c r="B329" s="4" t="s">
        <v>753</v>
      </c>
      <c r="C329" s="4" t="s">
        <v>57</v>
      </c>
      <c r="D329" s="4" t="s">
        <v>754</v>
      </c>
      <c r="E329" s="4" t="s">
        <v>770</v>
      </c>
      <c r="F329" s="4" t="n">
        <v>3363</v>
      </c>
      <c r="G329" s="5" t="s">
        <v>1037</v>
      </c>
      <c r="H329" s="5" t="s">
        <v>190</v>
      </c>
      <c r="I329" s="4"/>
      <c r="J329" s="4"/>
      <c r="K329" s="4"/>
      <c r="L329" s="4" t="n">
        <v>40</v>
      </c>
      <c r="M329" s="4" t="n">
        <v>40</v>
      </c>
      <c r="N329" s="4" t="n">
        <v>0</v>
      </c>
      <c r="O329" s="4" t="n">
        <v>38</v>
      </c>
      <c r="P329" s="4" t="n">
        <v>2</v>
      </c>
      <c r="Q329" s="4" t="n">
        <v>10</v>
      </c>
      <c r="R329" s="6" t="n">
        <f aca="false">IF(N(L329)=0,0,O329/L329)</f>
        <v>0.95</v>
      </c>
      <c r="S329" s="4" t="n">
        <f aca="false">IF(R329="","",IF(R329&gt;=0.8,50,IF(R329&gt;=0.5,30,IF(R329&gt;=0.01,10,0))))</f>
        <v>50</v>
      </c>
      <c r="T329" s="4" t="n">
        <f aca="false">IF(TRIM(AI329)="Yes",2.5,0)</f>
        <v>2.5</v>
      </c>
      <c r="U329" s="4" t="n">
        <f aca="false">IF(TRIM(AJ329)="Yes",10,0)</f>
        <v>10</v>
      </c>
      <c r="V329" s="4" t="n">
        <f aca="false">IF(TRIM(AK329)="Yes",5,0)</f>
        <v>5</v>
      </c>
      <c r="W329" s="4" t="n">
        <f aca="false">IF(TRIM(AM329)="Yes",5,0)</f>
        <v>0</v>
      </c>
      <c r="X329" s="4" t="n">
        <f aca="false">IF(OR(TRIM(AN329)="Fully Available",TRIM(AN329)="Not Applicable"),5,IF(TRIM(AN329)="Partially Available",2.5,0))</f>
        <v>5</v>
      </c>
      <c r="Y329" s="4" t="n">
        <f aca="false">IF(TRIM(AO329)="Yes",5,0)</f>
        <v>5</v>
      </c>
      <c r="Z329" s="4" t="n">
        <f aca="false">IF(TRIM(AP329)="Yes",2.5,0)</f>
        <v>2.5</v>
      </c>
      <c r="AA329" s="4" t="n">
        <f aca="false">IF(TRIM(AQ329)="Yes",5,0)</f>
        <v>5</v>
      </c>
      <c r="AB329" s="4" t="n">
        <f aca="false">IF(OR(TRIM(AR329)="Yes",TRIM(AR329)="Not Applicable"),5,0)</f>
        <v>5</v>
      </c>
      <c r="AC329" s="4" t="n">
        <f aca="false">IF(TRIM(AS329)="Excellent",5,IF(TRIM(AS329)="Very Good",4,IF(TRIM(AS329)="Good",3,IF(TRIM(AS329)="Average",2,0))))</f>
        <v>4</v>
      </c>
      <c r="AD329" s="7" t="n">
        <f aca="false">IF(COUNT(S329:AC329)=0,"",SUM(S329:AC329))</f>
        <v>94</v>
      </c>
      <c r="AE329" s="7" t="n">
        <f aca="false">IF(COUNTIF($F$2:F329,F329)=1,IFERROR(AVERAGEIF($F:$F,F329,$AD:$AD),""),"")</f>
        <v>80.6666666666667</v>
      </c>
      <c r="AF329" s="8" t="str">
        <f aca="false">IF(AH329&lt;&gt;"",AH329,IF(AE329="","",IF(AE329&gt;=80,"Excellent",IF(AE329&gt;=70,"Very Good",IF(AE329&gt;=60,"Good",IF(AE329&gt;=50,"Average","Poor"))))))</f>
        <v>Excellent</v>
      </c>
      <c r="AG329" s="5"/>
      <c r="AH329" s="4"/>
      <c r="AI329" s="4" t="s">
        <v>62</v>
      </c>
      <c r="AJ329" s="4" t="s">
        <v>62</v>
      </c>
      <c r="AK329" s="4" t="s">
        <v>62</v>
      </c>
      <c r="AL329" s="4" t="s">
        <v>63</v>
      </c>
      <c r="AM329" s="4" t="s">
        <v>82</v>
      </c>
      <c r="AN329" s="4" t="s">
        <v>64</v>
      </c>
      <c r="AO329" s="4" t="s">
        <v>62</v>
      </c>
      <c r="AP329" s="4" t="s">
        <v>62</v>
      </c>
      <c r="AQ329" s="4" t="s">
        <v>62</v>
      </c>
      <c r="AR329" s="4" t="s">
        <v>62</v>
      </c>
      <c r="AS329" s="4" t="s">
        <v>74</v>
      </c>
      <c r="AT329" s="4" t="n">
        <v>8</v>
      </c>
      <c r="AU329" s="4" t="s">
        <v>112</v>
      </c>
      <c r="AV329" s="4" t="s">
        <v>128</v>
      </c>
      <c r="AW329" s="4" t="s">
        <v>1038</v>
      </c>
      <c r="AX329" s="4" t="s">
        <v>392</v>
      </c>
      <c r="AY329" s="4" t="n">
        <v>16</v>
      </c>
      <c r="AZ329" s="4" t="s">
        <v>62</v>
      </c>
      <c r="BA329" s="4" t="s">
        <v>1039</v>
      </c>
      <c r="BB329" s="4" t="s">
        <v>760</v>
      </c>
      <c r="BC329" s="6" t="n">
        <v>0.2632</v>
      </c>
      <c r="BD329" s="4" t="n">
        <v>90</v>
      </c>
    </row>
    <row r="330" customFormat="false" ht="299.25" hidden="false" customHeight="false" outlineLevel="0" collapsed="false">
      <c r="A330" s="4"/>
      <c r="B330" s="4" t="s">
        <v>753</v>
      </c>
      <c r="C330" s="4" t="s">
        <v>57</v>
      </c>
      <c r="D330" s="4" t="s">
        <v>754</v>
      </c>
      <c r="E330" s="4" t="s">
        <v>770</v>
      </c>
      <c r="F330" s="4" t="n">
        <v>3363</v>
      </c>
      <c r="G330" s="5" t="s">
        <v>1037</v>
      </c>
      <c r="H330" s="5" t="s">
        <v>1040</v>
      </c>
      <c r="I330" s="4"/>
      <c r="J330" s="4"/>
      <c r="K330" s="4"/>
      <c r="L330" s="4" t="n">
        <v>20</v>
      </c>
      <c r="M330" s="4" t="n">
        <v>20</v>
      </c>
      <c r="N330" s="4" t="n">
        <v>0</v>
      </c>
      <c r="O330" s="4" t="n">
        <v>13</v>
      </c>
      <c r="P330" s="4" t="n">
        <v>7</v>
      </c>
      <c r="Q330" s="4" t="n">
        <v>5</v>
      </c>
      <c r="R330" s="6" t="n">
        <f aca="false">IF(N(L330)=0,0,O330/L330)</f>
        <v>0.65</v>
      </c>
      <c r="S330" s="4" t="n">
        <f aca="false">IF(R330="","",IF(R330&gt;=0.8,50,IF(R330&gt;=0.5,30,IF(R330&gt;=0.01,10,0))))</f>
        <v>30</v>
      </c>
      <c r="T330" s="4" t="n">
        <f aca="false">IF(TRIM(AI330)="Yes",2.5,0)</f>
        <v>2.5</v>
      </c>
      <c r="U330" s="4" t="n">
        <f aca="false">IF(TRIM(AJ330)="Yes",10,0)</f>
        <v>10</v>
      </c>
      <c r="V330" s="4" t="n">
        <f aca="false">IF(TRIM(AK330)="Yes",5,0)</f>
        <v>5</v>
      </c>
      <c r="W330" s="4" t="n">
        <f aca="false">IF(TRIM(AM330)="Yes",5,0)</f>
        <v>0</v>
      </c>
      <c r="X330" s="4" t="n">
        <f aca="false">IF(OR(TRIM(AN330)="Fully Available",TRIM(AN330)="Not Applicable"),5,IF(TRIM(AN330)="Partially Available",2.5,0))</f>
        <v>5</v>
      </c>
      <c r="Y330" s="4" t="n">
        <f aca="false">IF(TRIM(AO330)="Yes",5,0)</f>
        <v>5</v>
      </c>
      <c r="Z330" s="4" t="n">
        <f aca="false">IF(TRIM(AP330)="Yes",2.5,0)</f>
        <v>2.5</v>
      </c>
      <c r="AA330" s="4" t="n">
        <f aca="false">IF(TRIM(AQ330)="Yes",5,0)</f>
        <v>5</v>
      </c>
      <c r="AB330" s="4" t="n">
        <f aca="false">IF(OR(TRIM(AR330)="Yes",TRIM(AR330)="Not Applicable"),5,0)</f>
        <v>5</v>
      </c>
      <c r="AC330" s="4" t="n">
        <f aca="false">IF(TRIM(AS330)="Excellent",5,IF(TRIM(AS330)="Very Good",4,IF(TRIM(AS330)="Good",3,IF(TRIM(AS330)="Average",2,0))))</f>
        <v>4</v>
      </c>
      <c r="AD330" s="7" t="n">
        <f aca="false">IF(COUNT(S330:AC330)=0,"",SUM(S330:AC330))</f>
        <v>74</v>
      </c>
      <c r="AE330" s="7"/>
      <c r="AF330" s="8"/>
      <c r="AG330" s="5"/>
      <c r="AH330" s="4"/>
      <c r="AI330" s="4" t="s">
        <v>62</v>
      </c>
      <c r="AJ330" s="4" t="s">
        <v>62</v>
      </c>
      <c r="AK330" s="4" t="s">
        <v>62</v>
      </c>
      <c r="AL330" s="4" t="s">
        <v>63</v>
      </c>
      <c r="AM330" s="4" t="s">
        <v>82</v>
      </c>
      <c r="AN330" s="4" t="s">
        <v>64</v>
      </c>
      <c r="AO330" s="4" t="s">
        <v>62</v>
      </c>
      <c r="AP330" s="4" t="s">
        <v>62</v>
      </c>
      <c r="AQ330" s="4" t="s">
        <v>62</v>
      </c>
      <c r="AR330" s="4" t="s">
        <v>62</v>
      </c>
      <c r="AS330" s="4" t="s">
        <v>74</v>
      </c>
      <c r="AT330" s="4" t="n">
        <v>5</v>
      </c>
      <c r="AU330" s="4" t="s">
        <v>66</v>
      </c>
      <c r="AV330" s="4" t="s">
        <v>128</v>
      </c>
      <c r="AW330" s="4" t="s">
        <v>1041</v>
      </c>
      <c r="AX330" s="4" t="s">
        <v>1042</v>
      </c>
      <c r="AY330" s="4" t="n">
        <v>6</v>
      </c>
      <c r="AZ330" s="4" t="s">
        <v>62</v>
      </c>
      <c r="BA330" s="4" t="s">
        <v>1039</v>
      </c>
      <c r="BB330" s="4" t="s">
        <v>760</v>
      </c>
      <c r="BC330" s="6" t="n">
        <v>0.3846</v>
      </c>
      <c r="BD330" s="4" t="n">
        <v>90</v>
      </c>
    </row>
    <row r="331" customFormat="false" ht="299.25" hidden="false" customHeight="false" outlineLevel="0" collapsed="false">
      <c r="A331" s="4"/>
      <c r="B331" s="4" t="s">
        <v>753</v>
      </c>
      <c r="C331" s="4" t="s">
        <v>57</v>
      </c>
      <c r="D331" s="4" t="s">
        <v>754</v>
      </c>
      <c r="E331" s="4" t="s">
        <v>770</v>
      </c>
      <c r="F331" s="4" t="n">
        <v>3363</v>
      </c>
      <c r="G331" s="5" t="s">
        <v>1037</v>
      </c>
      <c r="H331" s="5" t="s">
        <v>844</v>
      </c>
      <c r="I331" s="4"/>
      <c r="J331" s="4"/>
      <c r="K331" s="4"/>
      <c r="L331" s="4" t="n">
        <v>20</v>
      </c>
      <c r="M331" s="4" t="n">
        <v>20</v>
      </c>
      <c r="N331" s="4" t="n">
        <v>0</v>
      </c>
      <c r="O331" s="4" t="n">
        <v>12</v>
      </c>
      <c r="P331" s="4" t="n">
        <v>8</v>
      </c>
      <c r="Q331" s="4" t="n">
        <v>7</v>
      </c>
      <c r="R331" s="6" t="n">
        <f aca="false">IF(N(L331)=0,0,O331/L331)</f>
        <v>0.6</v>
      </c>
      <c r="S331" s="4" t="n">
        <f aca="false">IF(R331="","",IF(R331&gt;=0.8,50,IF(R331&gt;=0.5,30,IF(R331&gt;=0.01,10,0))))</f>
        <v>30</v>
      </c>
      <c r="T331" s="4" t="n">
        <f aca="false">IF(TRIM(AI331)="Yes",2.5,0)</f>
        <v>2.5</v>
      </c>
      <c r="U331" s="4" t="n">
        <f aca="false">IF(TRIM(AJ331)="Yes",10,0)</f>
        <v>10</v>
      </c>
      <c r="V331" s="4" t="n">
        <f aca="false">IF(TRIM(AK331)="Yes",5,0)</f>
        <v>5</v>
      </c>
      <c r="W331" s="4" t="n">
        <f aca="false">IF(TRIM(AM331)="Yes",5,0)</f>
        <v>0</v>
      </c>
      <c r="X331" s="4" t="n">
        <f aca="false">IF(OR(TRIM(AN331)="Fully Available",TRIM(AN331)="Not Applicable"),5,IF(TRIM(AN331)="Partially Available",2.5,0))</f>
        <v>5</v>
      </c>
      <c r="Y331" s="4" t="n">
        <f aca="false">IF(TRIM(AO331)="Yes",5,0)</f>
        <v>5</v>
      </c>
      <c r="Z331" s="4" t="n">
        <f aca="false">IF(TRIM(AP331)="Yes",2.5,0)</f>
        <v>2.5</v>
      </c>
      <c r="AA331" s="4" t="n">
        <f aca="false">IF(TRIM(AQ331)="Yes",5,0)</f>
        <v>5</v>
      </c>
      <c r="AB331" s="4" t="n">
        <f aca="false">IF(OR(TRIM(AR331)="Yes",TRIM(AR331)="Not Applicable"),5,0)</f>
        <v>5</v>
      </c>
      <c r="AC331" s="4" t="n">
        <f aca="false">IF(TRIM(AS331)="Excellent",5,IF(TRIM(AS331)="Very Good",4,IF(TRIM(AS331)="Good",3,IF(TRIM(AS331)="Average",2,0))))</f>
        <v>4</v>
      </c>
      <c r="AD331" s="7" t="n">
        <f aca="false">IF(COUNT(S331:AC331)=0,"",SUM(S331:AC331))</f>
        <v>74</v>
      </c>
      <c r="AE331" s="7"/>
      <c r="AF331" s="8"/>
      <c r="AG331" s="5"/>
      <c r="AH331" s="4"/>
      <c r="AI331" s="4" t="s">
        <v>62</v>
      </c>
      <c r="AJ331" s="4" t="s">
        <v>62</v>
      </c>
      <c r="AK331" s="4" t="s">
        <v>62</v>
      </c>
      <c r="AL331" s="4" t="s">
        <v>63</v>
      </c>
      <c r="AM331" s="4" t="s">
        <v>82</v>
      </c>
      <c r="AN331" s="4" t="s">
        <v>64</v>
      </c>
      <c r="AO331" s="4" t="s">
        <v>62</v>
      </c>
      <c r="AP331" s="4" t="s">
        <v>62</v>
      </c>
      <c r="AQ331" s="4" t="s">
        <v>62</v>
      </c>
      <c r="AR331" s="4" t="s">
        <v>62</v>
      </c>
      <c r="AS331" s="4" t="s">
        <v>74</v>
      </c>
      <c r="AT331" s="4" t="n">
        <v>8</v>
      </c>
      <c r="AU331" s="4" t="s">
        <v>112</v>
      </c>
      <c r="AV331" s="4" t="s">
        <v>128</v>
      </c>
      <c r="AW331" s="4" t="s">
        <v>1043</v>
      </c>
      <c r="AX331" s="4" t="s">
        <v>1044</v>
      </c>
      <c r="AY331" s="4" t="n">
        <v>3</v>
      </c>
      <c r="AZ331" s="4" t="s">
        <v>62</v>
      </c>
      <c r="BA331" s="4" t="s">
        <v>1039</v>
      </c>
      <c r="BB331" s="4" t="s">
        <v>760</v>
      </c>
      <c r="BC331" s="6" t="n">
        <v>0.5833</v>
      </c>
      <c r="BD331" s="4" t="n">
        <v>90</v>
      </c>
    </row>
    <row r="332" customFormat="false" ht="114.9" hidden="false" customHeight="false" outlineLevel="0" collapsed="false">
      <c r="A332" s="4" t="n">
        <v>142</v>
      </c>
      <c r="B332" s="4" t="s">
        <v>753</v>
      </c>
      <c r="C332" s="4" t="s">
        <v>57</v>
      </c>
      <c r="D332" s="4" t="s">
        <v>754</v>
      </c>
      <c r="E332" s="4" t="s">
        <v>755</v>
      </c>
      <c r="F332" s="4" t="n">
        <v>2554</v>
      </c>
      <c r="G332" s="5" t="s">
        <v>1045</v>
      </c>
      <c r="H332" s="5" t="s">
        <v>238</v>
      </c>
      <c r="I332" s="4"/>
      <c r="J332" s="4"/>
      <c r="K332" s="4"/>
      <c r="L332" s="4" t="n">
        <v>20</v>
      </c>
      <c r="M332" s="4" t="n">
        <v>20</v>
      </c>
      <c r="N332" s="4" t="n">
        <v>0</v>
      </c>
      <c r="O332" s="4" t="n">
        <v>17</v>
      </c>
      <c r="P332" s="4" t="n">
        <v>3</v>
      </c>
      <c r="Q332" s="4" t="n">
        <v>5</v>
      </c>
      <c r="R332" s="6" t="n">
        <f aca="false">IF(N(L332)=0,0,O332/L332)</f>
        <v>0.85</v>
      </c>
      <c r="S332" s="4" t="n">
        <f aca="false">IF(R332="","",IF(R332&gt;=0.8,50,IF(R332&gt;=0.5,30,IF(R332&gt;=0.01,10,0))))</f>
        <v>50</v>
      </c>
      <c r="T332" s="4" t="n">
        <f aca="false">IF(TRIM(AI332)="Yes",2.5,0)</f>
        <v>2.5</v>
      </c>
      <c r="U332" s="4" t="n">
        <f aca="false">IF(TRIM(AJ332)="Yes",10,0)</f>
        <v>10</v>
      </c>
      <c r="V332" s="4" t="n">
        <f aca="false">IF(TRIM(AK332)="Yes",5,0)</f>
        <v>5</v>
      </c>
      <c r="W332" s="4" t="n">
        <f aca="false">IF(TRIM(AM332)="Yes",5,0)</f>
        <v>5</v>
      </c>
      <c r="X332" s="4" t="n">
        <f aca="false">IF(OR(TRIM(AN332)="Fully Available",TRIM(AN332)="Not Applicable"),5,IF(TRIM(AN332)="Partially Available",2.5,0))</f>
        <v>5</v>
      </c>
      <c r="Y332" s="4" t="n">
        <f aca="false">IF(TRIM(AO332)="Yes",5,0)</f>
        <v>5</v>
      </c>
      <c r="Z332" s="4" t="n">
        <f aca="false">IF(TRIM(AP332)="Yes",2.5,0)</f>
        <v>2.5</v>
      </c>
      <c r="AA332" s="4" t="n">
        <f aca="false">IF(TRIM(AQ332)="Yes",5,0)</f>
        <v>5</v>
      </c>
      <c r="AB332" s="4" t="n">
        <f aca="false">IF(OR(TRIM(AR332)="Yes",TRIM(AR332)="Not Applicable"),5,0)</f>
        <v>5</v>
      </c>
      <c r="AC332" s="4" t="n">
        <f aca="false">IF(TRIM(AS332)="Excellent",5,IF(TRIM(AS332)="Very Good",4,IF(TRIM(AS332)="Good",3,IF(TRIM(AS332)="Average",2,0))))</f>
        <v>4</v>
      </c>
      <c r="AD332" s="7" t="n">
        <f aca="false">IF(COUNT(S332:AC332)=0,"",SUM(S332:AC332))</f>
        <v>99</v>
      </c>
      <c r="AE332" s="7" t="n">
        <f aca="false">IF(COUNTIF($F$2:F332,F332)=1,IFERROR(AVERAGEIF($F:$F,F332,$AD:$AD),""),"")</f>
        <v>92.3333333333333</v>
      </c>
      <c r="AF332" s="8" t="str">
        <f aca="false">IF(AH332&lt;&gt;"",AH332,IF(AE332="","",IF(AE332&gt;=80,"Excellent",IF(AE332&gt;=70,"Very Good",IF(AE332&gt;=60,"Good",IF(AE332&gt;=50,"Average","Poor"))))))</f>
        <v>Excellent</v>
      </c>
      <c r="AG332" s="5"/>
      <c r="AH332" s="4"/>
      <c r="AI332" s="4" t="s">
        <v>62</v>
      </c>
      <c r="AJ332" s="4" t="s">
        <v>62</v>
      </c>
      <c r="AK332" s="4" t="s">
        <v>62</v>
      </c>
      <c r="AL332" s="4" t="s">
        <v>63</v>
      </c>
      <c r="AM332" s="4" t="s">
        <v>62</v>
      </c>
      <c r="AN332" s="4" t="s">
        <v>64</v>
      </c>
      <c r="AO332" s="4" t="s">
        <v>62</v>
      </c>
      <c r="AP332" s="4" t="s">
        <v>62</v>
      </c>
      <c r="AQ332" s="4" t="s">
        <v>62</v>
      </c>
      <c r="AR332" s="4" t="s">
        <v>62</v>
      </c>
      <c r="AS332" s="4" t="s">
        <v>74</v>
      </c>
      <c r="AT332" s="4" t="n">
        <v>7</v>
      </c>
      <c r="AU332" s="4" t="s">
        <v>66</v>
      </c>
      <c r="AV332" s="4" t="s">
        <v>350</v>
      </c>
      <c r="AW332" s="4" t="s">
        <v>1046</v>
      </c>
      <c r="AX332" s="4" t="s">
        <v>1047</v>
      </c>
      <c r="AY332" s="4" t="n">
        <v>4</v>
      </c>
      <c r="AZ332" s="4" t="s">
        <v>62</v>
      </c>
      <c r="BA332" s="4" t="s">
        <v>1048</v>
      </c>
      <c r="BB332" s="4" t="s">
        <v>760</v>
      </c>
      <c r="BC332" s="6" t="n">
        <v>0.2941</v>
      </c>
      <c r="BD332" s="4" t="n">
        <v>95</v>
      </c>
    </row>
    <row r="333" customFormat="false" ht="114.9" hidden="false" customHeight="false" outlineLevel="0" collapsed="false">
      <c r="A333" s="4"/>
      <c r="B333" s="4" t="s">
        <v>753</v>
      </c>
      <c r="C333" s="4" t="s">
        <v>57</v>
      </c>
      <c r="D333" s="4" t="s">
        <v>754</v>
      </c>
      <c r="E333" s="4" t="s">
        <v>755</v>
      </c>
      <c r="F333" s="4" t="n">
        <v>2554</v>
      </c>
      <c r="G333" s="5" t="s">
        <v>1045</v>
      </c>
      <c r="H333" s="5" t="s">
        <v>177</v>
      </c>
      <c r="I333" s="4"/>
      <c r="J333" s="4"/>
      <c r="K333" s="4"/>
      <c r="L333" s="4" t="n">
        <v>20</v>
      </c>
      <c r="M333" s="4" t="n">
        <v>20</v>
      </c>
      <c r="N333" s="4" t="n">
        <v>0</v>
      </c>
      <c r="O333" s="4" t="n">
        <v>17</v>
      </c>
      <c r="P333" s="4" t="n">
        <v>3</v>
      </c>
      <c r="Q333" s="4" t="n">
        <v>5</v>
      </c>
      <c r="R333" s="6" t="n">
        <f aca="false">IF(N(L333)=0,0,O333/L333)</f>
        <v>0.85</v>
      </c>
      <c r="S333" s="4" t="n">
        <f aca="false">IF(R333="","",IF(R333&gt;=0.8,50,IF(R333&gt;=0.5,30,IF(R333&gt;=0.01,10,0))))</f>
        <v>50</v>
      </c>
      <c r="T333" s="4" t="n">
        <f aca="false">IF(TRIM(AI333)="Yes",2.5,0)</f>
        <v>2.5</v>
      </c>
      <c r="U333" s="4" t="n">
        <f aca="false">IF(TRIM(AJ333)="Yes",10,0)</f>
        <v>10</v>
      </c>
      <c r="V333" s="4" t="n">
        <f aca="false">IF(TRIM(AK333)="Yes",5,0)</f>
        <v>5</v>
      </c>
      <c r="W333" s="4" t="n">
        <f aca="false">IF(TRIM(AM333)="Yes",5,0)</f>
        <v>5</v>
      </c>
      <c r="X333" s="4" t="n">
        <f aca="false">IF(OR(TRIM(AN333)="Fully Available",TRIM(AN333)="Not Applicable"),5,IF(TRIM(AN333)="Partially Available",2.5,0))</f>
        <v>5</v>
      </c>
      <c r="Y333" s="4" t="n">
        <f aca="false">IF(TRIM(AO333)="Yes",5,0)</f>
        <v>5</v>
      </c>
      <c r="Z333" s="4" t="n">
        <f aca="false">IF(TRIM(AP333)="Yes",2.5,0)</f>
        <v>2.5</v>
      </c>
      <c r="AA333" s="4" t="n">
        <f aca="false">IF(TRIM(AQ333)="Yes",5,0)</f>
        <v>5</v>
      </c>
      <c r="AB333" s="4" t="n">
        <f aca="false">IF(OR(TRIM(AR333)="Yes",TRIM(AR333)="Not Applicable"),5,0)</f>
        <v>5</v>
      </c>
      <c r="AC333" s="4" t="n">
        <f aca="false">IF(TRIM(AS333)="Excellent",5,IF(TRIM(AS333)="Very Good",4,IF(TRIM(AS333)="Good",3,IF(TRIM(AS333)="Average",2,0))))</f>
        <v>4</v>
      </c>
      <c r="AD333" s="7" t="n">
        <f aca="false">IF(COUNT(S333:AC333)=0,"",SUM(S333:AC333))</f>
        <v>99</v>
      </c>
      <c r="AE333" s="7"/>
      <c r="AF333" s="8"/>
      <c r="AG333" s="5"/>
      <c r="AH333" s="4"/>
      <c r="AI333" s="4" t="s">
        <v>62</v>
      </c>
      <c r="AJ333" s="4" t="s">
        <v>62</v>
      </c>
      <c r="AK333" s="4" t="s">
        <v>62</v>
      </c>
      <c r="AL333" s="4" t="s">
        <v>63</v>
      </c>
      <c r="AM333" s="4" t="s">
        <v>62</v>
      </c>
      <c r="AN333" s="4" t="s">
        <v>64</v>
      </c>
      <c r="AO333" s="4" t="s">
        <v>62</v>
      </c>
      <c r="AP333" s="4" t="s">
        <v>62</v>
      </c>
      <c r="AQ333" s="4" t="s">
        <v>62</v>
      </c>
      <c r="AR333" s="4" t="s">
        <v>62</v>
      </c>
      <c r="AS333" s="4" t="s">
        <v>74</v>
      </c>
      <c r="AT333" s="4" t="n">
        <v>8</v>
      </c>
      <c r="AU333" s="4" t="s">
        <v>66</v>
      </c>
      <c r="AV333" s="4" t="s">
        <v>350</v>
      </c>
      <c r="AW333" s="4" t="s">
        <v>1049</v>
      </c>
      <c r="AX333" s="4" t="s">
        <v>259</v>
      </c>
      <c r="AY333" s="4" t="n">
        <v>3</v>
      </c>
      <c r="AZ333" s="4" t="s">
        <v>62</v>
      </c>
      <c r="BA333" s="4" t="s">
        <v>1048</v>
      </c>
      <c r="BB333" s="4" t="s">
        <v>760</v>
      </c>
      <c r="BC333" s="6" t="n">
        <v>0.2941</v>
      </c>
      <c r="BD333" s="4" t="n">
        <v>95</v>
      </c>
    </row>
    <row r="334" customFormat="false" ht="114.9" hidden="false" customHeight="false" outlineLevel="0" collapsed="false">
      <c r="A334" s="4"/>
      <c r="B334" s="4" t="s">
        <v>753</v>
      </c>
      <c r="C334" s="4" t="s">
        <v>57</v>
      </c>
      <c r="D334" s="4" t="s">
        <v>754</v>
      </c>
      <c r="E334" s="4" t="s">
        <v>755</v>
      </c>
      <c r="F334" s="4" t="n">
        <v>2554</v>
      </c>
      <c r="G334" s="5" t="s">
        <v>1045</v>
      </c>
      <c r="H334" s="5" t="s">
        <v>190</v>
      </c>
      <c r="I334" s="4"/>
      <c r="J334" s="4"/>
      <c r="K334" s="4"/>
      <c r="L334" s="4" t="n">
        <v>20</v>
      </c>
      <c r="M334" s="4" t="n">
        <v>20</v>
      </c>
      <c r="N334" s="4" t="n">
        <v>0</v>
      </c>
      <c r="O334" s="4" t="n">
        <v>15</v>
      </c>
      <c r="P334" s="4" t="n">
        <v>5</v>
      </c>
      <c r="Q334" s="4" t="n">
        <v>8</v>
      </c>
      <c r="R334" s="6" t="n">
        <f aca="false">IF(N(L334)=0,0,O334/L334)</f>
        <v>0.75</v>
      </c>
      <c r="S334" s="4" t="n">
        <f aca="false">IF(R334="","",IF(R334&gt;=0.8,50,IF(R334&gt;=0.5,30,IF(R334&gt;=0.01,10,0))))</f>
        <v>30</v>
      </c>
      <c r="T334" s="4" t="n">
        <f aca="false">IF(TRIM(AI334)="Yes",2.5,0)</f>
        <v>2.5</v>
      </c>
      <c r="U334" s="4" t="n">
        <f aca="false">IF(TRIM(AJ334)="Yes",10,0)</f>
        <v>10</v>
      </c>
      <c r="V334" s="4" t="n">
        <f aca="false">IF(TRIM(AK334)="Yes",5,0)</f>
        <v>5</v>
      </c>
      <c r="W334" s="4" t="n">
        <f aca="false">IF(TRIM(AM334)="Yes",5,0)</f>
        <v>5</v>
      </c>
      <c r="X334" s="4" t="n">
        <f aca="false">IF(OR(TRIM(AN334)="Fully Available",TRIM(AN334)="Not Applicable"),5,IF(TRIM(AN334)="Partially Available",2.5,0))</f>
        <v>5</v>
      </c>
      <c r="Y334" s="4" t="n">
        <f aca="false">IF(TRIM(AO334)="Yes",5,0)</f>
        <v>5</v>
      </c>
      <c r="Z334" s="4" t="n">
        <f aca="false">IF(TRIM(AP334)="Yes",2.5,0)</f>
        <v>2.5</v>
      </c>
      <c r="AA334" s="4" t="n">
        <f aca="false">IF(TRIM(AQ334)="Yes",5,0)</f>
        <v>5</v>
      </c>
      <c r="AB334" s="4" t="n">
        <f aca="false">IF(OR(TRIM(AR334)="Yes",TRIM(AR334)="Not Applicable"),5,0)</f>
        <v>5</v>
      </c>
      <c r="AC334" s="4" t="n">
        <f aca="false">IF(TRIM(AS334)="Excellent",5,IF(TRIM(AS334)="Very Good",4,IF(TRIM(AS334)="Good",3,IF(TRIM(AS334)="Average",2,0))))</f>
        <v>4</v>
      </c>
      <c r="AD334" s="7" t="n">
        <f aca="false">IF(COUNT(S334:AC334)=0,"",SUM(S334:AC334))</f>
        <v>79</v>
      </c>
      <c r="AE334" s="7"/>
      <c r="AF334" s="8"/>
      <c r="AG334" s="5"/>
      <c r="AH334" s="4"/>
      <c r="AI334" s="4" t="s">
        <v>62</v>
      </c>
      <c r="AJ334" s="4" t="s">
        <v>62</v>
      </c>
      <c r="AK334" s="4" t="s">
        <v>62</v>
      </c>
      <c r="AL334" s="4" t="s">
        <v>63</v>
      </c>
      <c r="AM334" s="4" t="s">
        <v>62</v>
      </c>
      <c r="AN334" s="4" t="s">
        <v>64</v>
      </c>
      <c r="AO334" s="4" t="s">
        <v>62</v>
      </c>
      <c r="AP334" s="4" t="s">
        <v>62</v>
      </c>
      <c r="AQ334" s="4" t="s">
        <v>62</v>
      </c>
      <c r="AR334" s="4" t="s">
        <v>62</v>
      </c>
      <c r="AS334" s="4" t="s">
        <v>74</v>
      </c>
      <c r="AT334" s="4" t="n">
        <v>5</v>
      </c>
      <c r="AU334" s="4" t="s">
        <v>112</v>
      </c>
      <c r="AV334" s="4" t="s">
        <v>350</v>
      </c>
      <c r="AW334" s="4" t="s">
        <v>1050</v>
      </c>
      <c r="AX334" s="4" t="s">
        <v>1051</v>
      </c>
      <c r="AY334" s="4" t="n">
        <v>9</v>
      </c>
      <c r="AZ334" s="4" t="s">
        <v>62</v>
      </c>
      <c r="BA334" s="4" t="s">
        <v>1048</v>
      </c>
      <c r="BB334" s="4" t="s">
        <v>760</v>
      </c>
      <c r="BC334" s="6" t="n">
        <v>0.5333</v>
      </c>
      <c r="BD334" s="4" t="n">
        <v>95</v>
      </c>
    </row>
    <row r="335" customFormat="false" ht="185.8" hidden="false" customHeight="false" outlineLevel="0" collapsed="false">
      <c r="A335" s="4" t="n">
        <v>143</v>
      </c>
      <c r="B335" s="4" t="s">
        <v>753</v>
      </c>
      <c r="C335" s="4" t="s">
        <v>57</v>
      </c>
      <c r="D335" s="4" t="s">
        <v>754</v>
      </c>
      <c r="E335" s="4" t="s">
        <v>755</v>
      </c>
      <c r="F335" s="4" t="n">
        <v>5869</v>
      </c>
      <c r="G335" s="5" t="s">
        <v>1052</v>
      </c>
      <c r="H335" s="5" t="s">
        <v>90</v>
      </c>
      <c r="I335" s="4"/>
      <c r="J335" s="4"/>
      <c r="K335" s="4"/>
      <c r="L335" s="4" t="n">
        <v>20</v>
      </c>
      <c r="M335" s="4" t="n">
        <v>20</v>
      </c>
      <c r="N335" s="4" t="n">
        <v>0</v>
      </c>
      <c r="O335" s="4" t="n">
        <v>14</v>
      </c>
      <c r="P335" s="4" t="n">
        <v>6</v>
      </c>
      <c r="Q335" s="4" t="n">
        <v>5</v>
      </c>
      <c r="R335" s="6" t="n">
        <f aca="false">IF(N(L335)=0,0,O335/L335)</f>
        <v>0.7</v>
      </c>
      <c r="S335" s="4" t="n">
        <f aca="false">IF(R335="","",IF(R335&gt;=0.8,50,IF(R335&gt;=0.5,30,IF(R335&gt;=0.01,10,0))))</f>
        <v>30</v>
      </c>
      <c r="T335" s="4" t="n">
        <f aca="false">IF(TRIM(AI335)="Yes",2.5,0)</f>
        <v>2.5</v>
      </c>
      <c r="U335" s="4" t="n">
        <f aca="false">IF(TRIM(AJ335)="Yes",10,0)</f>
        <v>10</v>
      </c>
      <c r="V335" s="4" t="n">
        <f aca="false">IF(TRIM(AK335)="Yes",5,0)</f>
        <v>5</v>
      </c>
      <c r="W335" s="4" t="n">
        <f aca="false">IF(TRIM(AM335)="Yes",5,0)</f>
        <v>5</v>
      </c>
      <c r="X335" s="4" t="n">
        <f aca="false">IF(OR(TRIM(AN335)="Fully Available",TRIM(AN335)="Not Applicable"),5,IF(TRIM(AN335)="Partially Available",2.5,0))</f>
        <v>5</v>
      </c>
      <c r="Y335" s="4" t="n">
        <f aca="false">IF(TRIM(AO335)="Yes",5,0)</f>
        <v>5</v>
      </c>
      <c r="Z335" s="4" t="n">
        <f aca="false">IF(TRIM(AP335)="Yes",2.5,0)</f>
        <v>2.5</v>
      </c>
      <c r="AA335" s="4" t="n">
        <f aca="false">IF(TRIM(AQ335)="Yes",5,0)</f>
        <v>5</v>
      </c>
      <c r="AB335" s="4" t="n">
        <f aca="false">IF(OR(TRIM(AR335)="Yes",TRIM(AR335)="Not Applicable"),5,0)</f>
        <v>5</v>
      </c>
      <c r="AC335" s="4" t="n">
        <f aca="false">IF(TRIM(AS335)="Excellent",5,IF(TRIM(AS335)="Very Good",4,IF(TRIM(AS335)="Good",3,IF(TRIM(AS335)="Average",2,0))))</f>
        <v>4</v>
      </c>
      <c r="AD335" s="7" t="n">
        <f aca="false">IF(COUNT(S335:AC335)=0,"",SUM(S335:AC335))</f>
        <v>79</v>
      </c>
      <c r="AE335" s="7" t="n">
        <f aca="false">IF(COUNTIF($F$2:F335,F335)=1,IFERROR(AVERAGEIF($F:$F,F335,$AD:$AD),""),"")</f>
        <v>86</v>
      </c>
      <c r="AF335" s="8" t="str">
        <f aca="false">IF(AH335&lt;&gt;"",AH335,IF(AE335="","",IF(AE335&gt;=80,"Excellent",IF(AE335&gt;=70,"Very Good",IF(AE335&gt;=60,"Good",IF(AE335&gt;=50,"Average","Poor"))))))</f>
        <v>Excellent</v>
      </c>
      <c r="AG335" s="5"/>
      <c r="AH335" s="4"/>
      <c r="AI335" s="4" t="s">
        <v>62</v>
      </c>
      <c r="AJ335" s="4" t="s">
        <v>62</v>
      </c>
      <c r="AK335" s="4" t="s">
        <v>62</v>
      </c>
      <c r="AL335" s="4" t="s">
        <v>63</v>
      </c>
      <c r="AM335" s="4" t="s">
        <v>62</v>
      </c>
      <c r="AN335" s="4" t="s">
        <v>64</v>
      </c>
      <c r="AO335" s="4" t="s">
        <v>62</v>
      </c>
      <c r="AP335" s="4" t="s">
        <v>62</v>
      </c>
      <c r="AQ335" s="4" t="s">
        <v>62</v>
      </c>
      <c r="AR335" s="4" t="s">
        <v>73</v>
      </c>
      <c r="AS335" s="4" t="s">
        <v>74</v>
      </c>
      <c r="AT335" s="4" t="n">
        <v>7</v>
      </c>
      <c r="AU335" s="4" t="s">
        <v>66</v>
      </c>
      <c r="AV335" s="4" t="s">
        <v>151</v>
      </c>
      <c r="AW335" s="4" t="s">
        <v>1053</v>
      </c>
      <c r="AX335" s="4" t="s">
        <v>1054</v>
      </c>
      <c r="AY335" s="4" t="n">
        <v>3</v>
      </c>
      <c r="AZ335" s="4" t="s">
        <v>62</v>
      </c>
      <c r="BA335" s="4" t="s">
        <v>1055</v>
      </c>
      <c r="BB335" s="4" t="s">
        <v>760</v>
      </c>
      <c r="BC335" s="6" t="n">
        <v>0.3571</v>
      </c>
      <c r="BD335" s="4" t="n">
        <v>83</v>
      </c>
    </row>
    <row r="336" customFormat="false" ht="185.8" hidden="false" customHeight="false" outlineLevel="0" collapsed="false">
      <c r="A336" s="4"/>
      <c r="B336" s="4" t="s">
        <v>753</v>
      </c>
      <c r="C336" s="4" t="s">
        <v>57</v>
      </c>
      <c r="D336" s="4" t="s">
        <v>754</v>
      </c>
      <c r="E336" s="4" t="s">
        <v>755</v>
      </c>
      <c r="F336" s="4" t="n">
        <v>5869</v>
      </c>
      <c r="G336" s="5" t="s">
        <v>1052</v>
      </c>
      <c r="H336" s="5" t="s">
        <v>450</v>
      </c>
      <c r="I336" s="4"/>
      <c r="J336" s="4"/>
      <c r="K336" s="4"/>
      <c r="L336" s="4" t="n">
        <v>20</v>
      </c>
      <c r="M336" s="4" t="n">
        <v>20</v>
      </c>
      <c r="N336" s="4" t="n">
        <v>0</v>
      </c>
      <c r="O336" s="4" t="n">
        <v>19</v>
      </c>
      <c r="P336" s="4" t="n">
        <v>1</v>
      </c>
      <c r="Q336" s="4" t="n">
        <v>7</v>
      </c>
      <c r="R336" s="6" t="n">
        <f aca="false">IF(N(L336)=0,0,O336/L336)</f>
        <v>0.95</v>
      </c>
      <c r="S336" s="4" t="n">
        <f aca="false">IF(R336="","",IF(R336&gt;=0.8,50,IF(R336&gt;=0.5,30,IF(R336&gt;=0.01,10,0))))</f>
        <v>50</v>
      </c>
      <c r="T336" s="4" t="n">
        <f aca="false">IF(TRIM(AI336)="Yes",2.5,0)</f>
        <v>2.5</v>
      </c>
      <c r="U336" s="4" t="n">
        <f aca="false">IF(TRIM(AJ336)="Yes",10,0)</f>
        <v>10</v>
      </c>
      <c r="V336" s="4" t="n">
        <f aca="false">IF(TRIM(AK336)="Yes",5,0)</f>
        <v>5</v>
      </c>
      <c r="W336" s="4" t="n">
        <f aca="false">IF(TRIM(AM336)="Yes",5,0)</f>
        <v>5</v>
      </c>
      <c r="X336" s="4" t="n">
        <f aca="false">IF(OR(TRIM(AN336)="Fully Available",TRIM(AN336)="Not Applicable"),5,IF(TRIM(AN336)="Partially Available",2.5,0))</f>
        <v>5</v>
      </c>
      <c r="Y336" s="4" t="n">
        <f aca="false">IF(TRIM(AO336)="Yes",5,0)</f>
        <v>5</v>
      </c>
      <c r="Z336" s="4" t="n">
        <f aca="false">IF(TRIM(AP336)="Yes",2.5,0)</f>
        <v>2.5</v>
      </c>
      <c r="AA336" s="4" t="n">
        <f aca="false">IF(TRIM(AQ336)="Yes",5,0)</f>
        <v>5</v>
      </c>
      <c r="AB336" s="4" t="n">
        <f aca="false">IF(OR(TRIM(AR336)="Yes",TRIM(AR336)="Not Applicable"),5,0)</f>
        <v>5</v>
      </c>
      <c r="AC336" s="4" t="n">
        <f aca="false">IF(TRIM(AS336)="Excellent",5,IF(TRIM(AS336)="Very Good",4,IF(TRIM(AS336)="Good",3,IF(TRIM(AS336)="Average",2,0))))</f>
        <v>4</v>
      </c>
      <c r="AD336" s="7" t="n">
        <f aca="false">IF(COUNT(S336:AC336)=0,"",SUM(S336:AC336))</f>
        <v>99</v>
      </c>
      <c r="AE336" s="7"/>
      <c r="AF336" s="8"/>
      <c r="AG336" s="5"/>
      <c r="AH336" s="4"/>
      <c r="AI336" s="4" t="s">
        <v>62</v>
      </c>
      <c r="AJ336" s="4" t="s">
        <v>62</v>
      </c>
      <c r="AK336" s="4" t="s">
        <v>62</v>
      </c>
      <c r="AL336" s="4" t="s">
        <v>63</v>
      </c>
      <c r="AM336" s="4" t="s">
        <v>62</v>
      </c>
      <c r="AN336" s="4" t="s">
        <v>64</v>
      </c>
      <c r="AO336" s="4" t="s">
        <v>62</v>
      </c>
      <c r="AP336" s="4" t="s">
        <v>62</v>
      </c>
      <c r="AQ336" s="4" t="s">
        <v>62</v>
      </c>
      <c r="AR336" s="4" t="s">
        <v>73</v>
      </c>
      <c r="AS336" s="4" t="s">
        <v>74</v>
      </c>
      <c r="AT336" s="4" t="n">
        <v>8</v>
      </c>
      <c r="AU336" s="4" t="s">
        <v>66</v>
      </c>
      <c r="AV336" s="4" t="s">
        <v>151</v>
      </c>
      <c r="AW336" s="4" t="s">
        <v>1012</v>
      </c>
      <c r="AX336" s="4" t="s">
        <v>1056</v>
      </c>
      <c r="AY336" s="4" t="n">
        <v>9</v>
      </c>
      <c r="AZ336" s="4" t="s">
        <v>62</v>
      </c>
      <c r="BA336" s="4" t="s">
        <v>1055</v>
      </c>
      <c r="BB336" s="4" t="s">
        <v>760</v>
      </c>
      <c r="BC336" s="6" t="n">
        <v>0.3684</v>
      </c>
      <c r="BD336" s="4" t="n">
        <v>83</v>
      </c>
    </row>
    <row r="337" customFormat="false" ht="185.8" hidden="false" customHeight="false" outlineLevel="0" collapsed="false">
      <c r="A337" s="4"/>
      <c r="B337" s="4" t="s">
        <v>753</v>
      </c>
      <c r="C337" s="4" t="s">
        <v>57</v>
      </c>
      <c r="D337" s="4" t="s">
        <v>754</v>
      </c>
      <c r="E337" s="4" t="s">
        <v>755</v>
      </c>
      <c r="F337" s="4" t="n">
        <v>5869</v>
      </c>
      <c r="G337" s="5" t="s">
        <v>1052</v>
      </c>
      <c r="H337" s="5" t="s">
        <v>86</v>
      </c>
      <c r="I337" s="4"/>
      <c r="J337" s="4"/>
      <c r="K337" s="4"/>
      <c r="L337" s="4" t="n">
        <v>40</v>
      </c>
      <c r="M337" s="4" t="n">
        <v>37</v>
      </c>
      <c r="N337" s="4" t="n">
        <v>3</v>
      </c>
      <c r="O337" s="4" t="n">
        <v>35</v>
      </c>
      <c r="P337" s="4" t="n">
        <v>2</v>
      </c>
      <c r="Q337" s="4" t="n">
        <v>10</v>
      </c>
      <c r="R337" s="6" t="n">
        <f aca="false">IF(N(L337)=0,0,O337/L337)</f>
        <v>0.875</v>
      </c>
      <c r="S337" s="4" t="n">
        <f aca="false">IF(R337="","",IF(R337&gt;=0.8,50,IF(R337&gt;=0.5,30,IF(R337&gt;=0.01,10,0))))</f>
        <v>50</v>
      </c>
      <c r="T337" s="4" t="n">
        <f aca="false">IF(TRIM(AI337)="Yes",2.5,0)</f>
        <v>2.5</v>
      </c>
      <c r="U337" s="4" t="n">
        <f aca="false">IF(TRIM(AJ337)="Yes",10,0)</f>
        <v>10</v>
      </c>
      <c r="V337" s="4" t="n">
        <f aca="false">IF(TRIM(AK337)="Yes",5,0)</f>
        <v>5</v>
      </c>
      <c r="W337" s="4" t="n">
        <f aca="false">IF(TRIM(AM337)="Yes",5,0)</f>
        <v>5</v>
      </c>
      <c r="X337" s="4" t="n">
        <f aca="false">IF(OR(TRIM(AN337)="Fully Available",TRIM(AN337)="Not Applicable"),5,IF(TRIM(AN337)="Partially Available",2.5,0))</f>
        <v>5</v>
      </c>
      <c r="Y337" s="4" t="n">
        <f aca="false">IF(TRIM(AO337)="Yes",5,0)</f>
        <v>5</v>
      </c>
      <c r="Z337" s="4" t="n">
        <f aca="false">IF(TRIM(AP337)="Yes",2.5,0)</f>
        <v>2.5</v>
      </c>
      <c r="AA337" s="4" t="n">
        <f aca="false">IF(TRIM(AQ337)="Yes",5,0)</f>
        <v>5</v>
      </c>
      <c r="AB337" s="4" t="n">
        <f aca="false">IF(OR(TRIM(AR337)="Yes",TRIM(AR337)="Not Applicable"),5,0)</f>
        <v>5</v>
      </c>
      <c r="AC337" s="4" t="n">
        <f aca="false">IF(TRIM(AS337)="Excellent",5,IF(TRIM(AS337)="Very Good",4,IF(TRIM(AS337)="Good",3,IF(TRIM(AS337)="Average",2,0))))</f>
        <v>4</v>
      </c>
      <c r="AD337" s="7" t="n">
        <f aca="false">IF(COUNT(S337:AC337)=0,"",SUM(S337:AC337))</f>
        <v>99</v>
      </c>
      <c r="AE337" s="7"/>
      <c r="AF337" s="8"/>
      <c r="AG337" s="5"/>
      <c r="AH337" s="4"/>
      <c r="AI337" s="4" t="s">
        <v>62</v>
      </c>
      <c r="AJ337" s="4" t="s">
        <v>62</v>
      </c>
      <c r="AK337" s="4" t="s">
        <v>62</v>
      </c>
      <c r="AL337" s="4" t="s">
        <v>63</v>
      </c>
      <c r="AM337" s="4" t="s">
        <v>62</v>
      </c>
      <c r="AN337" s="4" t="s">
        <v>64</v>
      </c>
      <c r="AO337" s="4" t="s">
        <v>62</v>
      </c>
      <c r="AP337" s="4" t="s">
        <v>62</v>
      </c>
      <c r="AQ337" s="4" t="s">
        <v>62</v>
      </c>
      <c r="AR337" s="4" t="s">
        <v>73</v>
      </c>
      <c r="AS337" s="4" t="s">
        <v>74</v>
      </c>
      <c r="AT337" s="4" t="n">
        <v>7</v>
      </c>
      <c r="AU337" s="4" t="s">
        <v>66</v>
      </c>
      <c r="AV337" s="4" t="s">
        <v>151</v>
      </c>
      <c r="AW337" s="4" t="s">
        <v>1057</v>
      </c>
      <c r="AX337" s="4" t="s">
        <v>1058</v>
      </c>
      <c r="AY337" s="4" t="n">
        <v>3</v>
      </c>
      <c r="AZ337" s="4" t="s">
        <v>62</v>
      </c>
      <c r="BA337" s="4" t="s">
        <v>1055</v>
      </c>
      <c r="BB337" s="4" t="s">
        <v>760</v>
      </c>
      <c r="BC337" s="6" t="n">
        <v>0.2857</v>
      </c>
      <c r="BD337" s="4" t="n">
        <v>83</v>
      </c>
    </row>
    <row r="338" customFormat="false" ht="185.8" hidden="false" customHeight="false" outlineLevel="0" collapsed="false">
      <c r="A338" s="4"/>
      <c r="B338" s="4" t="s">
        <v>753</v>
      </c>
      <c r="C338" s="4" t="s">
        <v>57</v>
      </c>
      <c r="D338" s="4" t="s">
        <v>754</v>
      </c>
      <c r="E338" s="4" t="s">
        <v>755</v>
      </c>
      <c r="F338" s="4" t="n">
        <v>5869</v>
      </c>
      <c r="G338" s="5" t="s">
        <v>1052</v>
      </c>
      <c r="H338" s="5" t="s">
        <v>161</v>
      </c>
      <c r="I338" s="4"/>
      <c r="J338" s="4"/>
      <c r="K338" s="4"/>
      <c r="L338" s="4" t="n">
        <v>80</v>
      </c>
      <c r="M338" s="4" t="n">
        <v>80</v>
      </c>
      <c r="N338" s="4" t="n">
        <v>0</v>
      </c>
      <c r="O338" s="4" t="n">
        <v>56</v>
      </c>
      <c r="P338" s="4" t="n">
        <v>24</v>
      </c>
      <c r="Q338" s="4" t="n">
        <v>20</v>
      </c>
      <c r="R338" s="6" t="n">
        <f aca="false">IF(N(L338)=0,0,O338/L338)</f>
        <v>0.7</v>
      </c>
      <c r="S338" s="4" t="n">
        <f aca="false">IF(R338="","",IF(R338&gt;=0.8,50,IF(R338&gt;=0.5,30,IF(R338&gt;=0.01,10,0))))</f>
        <v>30</v>
      </c>
      <c r="T338" s="4" t="n">
        <f aca="false">IF(TRIM(AI338)="Yes",2.5,0)</f>
        <v>2.5</v>
      </c>
      <c r="U338" s="4" t="n">
        <f aca="false">IF(TRIM(AJ338)="Yes",10,0)</f>
        <v>10</v>
      </c>
      <c r="V338" s="4" t="n">
        <f aca="false">IF(TRIM(AK338)="Yes",5,0)</f>
        <v>5</v>
      </c>
      <c r="W338" s="4" t="n">
        <f aca="false">IF(TRIM(AM338)="Yes",5,0)</f>
        <v>5</v>
      </c>
      <c r="X338" s="4" t="n">
        <f aca="false">IF(OR(TRIM(AN338)="Fully Available",TRIM(AN338)="Not Applicable"),5,IF(TRIM(AN338)="Partially Available",2.5,0))</f>
        <v>5</v>
      </c>
      <c r="Y338" s="4" t="n">
        <f aca="false">IF(TRIM(AO338)="Yes",5,0)</f>
        <v>5</v>
      </c>
      <c r="Z338" s="4" t="n">
        <f aca="false">IF(TRIM(AP338)="Yes",2.5,0)</f>
        <v>2.5</v>
      </c>
      <c r="AA338" s="4" t="n">
        <f aca="false">IF(TRIM(AQ338)="Yes",5,0)</f>
        <v>5</v>
      </c>
      <c r="AB338" s="4" t="n">
        <f aca="false">IF(OR(TRIM(AR338)="Yes",TRIM(AR338)="Not Applicable"),5,0)</f>
        <v>5</v>
      </c>
      <c r="AC338" s="4" t="n">
        <f aca="false">IF(TRIM(AS338)="Excellent",5,IF(TRIM(AS338)="Very Good",4,IF(TRIM(AS338)="Good",3,IF(TRIM(AS338)="Average",2,0))))</f>
        <v>4</v>
      </c>
      <c r="AD338" s="7" t="n">
        <f aca="false">IF(COUNT(S338:AC338)=0,"",SUM(S338:AC338))</f>
        <v>79</v>
      </c>
      <c r="AE338" s="7"/>
      <c r="AF338" s="8"/>
      <c r="AG338" s="5"/>
      <c r="AH338" s="4"/>
      <c r="AI338" s="4" t="s">
        <v>62</v>
      </c>
      <c r="AJ338" s="4" t="s">
        <v>62</v>
      </c>
      <c r="AK338" s="4" t="s">
        <v>62</v>
      </c>
      <c r="AL338" s="4" t="s">
        <v>63</v>
      </c>
      <c r="AM338" s="4" t="s">
        <v>62</v>
      </c>
      <c r="AN338" s="4" t="s">
        <v>64</v>
      </c>
      <c r="AO338" s="4" t="s">
        <v>62</v>
      </c>
      <c r="AP338" s="4" t="s">
        <v>62</v>
      </c>
      <c r="AQ338" s="4" t="s">
        <v>62</v>
      </c>
      <c r="AR338" s="4" t="s">
        <v>73</v>
      </c>
      <c r="AS338" s="4" t="s">
        <v>74</v>
      </c>
      <c r="AT338" s="4" t="n">
        <v>8</v>
      </c>
      <c r="AU338" s="4" t="s">
        <v>66</v>
      </c>
      <c r="AV338" s="4" t="s">
        <v>151</v>
      </c>
      <c r="AW338" s="4" t="s">
        <v>1059</v>
      </c>
      <c r="AX338" s="4" t="s">
        <v>1054</v>
      </c>
      <c r="AY338" s="4" t="n">
        <v>7</v>
      </c>
      <c r="AZ338" s="4" t="s">
        <v>62</v>
      </c>
      <c r="BA338" s="4" t="s">
        <v>1055</v>
      </c>
      <c r="BB338" s="4" t="s">
        <v>760</v>
      </c>
      <c r="BC338" s="6" t="n">
        <v>0.3571</v>
      </c>
      <c r="BD338" s="4" t="n">
        <v>83</v>
      </c>
    </row>
    <row r="339" customFormat="false" ht="185.8" hidden="false" customHeight="false" outlineLevel="0" collapsed="false">
      <c r="A339" s="4"/>
      <c r="B339" s="4" t="s">
        <v>753</v>
      </c>
      <c r="C339" s="4" t="s">
        <v>57</v>
      </c>
      <c r="D339" s="4" t="s">
        <v>754</v>
      </c>
      <c r="E339" s="4" t="s">
        <v>755</v>
      </c>
      <c r="F339" s="4" t="n">
        <v>5869</v>
      </c>
      <c r="G339" s="5" t="s">
        <v>1052</v>
      </c>
      <c r="H339" s="5" t="s">
        <v>1060</v>
      </c>
      <c r="I339" s="4"/>
      <c r="J339" s="4"/>
      <c r="K339" s="4"/>
      <c r="L339" s="4" t="n">
        <v>20</v>
      </c>
      <c r="M339" s="4" t="n">
        <v>18</v>
      </c>
      <c r="N339" s="4" t="n">
        <v>2</v>
      </c>
      <c r="O339" s="4" t="n">
        <v>15</v>
      </c>
      <c r="P339" s="4" t="n">
        <v>3</v>
      </c>
      <c r="Q339" s="4" t="n">
        <v>8</v>
      </c>
      <c r="R339" s="6" t="n">
        <f aca="false">IF(N(L339)=0,0,O339/L339)</f>
        <v>0.75</v>
      </c>
      <c r="S339" s="4" t="n">
        <f aca="false">IF(R339="","",IF(R339&gt;=0.8,50,IF(R339&gt;=0.5,30,IF(R339&gt;=0.01,10,0))))</f>
        <v>30</v>
      </c>
      <c r="T339" s="4" t="n">
        <f aca="false">IF(TRIM(AI339)="Yes",2.5,0)</f>
        <v>2.5</v>
      </c>
      <c r="U339" s="4" t="n">
        <f aca="false">IF(TRIM(AJ339)="Yes",10,0)</f>
        <v>10</v>
      </c>
      <c r="V339" s="4" t="n">
        <f aca="false">IF(TRIM(AK339)="Yes",5,0)</f>
        <v>5</v>
      </c>
      <c r="W339" s="4" t="n">
        <f aca="false">IF(TRIM(AM339)="Yes",5,0)</f>
        <v>5</v>
      </c>
      <c r="X339" s="4" t="n">
        <f aca="false">IF(OR(TRIM(AN339)="Fully Available",TRIM(AN339)="Not Applicable"),5,IF(TRIM(AN339)="Partially Available",2.5,0))</f>
        <v>5</v>
      </c>
      <c r="Y339" s="4" t="n">
        <f aca="false">IF(TRIM(AO339)="Yes",5,0)</f>
        <v>5</v>
      </c>
      <c r="Z339" s="4" t="n">
        <f aca="false">IF(TRIM(AP339)="Yes",2.5,0)</f>
        <v>2.5</v>
      </c>
      <c r="AA339" s="4" t="n">
        <f aca="false">IF(TRIM(AQ339)="Yes",5,0)</f>
        <v>5</v>
      </c>
      <c r="AB339" s="4" t="n">
        <f aca="false">IF(OR(TRIM(AR339)="Yes",TRIM(AR339)="Not Applicable"),5,0)</f>
        <v>0</v>
      </c>
      <c r="AC339" s="4" t="n">
        <f aca="false">IF(TRIM(AS339)="Excellent",5,IF(TRIM(AS339)="Very Good",4,IF(TRIM(AS339)="Good",3,IF(TRIM(AS339)="Average",2,0))))</f>
        <v>4</v>
      </c>
      <c r="AD339" s="7" t="n">
        <f aca="false">IF(COUNT(S339:AC339)=0,"",SUM(S339:AC339))</f>
        <v>74</v>
      </c>
      <c r="AE339" s="7"/>
      <c r="AF339" s="8"/>
      <c r="AG339" s="5"/>
      <c r="AH339" s="4"/>
      <c r="AI339" s="4" t="s">
        <v>62</v>
      </c>
      <c r="AJ339" s="4" t="s">
        <v>62</v>
      </c>
      <c r="AK339" s="4" t="s">
        <v>62</v>
      </c>
      <c r="AL339" s="4" t="s">
        <v>63</v>
      </c>
      <c r="AM339" s="4" t="s">
        <v>62</v>
      </c>
      <c r="AN339" s="4" t="s">
        <v>64</v>
      </c>
      <c r="AO339" s="4" t="s">
        <v>62</v>
      </c>
      <c r="AP339" s="4" t="s">
        <v>62</v>
      </c>
      <c r="AQ339" s="4" t="s">
        <v>62</v>
      </c>
      <c r="AR339" s="4" t="s">
        <v>82</v>
      </c>
      <c r="AS339" s="4" t="s">
        <v>74</v>
      </c>
      <c r="AT339" s="4" t="n">
        <v>8</v>
      </c>
      <c r="AU339" s="4" t="s">
        <v>66</v>
      </c>
      <c r="AV339" s="4" t="s">
        <v>151</v>
      </c>
      <c r="AW339" s="4" t="s">
        <v>1061</v>
      </c>
      <c r="AX339" s="4" t="s">
        <v>568</v>
      </c>
      <c r="AY339" s="4" t="n">
        <v>5</v>
      </c>
      <c r="AZ339" s="4" t="s">
        <v>62</v>
      </c>
      <c r="BA339" s="4" t="s">
        <v>1055</v>
      </c>
      <c r="BB339" s="4" t="s">
        <v>760</v>
      </c>
      <c r="BC339" s="6" t="n">
        <v>0.5333</v>
      </c>
      <c r="BD339" s="4" t="n">
        <v>83</v>
      </c>
    </row>
    <row r="340" customFormat="false" ht="299.25" hidden="false" customHeight="false" outlineLevel="0" collapsed="false">
      <c r="A340" s="4" t="n">
        <v>144</v>
      </c>
      <c r="B340" s="4" t="s">
        <v>753</v>
      </c>
      <c r="C340" s="4" t="s">
        <v>57</v>
      </c>
      <c r="D340" s="4" t="s">
        <v>754</v>
      </c>
      <c r="E340" s="4" t="s">
        <v>828</v>
      </c>
      <c r="F340" s="4" t="n">
        <v>441</v>
      </c>
      <c r="G340" s="5" t="s">
        <v>1062</v>
      </c>
      <c r="H340" s="5" t="s">
        <v>851</v>
      </c>
      <c r="I340" s="4"/>
      <c r="J340" s="4"/>
      <c r="K340" s="4"/>
      <c r="L340" s="4" t="n">
        <v>20</v>
      </c>
      <c r="M340" s="4" t="n">
        <v>20</v>
      </c>
      <c r="N340" s="4" t="n">
        <v>0</v>
      </c>
      <c r="O340" s="4" t="n">
        <v>14</v>
      </c>
      <c r="P340" s="4" t="n">
        <v>6</v>
      </c>
      <c r="Q340" s="4" t="n">
        <v>5</v>
      </c>
      <c r="R340" s="6" t="n">
        <f aca="false">IF(N(L340)=0,0,O340/L340)</f>
        <v>0.7</v>
      </c>
      <c r="S340" s="4" t="n">
        <f aca="false">IF(R340="","",IF(R340&gt;=0.8,50,IF(R340&gt;=0.5,30,IF(R340&gt;=0.01,10,0))))</f>
        <v>30</v>
      </c>
      <c r="T340" s="4" t="n">
        <f aca="false">IF(TRIM(AI340)="Yes",2.5,0)</f>
        <v>2.5</v>
      </c>
      <c r="U340" s="4" t="n">
        <f aca="false">IF(TRIM(AJ340)="Yes",10,0)</f>
        <v>10</v>
      </c>
      <c r="V340" s="4" t="n">
        <f aca="false">IF(TRIM(AK340)="Yes",5,0)</f>
        <v>5</v>
      </c>
      <c r="W340" s="4" t="n">
        <f aca="false">IF(TRIM(AM340)="Yes",5,0)</f>
        <v>5</v>
      </c>
      <c r="X340" s="4" t="n">
        <f aca="false">IF(OR(TRIM(AN340)="Fully Available",TRIM(AN340)="Not Applicable"),5,IF(TRIM(AN340)="Partially Available",2.5,0))</f>
        <v>5</v>
      </c>
      <c r="Y340" s="4" t="n">
        <f aca="false">IF(TRIM(AO340)="Yes",5,0)</f>
        <v>5</v>
      </c>
      <c r="Z340" s="4" t="n">
        <f aca="false">IF(TRIM(AP340)="Yes",2.5,0)</f>
        <v>2.5</v>
      </c>
      <c r="AA340" s="4" t="n">
        <f aca="false">IF(TRIM(AQ340)="Yes",5,0)</f>
        <v>5</v>
      </c>
      <c r="AB340" s="4" t="n">
        <f aca="false">IF(OR(TRIM(AR340)="Yes",TRIM(AR340)="Not Applicable"),5,0)</f>
        <v>5</v>
      </c>
      <c r="AC340" s="4" t="n">
        <f aca="false">IF(TRIM(AS340)="Excellent",5,IF(TRIM(AS340)="Very Good",4,IF(TRIM(AS340)="Good",3,IF(TRIM(AS340)="Average",2,0))))</f>
        <v>4</v>
      </c>
      <c r="AD340" s="7" t="n">
        <f aca="false">IF(COUNT(S340:AC340)=0,"",SUM(S340:AC340))</f>
        <v>79</v>
      </c>
      <c r="AE340" s="7" t="n">
        <f aca="false">IF(COUNTIF($F$2:F340,F340)=1,IFERROR(AVERAGEIF($F:$F,F340,$AD:$AD),""),"")</f>
        <v>85.6666666666667</v>
      </c>
      <c r="AF340" s="8" t="str">
        <f aca="false">IF(AH340&lt;&gt;"",AH340,IF(AE340="","",IF(AE340&gt;=80,"Excellent",IF(AE340&gt;=70,"Very Good",IF(AE340&gt;=60,"Good",IF(AE340&gt;=50,"Average","Poor"))))))</f>
        <v>Excellent</v>
      </c>
      <c r="AG340" s="5"/>
      <c r="AH340" s="4"/>
      <c r="AI340" s="4" t="s">
        <v>62</v>
      </c>
      <c r="AJ340" s="4" t="s">
        <v>62</v>
      </c>
      <c r="AK340" s="4" t="s">
        <v>62</v>
      </c>
      <c r="AL340" s="4" t="s">
        <v>63</v>
      </c>
      <c r="AM340" s="4" t="s">
        <v>62</v>
      </c>
      <c r="AN340" s="4" t="s">
        <v>64</v>
      </c>
      <c r="AO340" s="4" t="s">
        <v>62</v>
      </c>
      <c r="AP340" s="4" t="s">
        <v>62</v>
      </c>
      <c r="AQ340" s="4" t="s">
        <v>62</v>
      </c>
      <c r="AR340" s="4" t="s">
        <v>62</v>
      </c>
      <c r="AS340" s="4" t="s">
        <v>74</v>
      </c>
      <c r="AT340" s="4" t="n">
        <v>4</v>
      </c>
      <c r="AU340" s="4" t="s">
        <v>112</v>
      </c>
      <c r="AV340" s="4" t="s">
        <v>151</v>
      </c>
      <c r="AW340" s="4" t="s">
        <v>1063</v>
      </c>
      <c r="AX340" s="4" t="s">
        <v>1064</v>
      </c>
      <c r="AY340" s="4" t="n">
        <v>3</v>
      </c>
      <c r="AZ340" s="4" t="s">
        <v>62</v>
      </c>
      <c r="BA340" s="4" t="s">
        <v>1065</v>
      </c>
      <c r="BB340" s="4" t="s">
        <v>760</v>
      </c>
      <c r="BC340" s="6" t="n">
        <v>0.3571</v>
      </c>
      <c r="BD340" s="4" t="n">
        <v>93</v>
      </c>
    </row>
    <row r="341" customFormat="false" ht="299.25" hidden="false" customHeight="false" outlineLevel="0" collapsed="false">
      <c r="A341" s="4"/>
      <c r="B341" s="4" t="s">
        <v>753</v>
      </c>
      <c r="C341" s="4" t="s">
        <v>57</v>
      </c>
      <c r="D341" s="4" t="s">
        <v>754</v>
      </c>
      <c r="E341" s="4" t="s">
        <v>828</v>
      </c>
      <c r="F341" s="4" t="n">
        <v>441</v>
      </c>
      <c r="G341" s="5" t="s">
        <v>1062</v>
      </c>
      <c r="H341" s="5" t="s">
        <v>118</v>
      </c>
      <c r="I341" s="4"/>
      <c r="J341" s="4"/>
      <c r="K341" s="4"/>
      <c r="L341" s="4" t="n">
        <v>20</v>
      </c>
      <c r="M341" s="4" t="n">
        <v>20</v>
      </c>
      <c r="N341" s="4" t="n">
        <v>0</v>
      </c>
      <c r="O341" s="4" t="n">
        <v>14</v>
      </c>
      <c r="P341" s="4" t="n">
        <v>6</v>
      </c>
      <c r="Q341" s="4" t="n">
        <v>7</v>
      </c>
      <c r="R341" s="6" t="n">
        <f aca="false">IF(N(L341)=0,0,O341/L341)</f>
        <v>0.7</v>
      </c>
      <c r="S341" s="4" t="n">
        <f aca="false">IF(R341="","",IF(R341&gt;=0.8,50,IF(R341&gt;=0.5,30,IF(R341&gt;=0.01,10,0))))</f>
        <v>30</v>
      </c>
      <c r="T341" s="4" t="n">
        <f aca="false">IF(TRIM(AI341)="Yes",2.5,0)</f>
        <v>2.5</v>
      </c>
      <c r="U341" s="4" t="n">
        <f aca="false">IF(TRIM(AJ341)="Yes",10,0)</f>
        <v>10</v>
      </c>
      <c r="V341" s="4" t="n">
        <f aca="false">IF(TRIM(AK341)="Yes",5,0)</f>
        <v>5</v>
      </c>
      <c r="W341" s="4" t="n">
        <f aca="false">IF(TRIM(AM341)="Yes",5,0)</f>
        <v>5</v>
      </c>
      <c r="X341" s="4" t="n">
        <f aca="false">IF(OR(TRIM(AN341)="Fully Available",TRIM(AN341)="Not Applicable"),5,IF(TRIM(AN341)="Partially Available",2.5,0))</f>
        <v>5</v>
      </c>
      <c r="Y341" s="4" t="n">
        <f aca="false">IF(TRIM(AO341)="Yes",5,0)</f>
        <v>5</v>
      </c>
      <c r="Z341" s="4" t="n">
        <f aca="false">IF(TRIM(AP341)="Yes",2.5,0)</f>
        <v>2.5</v>
      </c>
      <c r="AA341" s="4" t="n">
        <f aca="false">IF(TRIM(AQ341)="Yes",5,0)</f>
        <v>5</v>
      </c>
      <c r="AB341" s="4" t="n">
        <f aca="false">IF(OR(TRIM(AR341)="Yes",TRIM(AR341)="Not Applicable"),5,0)</f>
        <v>5</v>
      </c>
      <c r="AC341" s="4" t="n">
        <f aca="false">IF(TRIM(AS341)="Excellent",5,IF(TRIM(AS341)="Very Good",4,IF(TRIM(AS341)="Good",3,IF(TRIM(AS341)="Average",2,0))))</f>
        <v>4</v>
      </c>
      <c r="AD341" s="7" t="n">
        <f aca="false">IF(COUNT(S341:AC341)=0,"",SUM(S341:AC341))</f>
        <v>79</v>
      </c>
      <c r="AE341" s="7"/>
      <c r="AF341" s="8"/>
      <c r="AG341" s="5"/>
      <c r="AH341" s="4"/>
      <c r="AI341" s="4" t="s">
        <v>62</v>
      </c>
      <c r="AJ341" s="4" t="s">
        <v>62</v>
      </c>
      <c r="AK341" s="4" t="s">
        <v>62</v>
      </c>
      <c r="AL341" s="4" t="s">
        <v>63</v>
      </c>
      <c r="AM341" s="4" t="s">
        <v>62</v>
      </c>
      <c r="AN341" s="4" t="s">
        <v>64</v>
      </c>
      <c r="AO341" s="4" t="s">
        <v>62</v>
      </c>
      <c r="AP341" s="4" t="s">
        <v>62</v>
      </c>
      <c r="AQ341" s="4" t="s">
        <v>62</v>
      </c>
      <c r="AR341" s="4" t="s">
        <v>62</v>
      </c>
      <c r="AS341" s="4" t="s">
        <v>74</v>
      </c>
      <c r="AT341" s="4" t="n">
        <v>8</v>
      </c>
      <c r="AU341" s="4" t="s">
        <v>112</v>
      </c>
      <c r="AV341" s="4" t="s">
        <v>151</v>
      </c>
      <c r="AW341" s="4" t="s">
        <v>1066</v>
      </c>
      <c r="AX341" s="4" t="s">
        <v>1067</v>
      </c>
      <c r="AY341" s="4" t="n">
        <v>10</v>
      </c>
      <c r="AZ341" s="4" t="s">
        <v>62</v>
      </c>
      <c r="BA341" s="4" t="s">
        <v>1065</v>
      </c>
      <c r="BB341" s="4" t="s">
        <v>760</v>
      </c>
      <c r="BC341" s="6" t="n">
        <v>0.5</v>
      </c>
      <c r="BD341" s="4" t="n">
        <v>93</v>
      </c>
    </row>
    <row r="342" customFormat="false" ht="299.25" hidden="false" customHeight="false" outlineLevel="0" collapsed="false">
      <c r="A342" s="4"/>
      <c r="B342" s="4" t="s">
        <v>753</v>
      </c>
      <c r="C342" s="4" t="s">
        <v>57</v>
      </c>
      <c r="D342" s="4" t="s">
        <v>754</v>
      </c>
      <c r="E342" s="4" t="s">
        <v>828</v>
      </c>
      <c r="F342" s="4" t="n">
        <v>441</v>
      </c>
      <c r="G342" s="5" t="s">
        <v>1062</v>
      </c>
      <c r="H342" s="5" t="s">
        <v>844</v>
      </c>
      <c r="I342" s="4"/>
      <c r="J342" s="4"/>
      <c r="K342" s="4"/>
      <c r="L342" s="4" t="n">
        <v>20</v>
      </c>
      <c r="M342" s="4" t="n">
        <v>20</v>
      </c>
      <c r="N342" s="4" t="n">
        <v>0</v>
      </c>
      <c r="O342" s="4" t="n">
        <v>17</v>
      </c>
      <c r="P342" s="4" t="n">
        <v>3</v>
      </c>
      <c r="Q342" s="4" t="n">
        <v>8</v>
      </c>
      <c r="R342" s="6" t="n">
        <f aca="false">IF(N(L342)=0,0,O342/L342)</f>
        <v>0.85</v>
      </c>
      <c r="S342" s="4" t="n">
        <f aca="false">IF(R342="","",IF(R342&gt;=0.8,50,IF(R342&gt;=0.5,30,IF(R342&gt;=0.01,10,0))))</f>
        <v>50</v>
      </c>
      <c r="T342" s="4" t="n">
        <f aca="false">IF(TRIM(AI342)="Yes",2.5,0)</f>
        <v>2.5</v>
      </c>
      <c r="U342" s="4" t="n">
        <f aca="false">IF(TRIM(AJ342)="Yes",10,0)</f>
        <v>10</v>
      </c>
      <c r="V342" s="4" t="n">
        <f aca="false">IF(TRIM(AK342)="Yes",5,0)</f>
        <v>5</v>
      </c>
      <c r="W342" s="4" t="n">
        <f aca="false">IF(TRIM(AM342)="Yes",5,0)</f>
        <v>5</v>
      </c>
      <c r="X342" s="4" t="n">
        <f aca="false">IF(OR(TRIM(AN342)="Fully Available",TRIM(AN342)="Not Applicable"),5,IF(TRIM(AN342)="Partially Available",2.5,0))</f>
        <v>5</v>
      </c>
      <c r="Y342" s="4" t="n">
        <f aca="false">IF(TRIM(AO342)="Yes",5,0)</f>
        <v>5</v>
      </c>
      <c r="Z342" s="4" t="n">
        <f aca="false">IF(TRIM(AP342)="Yes",2.5,0)</f>
        <v>2.5</v>
      </c>
      <c r="AA342" s="4" t="n">
        <f aca="false">IF(TRIM(AQ342)="Yes",5,0)</f>
        <v>5</v>
      </c>
      <c r="AB342" s="4" t="n">
        <f aca="false">IF(OR(TRIM(AR342)="Yes",TRIM(AR342)="Not Applicable"),5,0)</f>
        <v>5</v>
      </c>
      <c r="AC342" s="4" t="n">
        <f aca="false">IF(TRIM(AS342)="Excellent",5,IF(TRIM(AS342)="Very Good",4,IF(TRIM(AS342)="Good",3,IF(TRIM(AS342)="Average",2,0))))</f>
        <v>4</v>
      </c>
      <c r="AD342" s="7" t="n">
        <f aca="false">IF(COUNT(S342:AC342)=0,"",SUM(S342:AC342))</f>
        <v>99</v>
      </c>
      <c r="AE342" s="7"/>
      <c r="AF342" s="8"/>
      <c r="AG342" s="5"/>
      <c r="AH342" s="4"/>
      <c r="AI342" s="4" t="s">
        <v>62</v>
      </c>
      <c r="AJ342" s="4" t="s">
        <v>62</v>
      </c>
      <c r="AK342" s="4" t="s">
        <v>62</v>
      </c>
      <c r="AL342" s="4" t="s">
        <v>63</v>
      </c>
      <c r="AM342" s="4" t="s">
        <v>62</v>
      </c>
      <c r="AN342" s="4" t="s">
        <v>64</v>
      </c>
      <c r="AO342" s="4" t="s">
        <v>62</v>
      </c>
      <c r="AP342" s="4" t="s">
        <v>62</v>
      </c>
      <c r="AQ342" s="4" t="s">
        <v>62</v>
      </c>
      <c r="AR342" s="4" t="s">
        <v>62</v>
      </c>
      <c r="AS342" s="4" t="s">
        <v>74</v>
      </c>
      <c r="AT342" s="4" t="n">
        <v>4</v>
      </c>
      <c r="AU342" s="4" t="s">
        <v>112</v>
      </c>
      <c r="AV342" s="4" t="s">
        <v>151</v>
      </c>
      <c r="AW342" s="4" t="s">
        <v>1068</v>
      </c>
      <c r="AX342" s="4" t="s">
        <v>1069</v>
      </c>
      <c r="AY342" s="4" t="n">
        <v>5</v>
      </c>
      <c r="AZ342" s="4" t="s">
        <v>62</v>
      </c>
      <c r="BA342" s="4" t="s">
        <v>1065</v>
      </c>
      <c r="BB342" s="4" t="s">
        <v>760</v>
      </c>
      <c r="BC342" s="6" t="n">
        <v>0.4706</v>
      </c>
      <c r="BD342" s="4" t="n">
        <v>93</v>
      </c>
    </row>
    <row r="343" customFormat="false" ht="44" hidden="false" customHeight="false" outlineLevel="0" collapsed="false">
      <c r="A343" s="4" t="n">
        <v>145</v>
      </c>
      <c r="B343" s="4" t="s">
        <v>753</v>
      </c>
      <c r="C343" s="4" t="s">
        <v>57</v>
      </c>
      <c r="D343" s="4" t="s">
        <v>754</v>
      </c>
      <c r="E343" s="4" t="s">
        <v>810</v>
      </c>
      <c r="F343" s="4" t="n">
        <v>3069</v>
      </c>
      <c r="G343" s="5" t="s">
        <v>1070</v>
      </c>
      <c r="H343" s="5" t="s">
        <v>238</v>
      </c>
      <c r="I343" s="4"/>
      <c r="J343" s="4"/>
      <c r="K343" s="4"/>
      <c r="L343" s="4" t="n">
        <v>20</v>
      </c>
      <c r="M343" s="4" t="n">
        <v>20</v>
      </c>
      <c r="N343" s="4" t="n">
        <v>0</v>
      </c>
      <c r="O343" s="4" t="n">
        <v>17</v>
      </c>
      <c r="P343" s="4" t="n">
        <v>3</v>
      </c>
      <c r="Q343" s="4" t="n">
        <v>5</v>
      </c>
      <c r="R343" s="6" t="n">
        <f aca="false">IF(N(L343)=0,0,O343/L343)</f>
        <v>0.85</v>
      </c>
      <c r="S343" s="4" t="n">
        <f aca="false">IF(R343="","",IF(R343&gt;=0.8,50,IF(R343&gt;=0.5,30,IF(R343&gt;=0.01,10,0))))</f>
        <v>50</v>
      </c>
      <c r="T343" s="4" t="n">
        <f aca="false">IF(TRIM(AI343)="Yes",2.5,0)</f>
        <v>2.5</v>
      </c>
      <c r="U343" s="4" t="n">
        <f aca="false">IF(TRIM(AJ343)="Yes",10,0)</f>
        <v>10</v>
      </c>
      <c r="V343" s="4" t="n">
        <f aca="false">IF(TRIM(AK343)="Yes",5,0)</f>
        <v>5</v>
      </c>
      <c r="W343" s="4" t="n">
        <f aca="false">IF(TRIM(AM343)="Yes",5,0)</f>
        <v>5</v>
      </c>
      <c r="X343" s="4" t="n">
        <f aca="false">IF(OR(TRIM(AN343)="Fully Available",TRIM(AN343)="Not Applicable"),5,IF(TRIM(AN343)="Partially Available",2.5,0))</f>
        <v>5</v>
      </c>
      <c r="Y343" s="4" t="n">
        <f aca="false">IF(TRIM(AO343)="Yes",5,0)</f>
        <v>5</v>
      </c>
      <c r="Z343" s="4" t="n">
        <f aca="false">IF(TRIM(AP343)="Yes",2.5,0)</f>
        <v>2.5</v>
      </c>
      <c r="AA343" s="4" t="n">
        <f aca="false">IF(TRIM(AQ343)="Yes",5,0)</f>
        <v>5</v>
      </c>
      <c r="AB343" s="4" t="n">
        <f aca="false">IF(OR(TRIM(AR343)="Yes",TRIM(AR343)="Not Applicable"),5,0)</f>
        <v>5</v>
      </c>
      <c r="AC343" s="4" t="n">
        <f aca="false">IF(TRIM(AS343)="Excellent",5,IF(TRIM(AS343)="Very Good",4,IF(TRIM(AS343)="Good",3,IF(TRIM(AS343)="Average",2,0))))</f>
        <v>3</v>
      </c>
      <c r="AD343" s="7" t="n">
        <f aca="false">IF(COUNT(S343:AC343)=0,"",SUM(S343:AC343))</f>
        <v>98</v>
      </c>
      <c r="AE343" s="7" t="n">
        <f aca="false">IF(COUNTIF($F$2:F343,F343)=1,IFERROR(AVERAGEIF($F:$F,F343,$AD:$AD),""),"")</f>
        <v>95.5</v>
      </c>
      <c r="AF343" s="8" t="str">
        <f aca="false">IF(AH343&lt;&gt;"",AH343,IF(AE343="","",IF(AE343&gt;=80,"Excellent",IF(AE343&gt;=70,"Very Good",IF(AE343&gt;=60,"Good",IF(AE343&gt;=50,"Average","Poor"))))))</f>
        <v>Excellent</v>
      </c>
      <c r="AG343" s="5"/>
      <c r="AH343" s="4"/>
      <c r="AI343" s="4" t="s">
        <v>62</v>
      </c>
      <c r="AJ343" s="4" t="s">
        <v>62</v>
      </c>
      <c r="AK343" s="4" t="s">
        <v>62</v>
      </c>
      <c r="AL343" s="4" t="s">
        <v>63</v>
      </c>
      <c r="AM343" s="4" t="s">
        <v>62</v>
      </c>
      <c r="AN343" s="4" t="s">
        <v>64</v>
      </c>
      <c r="AO343" s="4" t="s">
        <v>62</v>
      </c>
      <c r="AP343" s="4" t="s">
        <v>62</v>
      </c>
      <c r="AQ343" s="4" t="s">
        <v>62</v>
      </c>
      <c r="AR343" s="4" t="s">
        <v>73</v>
      </c>
      <c r="AS343" s="4" t="s">
        <v>185</v>
      </c>
      <c r="AT343" s="4" t="n">
        <v>6</v>
      </c>
      <c r="AU343" s="4" t="s">
        <v>66</v>
      </c>
      <c r="AV343" s="4" t="s">
        <v>91</v>
      </c>
      <c r="AW343" s="4" t="s">
        <v>1071</v>
      </c>
      <c r="AX343" s="4" t="s">
        <v>1072</v>
      </c>
      <c r="AY343" s="4" t="n">
        <v>4</v>
      </c>
      <c r="AZ343" s="4" t="s">
        <v>62</v>
      </c>
      <c r="BA343" s="4" t="s">
        <v>1073</v>
      </c>
      <c r="BB343" s="4" t="s">
        <v>760</v>
      </c>
      <c r="BC343" s="6" t="n">
        <v>0.2941</v>
      </c>
      <c r="BD343" s="4" t="n">
        <v>86</v>
      </c>
    </row>
    <row r="344" customFormat="false" ht="44" hidden="false" customHeight="false" outlineLevel="0" collapsed="false">
      <c r="A344" s="4"/>
      <c r="B344" s="4" t="s">
        <v>753</v>
      </c>
      <c r="C344" s="4" t="s">
        <v>57</v>
      </c>
      <c r="D344" s="4" t="s">
        <v>754</v>
      </c>
      <c r="E344" s="4" t="s">
        <v>810</v>
      </c>
      <c r="F344" s="4" t="n">
        <v>3069</v>
      </c>
      <c r="G344" s="5" t="s">
        <v>1070</v>
      </c>
      <c r="H344" s="5" t="s">
        <v>261</v>
      </c>
      <c r="I344" s="4"/>
      <c r="J344" s="4"/>
      <c r="K344" s="4"/>
      <c r="L344" s="4" t="n">
        <v>20</v>
      </c>
      <c r="M344" s="4" t="n">
        <v>20</v>
      </c>
      <c r="N344" s="4" t="n">
        <v>0</v>
      </c>
      <c r="O344" s="4" t="n">
        <v>19</v>
      </c>
      <c r="P344" s="4" t="n">
        <v>1</v>
      </c>
      <c r="Q344" s="4" t="n">
        <v>7</v>
      </c>
      <c r="R344" s="6" t="n">
        <f aca="false">IF(N(L344)=0,0,O344/L344)</f>
        <v>0.95</v>
      </c>
      <c r="S344" s="4" t="n">
        <f aca="false">IF(R344="","",IF(R344&gt;=0.8,50,IF(R344&gt;=0.5,30,IF(R344&gt;=0.01,10,0))))</f>
        <v>50</v>
      </c>
      <c r="T344" s="4" t="n">
        <f aca="false">IF(TRIM(AI344)="Yes",2.5,0)</f>
        <v>2.5</v>
      </c>
      <c r="U344" s="4" t="n">
        <f aca="false">IF(TRIM(AJ344)="Yes",10,0)</f>
        <v>10</v>
      </c>
      <c r="V344" s="4" t="n">
        <f aca="false">IF(TRIM(AK344)="Yes",5,0)</f>
        <v>5</v>
      </c>
      <c r="W344" s="4" t="n">
        <f aca="false">IF(TRIM(AM344)="Yes",5,0)</f>
        <v>5</v>
      </c>
      <c r="X344" s="4" t="n">
        <f aca="false">IF(OR(TRIM(AN344)="Fully Available",TRIM(AN344)="Not Applicable"),5,IF(TRIM(AN344)="Partially Available",2.5,0))</f>
        <v>5</v>
      </c>
      <c r="Y344" s="4" t="n">
        <f aca="false">IF(TRIM(AO344)="Yes",5,0)</f>
        <v>5</v>
      </c>
      <c r="Z344" s="4" t="n">
        <f aca="false">IF(TRIM(AP344)="Yes",2.5,0)</f>
        <v>2.5</v>
      </c>
      <c r="AA344" s="4" t="n">
        <f aca="false">IF(TRIM(AQ344)="Yes",5,0)</f>
        <v>5</v>
      </c>
      <c r="AB344" s="4" t="n">
        <f aca="false">IF(OR(TRIM(AR344)="Yes",TRIM(AR344)="Not Applicable"),5,0)</f>
        <v>5</v>
      </c>
      <c r="AC344" s="4" t="n">
        <f aca="false">IF(TRIM(AS344)="Excellent",5,IF(TRIM(AS344)="Very Good",4,IF(TRIM(AS344)="Good",3,IF(TRIM(AS344)="Average",2,0))))</f>
        <v>3</v>
      </c>
      <c r="AD344" s="7" t="n">
        <f aca="false">IF(COUNT(S344:AC344)=0,"",SUM(S344:AC344))</f>
        <v>98</v>
      </c>
      <c r="AE344" s="7"/>
      <c r="AF344" s="8"/>
      <c r="AG344" s="5"/>
      <c r="AH344" s="4"/>
      <c r="AI344" s="4" t="s">
        <v>62</v>
      </c>
      <c r="AJ344" s="4" t="s">
        <v>62</v>
      </c>
      <c r="AK344" s="4" t="s">
        <v>62</v>
      </c>
      <c r="AL344" s="4" t="s">
        <v>63</v>
      </c>
      <c r="AM344" s="4" t="s">
        <v>62</v>
      </c>
      <c r="AN344" s="4" t="s">
        <v>64</v>
      </c>
      <c r="AO344" s="4" t="s">
        <v>62</v>
      </c>
      <c r="AP344" s="4" t="s">
        <v>62</v>
      </c>
      <c r="AQ344" s="4" t="s">
        <v>62</v>
      </c>
      <c r="AR344" s="4" t="s">
        <v>73</v>
      </c>
      <c r="AS344" s="4" t="s">
        <v>185</v>
      </c>
      <c r="AT344" s="4" t="n">
        <v>7</v>
      </c>
      <c r="AU344" s="4" t="s">
        <v>66</v>
      </c>
      <c r="AV344" s="4" t="s">
        <v>91</v>
      </c>
      <c r="AW344" s="4" t="s">
        <v>1074</v>
      </c>
      <c r="AX344" s="4" t="s">
        <v>466</v>
      </c>
      <c r="AY344" s="4" t="n">
        <v>1</v>
      </c>
      <c r="AZ344" s="4" t="s">
        <v>62</v>
      </c>
      <c r="BA344" s="4" t="s">
        <v>1073</v>
      </c>
      <c r="BB344" s="4" t="s">
        <v>760</v>
      </c>
      <c r="BC344" s="6" t="n">
        <v>0.3684</v>
      </c>
      <c r="BD344" s="4" t="n">
        <v>86</v>
      </c>
    </row>
    <row r="345" customFormat="false" ht="44" hidden="false" customHeight="false" outlineLevel="0" collapsed="false">
      <c r="A345" s="4"/>
      <c r="B345" s="4" t="s">
        <v>753</v>
      </c>
      <c r="C345" s="4" t="s">
        <v>57</v>
      </c>
      <c r="D345" s="4" t="s">
        <v>754</v>
      </c>
      <c r="E345" s="4" t="s">
        <v>810</v>
      </c>
      <c r="F345" s="4" t="n">
        <v>3069</v>
      </c>
      <c r="G345" s="5" t="s">
        <v>1070</v>
      </c>
      <c r="H345" s="5" t="s">
        <v>190</v>
      </c>
      <c r="I345" s="4"/>
      <c r="J345" s="4"/>
      <c r="K345" s="4"/>
      <c r="L345" s="4" t="n">
        <v>20</v>
      </c>
      <c r="M345" s="4" t="n">
        <v>20</v>
      </c>
      <c r="N345" s="4" t="n">
        <v>0</v>
      </c>
      <c r="O345" s="4" t="n">
        <v>16</v>
      </c>
      <c r="P345" s="4" t="n">
        <v>4</v>
      </c>
      <c r="Q345" s="4" t="n">
        <v>8</v>
      </c>
      <c r="R345" s="6" t="n">
        <f aca="false">IF(N(L345)=0,0,O345/L345)</f>
        <v>0.8</v>
      </c>
      <c r="S345" s="4" t="n">
        <f aca="false">IF(R345="","",IF(R345&gt;=0.8,50,IF(R345&gt;=0.5,30,IF(R345&gt;=0.01,10,0))))</f>
        <v>50</v>
      </c>
      <c r="T345" s="4" t="n">
        <f aca="false">IF(TRIM(AI345)="Yes",2.5,0)</f>
        <v>2.5</v>
      </c>
      <c r="U345" s="4" t="n">
        <f aca="false">IF(TRIM(AJ345)="Yes",10,0)</f>
        <v>10</v>
      </c>
      <c r="V345" s="4" t="n">
        <f aca="false">IF(TRIM(AK345)="Yes",5,0)</f>
        <v>5</v>
      </c>
      <c r="W345" s="4" t="n">
        <f aca="false">IF(TRIM(AM345)="Yes",5,0)</f>
        <v>5</v>
      </c>
      <c r="X345" s="4" t="n">
        <f aca="false">IF(OR(TRIM(AN345)="Fully Available",TRIM(AN345)="Not Applicable"),5,IF(TRIM(AN345)="Partially Available",2.5,0))</f>
        <v>5</v>
      </c>
      <c r="Y345" s="4" t="n">
        <f aca="false">IF(TRIM(AO345)="Yes",5,0)</f>
        <v>5</v>
      </c>
      <c r="Z345" s="4" t="n">
        <f aca="false">IF(TRIM(AP345)="Yes",2.5,0)</f>
        <v>2.5</v>
      </c>
      <c r="AA345" s="4" t="n">
        <f aca="false">IF(TRIM(AQ345)="Yes",5,0)</f>
        <v>5</v>
      </c>
      <c r="AB345" s="4" t="n">
        <f aca="false">IF(OR(TRIM(AR345)="Yes",TRIM(AR345)="Not Applicable"),5,0)</f>
        <v>5</v>
      </c>
      <c r="AC345" s="4" t="n">
        <f aca="false">IF(TRIM(AS345)="Excellent",5,IF(TRIM(AS345)="Very Good",4,IF(TRIM(AS345)="Good",3,IF(TRIM(AS345)="Average",2,0))))</f>
        <v>3</v>
      </c>
      <c r="AD345" s="7" t="n">
        <f aca="false">IF(COUNT(S345:AC345)=0,"",SUM(S345:AC345))</f>
        <v>98</v>
      </c>
      <c r="AE345" s="7"/>
      <c r="AF345" s="8"/>
      <c r="AG345" s="5"/>
      <c r="AH345" s="4"/>
      <c r="AI345" s="4" t="s">
        <v>62</v>
      </c>
      <c r="AJ345" s="4" t="s">
        <v>62</v>
      </c>
      <c r="AK345" s="4" t="s">
        <v>62</v>
      </c>
      <c r="AL345" s="4" t="s">
        <v>63</v>
      </c>
      <c r="AM345" s="4" t="s">
        <v>62</v>
      </c>
      <c r="AN345" s="4" t="s">
        <v>64</v>
      </c>
      <c r="AO345" s="4" t="s">
        <v>62</v>
      </c>
      <c r="AP345" s="4" t="s">
        <v>62</v>
      </c>
      <c r="AQ345" s="4" t="s">
        <v>62</v>
      </c>
      <c r="AR345" s="4" t="s">
        <v>62</v>
      </c>
      <c r="AS345" s="4" t="s">
        <v>185</v>
      </c>
      <c r="AT345" s="4" t="n">
        <v>2</v>
      </c>
      <c r="AU345" s="4" t="s">
        <v>112</v>
      </c>
      <c r="AV345" s="4" t="s">
        <v>91</v>
      </c>
      <c r="AW345" s="4" t="s">
        <v>1075</v>
      </c>
      <c r="AX345" s="4" t="s">
        <v>192</v>
      </c>
      <c r="AY345" s="4" t="n">
        <v>2</v>
      </c>
      <c r="AZ345" s="4" t="s">
        <v>62</v>
      </c>
      <c r="BA345" s="4" t="s">
        <v>1073</v>
      </c>
      <c r="BB345" s="4" t="s">
        <v>760</v>
      </c>
      <c r="BC345" s="6" t="n">
        <v>0.5</v>
      </c>
      <c r="BD345" s="4" t="n">
        <v>86</v>
      </c>
    </row>
    <row r="346" customFormat="false" ht="44" hidden="false" customHeight="false" outlineLevel="0" collapsed="false">
      <c r="A346" s="4"/>
      <c r="B346" s="4" t="s">
        <v>753</v>
      </c>
      <c r="C346" s="4" t="s">
        <v>57</v>
      </c>
      <c r="D346" s="4" t="s">
        <v>754</v>
      </c>
      <c r="E346" s="4" t="s">
        <v>810</v>
      </c>
      <c r="F346" s="4" t="n">
        <v>3069</v>
      </c>
      <c r="G346" s="5" t="s">
        <v>1070</v>
      </c>
      <c r="H346" s="5" t="s">
        <v>61</v>
      </c>
      <c r="I346" s="4"/>
      <c r="J346" s="4"/>
      <c r="K346" s="4"/>
      <c r="L346" s="4" t="n">
        <v>15</v>
      </c>
      <c r="M346" s="4" t="n">
        <v>15</v>
      </c>
      <c r="N346" s="4" t="n">
        <v>0</v>
      </c>
      <c r="O346" s="4" t="n">
        <v>13</v>
      </c>
      <c r="P346" s="4" t="n">
        <v>2</v>
      </c>
      <c r="Q346" s="4" t="n">
        <v>8</v>
      </c>
      <c r="R346" s="6" t="n">
        <f aca="false">IF(N(L346)=0,0,O346/L346)</f>
        <v>0.866666666666667</v>
      </c>
      <c r="S346" s="4" t="n">
        <f aca="false">IF(R346="","",IF(R346&gt;=0.8,50,IF(R346&gt;=0.5,30,IF(R346&gt;=0.01,10,0))))</f>
        <v>50</v>
      </c>
      <c r="T346" s="4" t="n">
        <f aca="false">IF(TRIM(AI346)="Yes",2.5,0)</f>
        <v>2.5</v>
      </c>
      <c r="U346" s="4" t="n">
        <f aca="false">IF(TRIM(AJ346)="Yes",10,0)</f>
        <v>10</v>
      </c>
      <c r="V346" s="4" t="n">
        <f aca="false">IF(TRIM(AK346)="Yes",5,0)</f>
        <v>5</v>
      </c>
      <c r="W346" s="4" t="n">
        <f aca="false">IF(TRIM(AM346)="Yes",5,0)</f>
        <v>5</v>
      </c>
      <c r="X346" s="4" t="n">
        <f aca="false">IF(OR(TRIM(AN346)="Fully Available",TRIM(AN346)="Not Applicable"),5,IF(TRIM(AN346)="Partially Available",2.5,0))</f>
        <v>2.5</v>
      </c>
      <c r="Y346" s="4" t="n">
        <f aca="false">IF(TRIM(AO346)="Yes",5,0)</f>
        <v>0</v>
      </c>
      <c r="Z346" s="4" t="n">
        <f aca="false">IF(TRIM(AP346)="Yes",2.5,0)</f>
        <v>0</v>
      </c>
      <c r="AA346" s="4" t="n">
        <f aca="false">IF(TRIM(AQ346)="Yes",5,0)</f>
        <v>5</v>
      </c>
      <c r="AB346" s="4" t="n">
        <f aca="false">IF(OR(TRIM(AR346)="Yes",TRIM(AR346)="Not Applicable"),5,0)</f>
        <v>5</v>
      </c>
      <c r="AC346" s="4" t="n">
        <f aca="false">IF(TRIM(AS346)="Excellent",5,IF(TRIM(AS346)="Very Good",4,IF(TRIM(AS346)="Good",3,IF(TRIM(AS346)="Average",2,0))))</f>
        <v>3</v>
      </c>
      <c r="AD346" s="7" t="n">
        <f aca="false">IF(COUNT(S346:AC346)=0,"",SUM(S346:AC346))</f>
        <v>88</v>
      </c>
      <c r="AE346" s="7"/>
      <c r="AF346" s="8"/>
      <c r="AG346" s="5"/>
      <c r="AH346" s="4"/>
      <c r="AI346" s="4" t="s">
        <v>62</v>
      </c>
      <c r="AJ346" s="4" t="s">
        <v>62</v>
      </c>
      <c r="AK346" s="4" t="s">
        <v>62</v>
      </c>
      <c r="AL346" s="4" t="s">
        <v>63</v>
      </c>
      <c r="AM346" s="4" t="s">
        <v>62</v>
      </c>
      <c r="AN346" s="4" t="s">
        <v>147</v>
      </c>
      <c r="AO346" s="4" t="s">
        <v>82</v>
      </c>
      <c r="AP346" s="4" t="s">
        <v>82</v>
      </c>
      <c r="AQ346" s="4" t="s">
        <v>62</v>
      </c>
      <c r="AR346" s="4" t="s">
        <v>62</v>
      </c>
      <c r="AS346" s="4" t="s">
        <v>185</v>
      </c>
      <c r="AT346" s="4" t="n">
        <v>5</v>
      </c>
      <c r="AU346" s="4" t="s">
        <v>66</v>
      </c>
      <c r="AV346" s="4" t="s">
        <v>91</v>
      </c>
      <c r="AW346" s="4" t="s">
        <v>1076</v>
      </c>
      <c r="AX346" s="4" t="s">
        <v>192</v>
      </c>
      <c r="AY346" s="4" t="n">
        <v>4</v>
      </c>
      <c r="AZ346" s="4" t="s">
        <v>62</v>
      </c>
      <c r="BA346" s="4" t="s">
        <v>1073</v>
      </c>
      <c r="BB346" s="4" t="s">
        <v>760</v>
      </c>
      <c r="BC346" s="6" t="n">
        <v>0.6154</v>
      </c>
      <c r="BD346" s="4" t="n">
        <v>86</v>
      </c>
    </row>
    <row r="347" customFormat="false" ht="114.9" hidden="false" customHeight="false" outlineLevel="0" collapsed="false">
      <c r="A347" s="4" t="n">
        <v>146</v>
      </c>
      <c r="B347" s="4" t="s">
        <v>753</v>
      </c>
      <c r="C347" s="4" t="s">
        <v>57</v>
      </c>
      <c r="D347" s="4" t="s">
        <v>754</v>
      </c>
      <c r="E347" s="4" t="s">
        <v>823</v>
      </c>
      <c r="F347" s="4" t="n">
        <v>6339</v>
      </c>
      <c r="G347" s="5" t="s">
        <v>1077</v>
      </c>
      <c r="H347" s="5" t="s">
        <v>528</v>
      </c>
      <c r="I347" s="4"/>
      <c r="J347" s="4"/>
      <c r="K347" s="4"/>
      <c r="L347" s="4" t="n">
        <v>20</v>
      </c>
      <c r="M347" s="4" t="n">
        <v>20</v>
      </c>
      <c r="N347" s="4" t="n">
        <v>0</v>
      </c>
      <c r="O347" s="4" t="n">
        <v>15</v>
      </c>
      <c r="P347" s="4" t="n">
        <v>5</v>
      </c>
      <c r="Q347" s="4" t="n">
        <v>8</v>
      </c>
      <c r="R347" s="6" t="n">
        <f aca="false">IF(N(L347)=0,0,O347/L347)</f>
        <v>0.75</v>
      </c>
      <c r="S347" s="4" t="n">
        <f aca="false">IF(R347="","",IF(R347&gt;=0.8,50,IF(R347&gt;=0.5,30,IF(R347&gt;=0.01,10,0))))</f>
        <v>30</v>
      </c>
      <c r="T347" s="4" t="n">
        <f aca="false">IF(TRIM(AI347)="Yes",2.5,0)</f>
        <v>2.5</v>
      </c>
      <c r="U347" s="4" t="n">
        <f aca="false">IF(TRIM(AJ347)="Yes",10,0)</f>
        <v>0</v>
      </c>
      <c r="V347" s="4" t="n">
        <f aca="false">IF(TRIM(AK347)="Yes",5,0)</f>
        <v>5</v>
      </c>
      <c r="W347" s="4" t="n">
        <f aca="false">IF(TRIM(AM347)="Yes",5,0)</f>
        <v>5</v>
      </c>
      <c r="X347" s="4" t="n">
        <f aca="false">IF(OR(TRIM(AN347)="Fully Available",TRIM(AN347)="Not Applicable"),5,IF(TRIM(AN347)="Partially Available",2.5,0))</f>
        <v>5</v>
      </c>
      <c r="Y347" s="4" t="n">
        <f aca="false">IF(TRIM(AO347)="Yes",5,0)</f>
        <v>5</v>
      </c>
      <c r="Z347" s="4" t="n">
        <f aca="false">IF(TRIM(AP347)="Yes",2.5,0)</f>
        <v>2.5</v>
      </c>
      <c r="AA347" s="4" t="n">
        <f aca="false">IF(TRIM(AQ347)="Yes",5,0)</f>
        <v>5</v>
      </c>
      <c r="AB347" s="4" t="n">
        <f aca="false">IF(OR(TRIM(AR347)="Yes",TRIM(AR347)="Not Applicable"),5,0)</f>
        <v>5</v>
      </c>
      <c r="AC347" s="4" t="n">
        <f aca="false">IF(TRIM(AS347)="Excellent",5,IF(TRIM(AS347)="Very Good",4,IF(TRIM(AS347)="Good",3,IF(TRIM(AS347)="Average",2,0))))</f>
        <v>3</v>
      </c>
      <c r="AD347" s="7" t="n">
        <f aca="false">IF(COUNT(S347:AC347)=0,"",SUM(S347:AC347))</f>
        <v>68</v>
      </c>
      <c r="AE347" s="7" t="n">
        <f aca="false">IF(COUNTIF($F$2:F347,F347)=1,IFERROR(AVERAGEIF($F:$F,F347,$AD:$AD),""),"")</f>
        <v>78</v>
      </c>
      <c r="AF347" s="8" t="str">
        <f aca="false">IF(AH347&lt;&gt;"",AH347,IF(AE347="","",IF(AE347&gt;=80,"Excellent",IF(AE347&gt;=70,"Very Good",IF(AE347&gt;=60,"Good",IF(AE347&gt;=50,"Average","Poor"))))))</f>
        <v>Very Good</v>
      </c>
      <c r="AG347" s="5"/>
      <c r="AH347" s="4"/>
      <c r="AI347" s="4" t="s">
        <v>62</v>
      </c>
      <c r="AJ347" s="4" t="s">
        <v>82</v>
      </c>
      <c r="AK347" s="4" t="s">
        <v>62</v>
      </c>
      <c r="AL347" s="4" t="s">
        <v>63</v>
      </c>
      <c r="AM347" s="4" t="s">
        <v>62</v>
      </c>
      <c r="AN347" s="4" t="s">
        <v>64</v>
      </c>
      <c r="AO347" s="4" t="s">
        <v>62</v>
      </c>
      <c r="AP347" s="4" t="s">
        <v>62</v>
      </c>
      <c r="AQ347" s="4" t="s">
        <v>62</v>
      </c>
      <c r="AR347" s="4" t="s">
        <v>62</v>
      </c>
      <c r="AS347" s="4" t="s">
        <v>185</v>
      </c>
      <c r="AT347" s="4" t="n">
        <v>8</v>
      </c>
      <c r="AU347" s="4" t="s">
        <v>66</v>
      </c>
      <c r="AV347" s="4" t="s">
        <v>288</v>
      </c>
      <c r="AW347" s="4" t="s">
        <v>1078</v>
      </c>
      <c r="AX347" s="4" t="s">
        <v>1079</v>
      </c>
      <c r="AY347" s="4" t="n">
        <v>2</v>
      </c>
      <c r="AZ347" s="4" t="s">
        <v>62</v>
      </c>
      <c r="BA347" s="4" t="s">
        <v>1080</v>
      </c>
      <c r="BB347" s="4" t="s">
        <v>760</v>
      </c>
      <c r="BC347" s="6" t="n">
        <v>0.5333</v>
      </c>
      <c r="BD347" s="4" t="n">
        <v>87</v>
      </c>
    </row>
    <row r="348" customFormat="false" ht="114.9" hidden="false" customHeight="false" outlineLevel="0" collapsed="false">
      <c r="A348" s="4"/>
      <c r="B348" s="4" t="s">
        <v>753</v>
      </c>
      <c r="C348" s="4" t="s">
        <v>57</v>
      </c>
      <c r="D348" s="4" t="s">
        <v>754</v>
      </c>
      <c r="E348" s="4" t="s">
        <v>823</v>
      </c>
      <c r="F348" s="4" t="n">
        <v>6339</v>
      </c>
      <c r="G348" s="5" t="s">
        <v>1077</v>
      </c>
      <c r="H348" s="5" t="s">
        <v>127</v>
      </c>
      <c r="I348" s="4"/>
      <c r="J348" s="4"/>
      <c r="K348" s="4"/>
      <c r="L348" s="4" t="n">
        <v>20</v>
      </c>
      <c r="M348" s="4" t="n">
        <v>20</v>
      </c>
      <c r="N348" s="4" t="n">
        <v>0</v>
      </c>
      <c r="O348" s="4" t="n">
        <v>17</v>
      </c>
      <c r="P348" s="4" t="n">
        <v>3</v>
      </c>
      <c r="Q348" s="4" t="n">
        <v>10</v>
      </c>
      <c r="R348" s="6" t="n">
        <f aca="false">IF(N(L348)=0,0,O348/L348)</f>
        <v>0.85</v>
      </c>
      <c r="S348" s="4" t="n">
        <f aca="false">IF(R348="","",IF(R348&gt;=0.8,50,IF(R348&gt;=0.5,30,IF(R348&gt;=0.01,10,0))))</f>
        <v>50</v>
      </c>
      <c r="T348" s="4" t="n">
        <f aca="false">IF(TRIM(AI348)="Yes",2.5,0)</f>
        <v>2.5</v>
      </c>
      <c r="U348" s="4" t="n">
        <f aca="false">IF(TRIM(AJ348)="Yes",10,0)</f>
        <v>0</v>
      </c>
      <c r="V348" s="4" t="n">
        <f aca="false">IF(TRIM(AK348)="Yes",5,0)</f>
        <v>5</v>
      </c>
      <c r="W348" s="4" t="n">
        <f aca="false">IF(TRIM(AM348)="Yes",5,0)</f>
        <v>5</v>
      </c>
      <c r="X348" s="4" t="n">
        <f aca="false">IF(OR(TRIM(AN348)="Fully Available",TRIM(AN348)="Not Applicable"),5,IF(TRIM(AN348)="Partially Available",2.5,0))</f>
        <v>5</v>
      </c>
      <c r="Y348" s="4" t="n">
        <f aca="false">IF(TRIM(AO348)="Yes",5,0)</f>
        <v>5</v>
      </c>
      <c r="Z348" s="4" t="n">
        <f aca="false">IF(TRIM(AP348)="Yes",2.5,0)</f>
        <v>2.5</v>
      </c>
      <c r="AA348" s="4" t="n">
        <f aca="false">IF(TRIM(AQ348)="Yes",5,0)</f>
        <v>5</v>
      </c>
      <c r="AB348" s="4" t="n">
        <f aca="false">IF(OR(TRIM(AR348)="Yes",TRIM(AR348)="Not Applicable"),5,0)</f>
        <v>5</v>
      </c>
      <c r="AC348" s="4" t="n">
        <f aca="false">IF(TRIM(AS348)="Excellent",5,IF(TRIM(AS348)="Very Good",4,IF(TRIM(AS348)="Good",3,IF(TRIM(AS348)="Average",2,0))))</f>
        <v>3</v>
      </c>
      <c r="AD348" s="7" t="n">
        <f aca="false">IF(COUNT(S348:AC348)=0,"",SUM(S348:AC348))</f>
        <v>88</v>
      </c>
      <c r="AE348" s="7"/>
      <c r="AF348" s="8"/>
      <c r="AG348" s="5"/>
      <c r="AH348" s="4"/>
      <c r="AI348" s="4" t="s">
        <v>62</v>
      </c>
      <c r="AJ348" s="4" t="s">
        <v>82</v>
      </c>
      <c r="AK348" s="4" t="s">
        <v>62</v>
      </c>
      <c r="AL348" s="4" t="s">
        <v>63</v>
      </c>
      <c r="AM348" s="4" t="s">
        <v>62</v>
      </c>
      <c r="AN348" s="4" t="s">
        <v>64</v>
      </c>
      <c r="AO348" s="4" t="s">
        <v>62</v>
      </c>
      <c r="AP348" s="4" t="s">
        <v>62</v>
      </c>
      <c r="AQ348" s="4" t="s">
        <v>62</v>
      </c>
      <c r="AR348" s="4" t="s">
        <v>62</v>
      </c>
      <c r="AS348" s="4" t="s">
        <v>185</v>
      </c>
      <c r="AT348" s="4" t="n">
        <v>9</v>
      </c>
      <c r="AU348" s="4" t="s">
        <v>66</v>
      </c>
      <c r="AV348" s="4" t="s">
        <v>288</v>
      </c>
      <c r="AW348" s="4" t="s">
        <v>1081</v>
      </c>
      <c r="AX348" s="4" t="s">
        <v>368</v>
      </c>
      <c r="AY348" s="4" t="n">
        <v>8</v>
      </c>
      <c r="AZ348" s="4" t="s">
        <v>62</v>
      </c>
      <c r="BA348" s="4" t="s">
        <v>1080</v>
      </c>
      <c r="BB348" s="4" t="s">
        <v>760</v>
      </c>
      <c r="BC348" s="6" t="n">
        <v>0.5882</v>
      </c>
      <c r="BD348" s="4" t="n">
        <v>87</v>
      </c>
    </row>
    <row r="349" customFormat="false" ht="100.7" hidden="false" customHeight="false" outlineLevel="0" collapsed="false">
      <c r="A349" s="4" t="n">
        <v>147</v>
      </c>
      <c r="B349" s="4" t="s">
        <v>753</v>
      </c>
      <c r="C349" s="4" t="s">
        <v>57</v>
      </c>
      <c r="D349" s="4" t="s">
        <v>754</v>
      </c>
      <c r="E349" s="4" t="s">
        <v>755</v>
      </c>
      <c r="F349" s="4" t="n">
        <v>777</v>
      </c>
      <c r="G349" s="5" t="s">
        <v>1082</v>
      </c>
      <c r="H349" s="5" t="s">
        <v>238</v>
      </c>
      <c r="I349" s="4"/>
      <c r="J349" s="4"/>
      <c r="K349" s="4"/>
      <c r="L349" s="4" t="n">
        <v>20</v>
      </c>
      <c r="M349" s="4" t="n">
        <v>18</v>
      </c>
      <c r="N349" s="4" t="n">
        <v>2</v>
      </c>
      <c r="O349" s="4" t="n">
        <v>18</v>
      </c>
      <c r="P349" s="4" t="n">
        <v>0</v>
      </c>
      <c r="Q349" s="4" t="n">
        <v>5</v>
      </c>
      <c r="R349" s="6" t="n">
        <f aca="false">IF(N(L349)=0,0,O349/L349)</f>
        <v>0.9</v>
      </c>
      <c r="S349" s="4" t="n">
        <f aca="false">IF(R349="","",IF(R349&gt;=0.8,50,IF(R349&gt;=0.5,30,IF(R349&gt;=0.01,10,0))))</f>
        <v>50</v>
      </c>
      <c r="T349" s="4" t="n">
        <f aca="false">IF(TRIM(AI349)="Yes",2.5,0)</f>
        <v>2.5</v>
      </c>
      <c r="U349" s="4" t="n">
        <f aca="false">IF(TRIM(AJ349)="Yes",10,0)</f>
        <v>10</v>
      </c>
      <c r="V349" s="4" t="n">
        <f aca="false">IF(TRIM(AK349)="Yes",5,0)</f>
        <v>5</v>
      </c>
      <c r="W349" s="4" t="n">
        <f aca="false">IF(TRIM(AM349)="Yes",5,0)</f>
        <v>5</v>
      </c>
      <c r="X349" s="4" t="n">
        <f aca="false">IF(OR(TRIM(AN349)="Fully Available",TRIM(AN349)="Not Applicable"),5,IF(TRIM(AN349)="Partially Available",2.5,0))</f>
        <v>5</v>
      </c>
      <c r="Y349" s="4" t="n">
        <f aca="false">IF(TRIM(AO349)="Yes",5,0)</f>
        <v>5</v>
      </c>
      <c r="Z349" s="4" t="n">
        <f aca="false">IF(TRIM(AP349)="Yes",2.5,0)</f>
        <v>2.5</v>
      </c>
      <c r="AA349" s="4" t="n">
        <f aca="false">IF(TRIM(AQ349)="Yes",5,0)</f>
        <v>5</v>
      </c>
      <c r="AB349" s="4" t="n">
        <f aca="false">IF(OR(TRIM(AR349)="Yes",TRIM(AR349)="Not Applicable"),5,0)</f>
        <v>5</v>
      </c>
      <c r="AC349" s="4" t="n">
        <f aca="false">IF(TRIM(AS349)="Excellent",5,IF(TRIM(AS349)="Very Good",4,IF(TRIM(AS349)="Good",3,IF(TRIM(AS349)="Average",2,0))))</f>
        <v>5</v>
      </c>
      <c r="AD349" s="7" t="n">
        <f aca="false">IF(COUNT(S349:AC349)=0,"",SUM(S349:AC349))</f>
        <v>100</v>
      </c>
      <c r="AE349" s="7" t="n">
        <f aca="false">IF(COUNTIF($F$2:F349,F349)=1,IFERROR(AVERAGEIF($F:$F,F349,$AD:$AD),""),"")</f>
        <v>100</v>
      </c>
      <c r="AF349" s="8" t="str">
        <f aca="false">IF(AH349&lt;&gt;"",AH349,IF(AE349="","",IF(AE349&gt;=80,"Excellent",IF(AE349&gt;=70,"Very Good",IF(AE349&gt;=60,"Good",IF(AE349&gt;=50,"Average","Poor"))))))</f>
        <v>Excellent</v>
      </c>
      <c r="AG349" s="5"/>
      <c r="AH349" s="4"/>
      <c r="AI349" s="4" t="s">
        <v>62</v>
      </c>
      <c r="AJ349" s="4" t="s">
        <v>62</v>
      </c>
      <c r="AK349" s="4" t="s">
        <v>62</v>
      </c>
      <c r="AL349" s="4" t="s">
        <v>63</v>
      </c>
      <c r="AM349" s="4" t="s">
        <v>62</v>
      </c>
      <c r="AN349" s="4" t="s">
        <v>64</v>
      </c>
      <c r="AO349" s="4" t="s">
        <v>62</v>
      </c>
      <c r="AP349" s="4" t="s">
        <v>62</v>
      </c>
      <c r="AQ349" s="4" t="s">
        <v>62</v>
      </c>
      <c r="AR349" s="4" t="s">
        <v>73</v>
      </c>
      <c r="AS349" s="4" t="s">
        <v>65</v>
      </c>
      <c r="AT349" s="4" t="n">
        <v>10</v>
      </c>
      <c r="AU349" s="4" t="s">
        <v>66</v>
      </c>
      <c r="AV349" s="4" t="s">
        <v>244</v>
      </c>
      <c r="AW349" s="4" t="s">
        <v>1083</v>
      </c>
      <c r="AX349" s="4" t="s">
        <v>917</v>
      </c>
      <c r="AY349" s="4" t="n">
        <v>3</v>
      </c>
      <c r="AZ349" s="4" t="s">
        <v>62</v>
      </c>
      <c r="BA349" s="4" t="s">
        <v>1084</v>
      </c>
      <c r="BB349" s="4" t="s">
        <v>760</v>
      </c>
      <c r="BC349" s="6" t="n">
        <v>0.2778</v>
      </c>
      <c r="BD349" s="4" t="n">
        <v>82</v>
      </c>
    </row>
    <row r="350" customFormat="false" ht="157.45" hidden="false" customHeight="false" outlineLevel="0" collapsed="false">
      <c r="A350" s="4" t="n">
        <v>148</v>
      </c>
      <c r="B350" s="4" t="s">
        <v>753</v>
      </c>
      <c r="C350" s="4" t="s">
        <v>57</v>
      </c>
      <c r="D350" s="4" t="s">
        <v>754</v>
      </c>
      <c r="E350" s="4" t="s">
        <v>867</v>
      </c>
      <c r="F350" s="4" t="n">
        <v>5541</v>
      </c>
      <c r="G350" s="5" t="s">
        <v>1085</v>
      </c>
      <c r="H350" s="5" t="s">
        <v>78</v>
      </c>
      <c r="I350" s="4"/>
      <c r="J350" s="4"/>
      <c r="K350" s="4"/>
      <c r="L350" s="4" t="n">
        <v>20</v>
      </c>
      <c r="M350" s="4" t="n">
        <v>20</v>
      </c>
      <c r="N350" s="4" t="n">
        <v>0</v>
      </c>
      <c r="O350" s="4" t="n">
        <v>20</v>
      </c>
      <c r="P350" s="4" t="n">
        <v>0</v>
      </c>
      <c r="Q350" s="4" t="n">
        <v>7</v>
      </c>
      <c r="R350" s="6" t="n">
        <f aca="false">IF(N(L350)=0,0,O350/L350)</f>
        <v>1</v>
      </c>
      <c r="S350" s="4" t="n">
        <f aca="false">IF(R350="","",IF(R350&gt;=0.8,50,IF(R350&gt;=0.5,30,IF(R350&gt;=0.01,10,0))))</f>
        <v>50</v>
      </c>
      <c r="T350" s="4" t="n">
        <f aca="false">IF(TRIM(AI350)="Yes",2.5,0)</f>
        <v>2.5</v>
      </c>
      <c r="U350" s="4" t="n">
        <f aca="false">IF(TRIM(AJ350)="Yes",10,0)</f>
        <v>10</v>
      </c>
      <c r="V350" s="4" t="n">
        <f aca="false">IF(TRIM(AK350)="Yes",5,0)</f>
        <v>5</v>
      </c>
      <c r="W350" s="4" t="n">
        <f aca="false">IF(TRIM(AM350)="Yes",5,0)</f>
        <v>5</v>
      </c>
      <c r="X350" s="4" t="n">
        <f aca="false">IF(OR(TRIM(AN350)="Fully Available",TRIM(AN350)="Not Applicable"),5,IF(TRIM(AN350)="Partially Available",2.5,0))</f>
        <v>5</v>
      </c>
      <c r="Y350" s="4" t="n">
        <f aca="false">IF(TRIM(AO350)="Yes",5,0)</f>
        <v>5</v>
      </c>
      <c r="Z350" s="4" t="n">
        <f aca="false">IF(TRIM(AP350)="Yes",2.5,0)</f>
        <v>2.5</v>
      </c>
      <c r="AA350" s="4" t="n">
        <f aca="false">IF(TRIM(AQ350)="Yes",5,0)</f>
        <v>5</v>
      </c>
      <c r="AB350" s="4" t="n">
        <f aca="false">IF(OR(TRIM(AR350)="Yes",TRIM(AR350)="Not Applicable"),5,0)</f>
        <v>0</v>
      </c>
      <c r="AC350" s="4" t="n">
        <f aca="false">IF(TRIM(AS350)="Excellent",5,IF(TRIM(AS350)="Very Good",4,IF(TRIM(AS350)="Good",3,IF(TRIM(AS350)="Average",2,0))))</f>
        <v>4</v>
      </c>
      <c r="AD350" s="7" t="n">
        <f aca="false">IF(COUNT(S350:AC350)=0,"",SUM(S350:AC350))</f>
        <v>94</v>
      </c>
      <c r="AE350" s="7" t="n">
        <f aca="false">IF(COUNTIF($F$2:F350,F350)=1,IFERROR(AVERAGEIF($F:$F,F350,$AD:$AD),""),"")</f>
        <v>94</v>
      </c>
      <c r="AF350" s="8" t="str">
        <f aca="false">IF(AH350&lt;&gt;"",AH350,IF(AE350="","",IF(AE350&gt;=80,"Excellent",IF(AE350&gt;=70,"Very Good",IF(AE350&gt;=60,"Good",IF(AE350&gt;=50,"Average","Poor"))))))</f>
        <v>Excellent</v>
      </c>
      <c r="AG350" s="5"/>
      <c r="AH350" s="4"/>
      <c r="AI350" s="4" t="s">
        <v>62</v>
      </c>
      <c r="AJ350" s="4" t="s">
        <v>62</v>
      </c>
      <c r="AK350" s="4" t="s">
        <v>62</v>
      </c>
      <c r="AL350" s="4" t="s">
        <v>63</v>
      </c>
      <c r="AM350" s="4" t="s">
        <v>62</v>
      </c>
      <c r="AN350" s="4" t="s">
        <v>64</v>
      </c>
      <c r="AO350" s="4" t="s">
        <v>62</v>
      </c>
      <c r="AP350" s="4" t="s">
        <v>62</v>
      </c>
      <c r="AQ350" s="4" t="s">
        <v>62</v>
      </c>
      <c r="AR350" s="4" t="s">
        <v>82</v>
      </c>
      <c r="AS350" s="4" t="s">
        <v>74</v>
      </c>
      <c r="AT350" s="4" t="n">
        <v>6</v>
      </c>
      <c r="AU350" s="4" t="s">
        <v>66</v>
      </c>
      <c r="AV350" s="4" t="s">
        <v>128</v>
      </c>
      <c r="AW350" s="4" t="s">
        <v>1086</v>
      </c>
      <c r="AX350" s="4" t="s">
        <v>1087</v>
      </c>
      <c r="AY350" s="4" t="n">
        <v>1</v>
      </c>
      <c r="AZ350" s="4" t="s">
        <v>62</v>
      </c>
      <c r="BA350" s="4" t="s">
        <v>1088</v>
      </c>
      <c r="BB350" s="4" t="s">
        <v>760</v>
      </c>
      <c r="BC350" s="6" t="n">
        <v>0.35</v>
      </c>
      <c r="BD350" s="4" t="n">
        <v>90</v>
      </c>
    </row>
    <row r="351" customFormat="false" ht="29.85" hidden="false" customHeight="false" outlineLevel="0" collapsed="false">
      <c r="A351" s="4" t="n">
        <v>149</v>
      </c>
      <c r="B351" s="4" t="s">
        <v>753</v>
      </c>
      <c r="C351" s="4" t="s">
        <v>57</v>
      </c>
      <c r="D351" s="4" t="s">
        <v>754</v>
      </c>
      <c r="E351" s="4" t="s">
        <v>828</v>
      </c>
      <c r="F351" s="4" t="n">
        <v>4638</v>
      </c>
      <c r="G351" s="5" t="s">
        <v>1089</v>
      </c>
      <c r="H351" s="5" t="s">
        <v>78</v>
      </c>
      <c r="I351" s="4"/>
      <c r="J351" s="4"/>
      <c r="K351" s="4"/>
      <c r="L351" s="4" t="n">
        <v>20</v>
      </c>
      <c r="M351" s="4" t="n">
        <v>20</v>
      </c>
      <c r="N351" s="4" t="n">
        <v>0</v>
      </c>
      <c r="O351" s="4" t="n">
        <v>15</v>
      </c>
      <c r="P351" s="4" t="n">
        <v>5</v>
      </c>
      <c r="Q351" s="4" t="n">
        <v>5</v>
      </c>
      <c r="R351" s="6" t="n">
        <f aca="false">IF(N(L351)=0,0,O351/L351)</f>
        <v>0.75</v>
      </c>
      <c r="S351" s="4" t="n">
        <f aca="false">IF(R351="","",IF(R351&gt;=0.8,50,IF(R351&gt;=0.5,30,IF(R351&gt;=0.01,10,0))))</f>
        <v>30</v>
      </c>
      <c r="T351" s="4" t="n">
        <f aca="false">IF(TRIM(AI351)="Yes",2.5,0)</f>
        <v>2.5</v>
      </c>
      <c r="U351" s="4" t="n">
        <f aca="false">IF(TRIM(AJ351)="Yes",10,0)</f>
        <v>10</v>
      </c>
      <c r="V351" s="4" t="n">
        <f aca="false">IF(TRIM(AK351)="Yes",5,0)</f>
        <v>5</v>
      </c>
      <c r="W351" s="4" t="n">
        <f aca="false">IF(TRIM(AM351)="Yes",5,0)</f>
        <v>5</v>
      </c>
      <c r="X351" s="4" t="n">
        <f aca="false">IF(OR(TRIM(AN351)="Fully Available",TRIM(AN351)="Not Applicable"),5,IF(TRIM(AN351)="Partially Available",2.5,0))</f>
        <v>5</v>
      </c>
      <c r="Y351" s="4" t="n">
        <f aca="false">IF(TRIM(AO351)="Yes",5,0)</f>
        <v>0</v>
      </c>
      <c r="Z351" s="4" t="n">
        <f aca="false">IF(TRIM(AP351)="Yes",2.5,0)</f>
        <v>2.5</v>
      </c>
      <c r="AA351" s="4" t="n">
        <f aca="false">IF(TRIM(AQ351)="Yes",5,0)</f>
        <v>5</v>
      </c>
      <c r="AB351" s="4" t="n">
        <f aca="false">IF(OR(TRIM(AR351)="Yes",TRIM(AR351)="Not Applicable"),5,0)</f>
        <v>5</v>
      </c>
      <c r="AC351" s="4" t="n">
        <f aca="false">IF(TRIM(AS351)="Excellent",5,IF(TRIM(AS351)="Very Good",4,IF(TRIM(AS351)="Good",3,IF(TRIM(AS351)="Average",2,0))))</f>
        <v>3</v>
      </c>
      <c r="AD351" s="7" t="n">
        <f aca="false">IF(COUNT(S351:AC351)=0,"",SUM(S351:AC351))</f>
        <v>73</v>
      </c>
      <c r="AE351" s="7" t="n">
        <f aca="false">IF(COUNTIF($F$2:F351,F351)=1,IFERROR(AVERAGEIF($F:$F,F351,$AD:$AD),""),"")</f>
        <v>80.5</v>
      </c>
      <c r="AF351" s="8" t="str">
        <f aca="false">IF(AH351&lt;&gt;"",AH351,IF(AE351="","",IF(AE351&gt;=80,"Excellent",IF(AE351&gt;=70,"Very Good",IF(AE351&gt;=60,"Good",IF(AE351&gt;=50,"Average","Poor"))))))</f>
        <v>Excellent</v>
      </c>
      <c r="AG351" s="5"/>
      <c r="AH351" s="4"/>
      <c r="AI351" s="4" t="s">
        <v>62</v>
      </c>
      <c r="AJ351" s="4" t="s">
        <v>62</v>
      </c>
      <c r="AK351" s="4" t="s">
        <v>62</v>
      </c>
      <c r="AL351" s="4" t="s">
        <v>63</v>
      </c>
      <c r="AM351" s="4" t="s">
        <v>62</v>
      </c>
      <c r="AN351" s="4" t="s">
        <v>64</v>
      </c>
      <c r="AO351" s="4" t="s">
        <v>82</v>
      </c>
      <c r="AP351" s="4" t="s">
        <v>62</v>
      </c>
      <c r="AQ351" s="4" t="s">
        <v>62</v>
      </c>
      <c r="AR351" s="4" t="s">
        <v>73</v>
      </c>
      <c r="AS351" s="4" t="s">
        <v>185</v>
      </c>
      <c r="AT351" s="4" t="n">
        <v>6</v>
      </c>
      <c r="AU351" s="4" t="s">
        <v>66</v>
      </c>
      <c r="AV351" s="4" t="s">
        <v>151</v>
      </c>
      <c r="AW351" s="4" t="s">
        <v>1090</v>
      </c>
      <c r="AX351" s="4" t="s">
        <v>769</v>
      </c>
      <c r="AY351" s="4" t="n">
        <v>2</v>
      </c>
      <c r="AZ351" s="4" t="s">
        <v>62</v>
      </c>
      <c r="BA351" s="4" t="s">
        <v>1091</v>
      </c>
      <c r="BB351" s="4" t="s">
        <v>760</v>
      </c>
      <c r="BC351" s="6" t="n">
        <v>0.3333</v>
      </c>
      <c r="BD351" s="4" t="n">
        <v>75</v>
      </c>
    </row>
    <row r="352" customFormat="false" ht="44" hidden="false" customHeight="false" outlineLevel="0" collapsed="false">
      <c r="A352" s="4"/>
      <c r="B352" s="4" t="s">
        <v>753</v>
      </c>
      <c r="C352" s="4" t="s">
        <v>57</v>
      </c>
      <c r="D352" s="4" t="s">
        <v>754</v>
      </c>
      <c r="E352" s="4" t="s">
        <v>828</v>
      </c>
      <c r="F352" s="4" t="n">
        <v>4638</v>
      </c>
      <c r="G352" s="5" t="s">
        <v>1089</v>
      </c>
      <c r="H352" s="5" t="s">
        <v>177</v>
      </c>
      <c r="I352" s="4"/>
      <c r="J352" s="4"/>
      <c r="K352" s="4"/>
      <c r="L352" s="4" t="n">
        <v>20</v>
      </c>
      <c r="M352" s="4" t="n">
        <v>20</v>
      </c>
      <c r="N352" s="4" t="n">
        <v>0</v>
      </c>
      <c r="O352" s="4" t="n">
        <v>18</v>
      </c>
      <c r="P352" s="4" t="n">
        <v>2</v>
      </c>
      <c r="Q352" s="4" t="n">
        <v>7</v>
      </c>
      <c r="R352" s="6" t="n">
        <f aca="false">IF(N(L352)=0,0,O352/L352)</f>
        <v>0.9</v>
      </c>
      <c r="S352" s="4" t="n">
        <f aca="false">IF(R352="","",IF(R352&gt;=0.8,50,IF(R352&gt;=0.5,30,IF(R352&gt;=0.01,10,0))))</f>
        <v>50</v>
      </c>
      <c r="T352" s="4" t="n">
        <f aca="false">IF(TRIM(AI352)="Yes",2.5,0)</f>
        <v>2.5</v>
      </c>
      <c r="U352" s="4" t="n">
        <f aca="false">IF(TRIM(AJ352)="Yes",10,0)</f>
        <v>10</v>
      </c>
      <c r="V352" s="4" t="n">
        <f aca="false">IF(TRIM(AK352)="Yes",5,0)</f>
        <v>5</v>
      </c>
      <c r="W352" s="4" t="n">
        <f aca="false">IF(TRIM(AM352)="Yes",5,0)</f>
        <v>5</v>
      </c>
      <c r="X352" s="4" t="n">
        <f aca="false">IF(OR(TRIM(AN352)="Fully Available",TRIM(AN352)="Not Applicable"),5,IF(TRIM(AN352)="Partially Available",2.5,0))</f>
        <v>5</v>
      </c>
      <c r="Y352" s="4" t="n">
        <f aca="false">IF(TRIM(AO352)="Yes",5,0)</f>
        <v>0</v>
      </c>
      <c r="Z352" s="4" t="n">
        <f aca="false">IF(TRIM(AP352)="Yes",2.5,0)</f>
        <v>2.5</v>
      </c>
      <c r="AA352" s="4" t="n">
        <f aca="false">IF(TRIM(AQ352)="Yes",5,0)</f>
        <v>0</v>
      </c>
      <c r="AB352" s="4" t="n">
        <f aca="false">IF(OR(TRIM(AR352)="Yes",TRIM(AR352)="Not Applicable"),5,0)</f>
        <v>5</v>
      </c>
      <c r="AC352" s="4" t="n">
        <f aca="false">IF(TRIM(AS352)="Excellent",5,IF(TRIM(AS352)="Very Good",4,IF(TRIM(AS352)="Good",3,IF(TRIM(AS352)="Average",2,0))))</f>
        <v>3</v>
      </c>
      <c r="AD352" s="7" t="n">
        <f aca="false">IF(COUNT(S352:AC352)=0,"",SUM(S352:AC352))</f>
        <v>88</v>
      </c>
      <c r="AE352" s="7"/>
      <c r="AF352" s="8"/>
      <c r="AG352" s="5"/>
      <c r="AH352" s="4"/>
      <c r="AI352" s="4" t="s">
        <v>62</v>
      </c>
      <c r="AJ352" s="4" t="s">
        <v>62</v>
      </c>
      <c r="AK352" s="4" t="s">
        <v>62</v>
      </c>
      <c r="AL352" s="4" t="s">
        <v>63</v>
      </c>
      <c r="AM352" s="4" t="s">
        <v>62</v>
      </c>
      <c r="AN352" s="4" t="s">
        <v>64</v>
      </c>
      <c r="AO352" s="4" t="s">
        <v>82</v>
      </c>
      <c r="AP352" s="4" t="s">
        <v>62</v>
      </c>
      <c r="AQ352" s="4" t="s">
        <v>82</v>
      </c>
      <c r="AR352" s="4" t="s">
        <v>73</v>
      </c>
      <c r="AS352" s="4" t="s">
        <v>185</v>
      </c>
      <c r="AT352" s="4" t="n">
        <v>3</v>
      </c>
      <c r="AU352" s="4" t="s">
        <v>66</v>
      </c>
      <c r="AV352" s="4" t="s">
        <v>151</v>
      </c>
      <c r="AW352" s="4" t="s">
        <v>1092</v>
      </c>
      <c r="AX352" s="4" t="s">
        <v>1093</v>
      </c>
      <c r="AY352" s="4" t="n">
        <v>5</v>
      </c>
      <c r="AZ352" s="4" t="s">
        <v>62</v>
      </c>
      <c r="BA352" s="4" t="s">
        <v>1091</v>
      </c>
      <c r="BB352" s="4" t="s">
        <v>760</v>
      </c>
      <c r="BC352" s="6" t="n">
        <v>0.3889</v>
      </c>
      <c r="BD352" s="4" t="n">
        <v>75</v>
      </c>
    </row>
    <row r="353" customFormat="false" ht="58.2" hidden="false" customHeight="false" outlineLevel="0" collapsed="false">
      <c r="A353" s="4" t="n">
        <v>150</v>
      </c>
      <c r="B353" s="4" t="s">
        <v>753</v>
      </c>
      <c r="C353" s="4" t="s">
        <v>57</v>
      </c>
      <c r="D353" s="4" t="s">
        <v>754</v>
      </c>
      <c r="E353" s="4" t="s">
        <v>755</v>
      </c>
      <c r="F353" s="4" t="n">
        <v>261</v>
      </c>
      <c r="G353" s="5" t="s">
        <v>1094</v>
      </c>
      <c r="H353" s="5" t="s">
        <v>72</v>
      </c>
      <c r="I353" s="4"/>
      <c r="J353" s="4"/>
      <c r="K353" s="4"/>
      <c r="L353" s="4" t="n">
        <v>20</v>
      </c>
      <c r="M353" s="4" t="n">
        <v>19</v>
      </c>
      <c r="N353" s="4" t="n">
        <v>1</v>
      </c>
      <c r="O353" s="4" t="n">
        <v>15</v>
      </c>
      <c r="P353" s="4" t="n">
        <v>4</v>
      </c>
      <c r="Q353" s="4" t="n">
        <v>7</v>
      </c>
      <c r="R353" s="6" t="n">
        <f aca="false">IF(N(L353)=0,0,O353/L353)</f>
        <v>0.75</v>
      </c>
      <c r="S353" s="4" t="n">
        <f aca="false">IF(R353="","",IF(R353&gt;=0.8,50,IF(R353&gt;=0.5,30,IF(R353&gt;=0.01,10,0))))</f>
        <v>30</v>
      </c>
      <c r="T353" s="4" t="n">
        <f aca="false">IF(TRIM(AI353)="Yes",2.5,0)</f>
        <v>2.5</v>
      </c>
      <c r="U353" s="4" t="n">
        <f aca="false">IF(TRIM(AJ353)="Yes",10,0)</f>
        <v>10</v>
      </c>
      <c r="V353" s="4" t="n">
        <f aca="false">IF(TRIM(AK353)="Yes",5,0)</f>
        <v>5</v>
      </c>
      <c r="W353" s="4" t="n">
        <f aca="false">IF(TRIM(AM353)="Yes",5,0)</f>
        <v>5</v>
      </c>
      <c r="X353" s="4" t="n">
        <f aca="false">IF(OR(TRIM(AN353)="Fully Available",TRIM(AN353)="Not Applicable"),5,IF(TRIM(AN353)="Partially Available",2.5,0))</f>
        <v>5</v>
      </c>
      <c r="Y353" s="4" t="n">
        <f aca="false">IF(TRIM(AO353)="Yes",5,0)</f>
        <v>5</v>
      </c>
      <c r="Z353" s="4" t="n">
        <f aca="false">IF(TRIM(AP353)="Yes",2.5,0)</f>
        <v>2.5</v>
      </c>
      <c r="AA353" s="4" t="n">
        <f aca="false">IF(TRIM(AQ353)="Yes",5,0)</f>
        <v>5</v>
      </c>
      <c r="AB353" s="4" t="n">
        <f aca="false">IF(OR(TRIM(AR353)="Yes",TRIM(AR353)="Not Applicable"),5,0)</f>
        <v>5</v>
      </c>
      <c r="AC353" s="4" t="n">
        <f aca="false">IF(TRIM(AS353)="Excellent",5,IF(TRIM(AS353)="Very Good",4,IF(TRIM(AS353)="Good",3,IF(TRIM(AS353)="Average",2,0))))</f>
        <v>5</v>
      </c>
      <c r="AD353" s="7" t="n">
        <f aca="false">IF(COUNT(S353:AC353)=0,"",SUM(S353:AC353))</f>
        <v>80</v>
      </c>
      <c r="AE353" s="7" t="n">
        <f aca="false">IF(COUNTIF($F$2:F353,F353)=1,IFERROR(AVERAGEIF($F:$F,F353,$AD:$AD),""),"")</f>
        <v>80</v>
      </c>
      <c r="AF353" s="8" t="str">
        <f aca="false">IF(AH353&lt;&gt;"",AH353,IF(AE353="","",IF(AE353&gt;=80,"Excellent",IF(AE353&gt;=70,"Very Good",IF(AE353&gt;=60,"Good",IF(AE353&gt;=50,"Average","Poor"))))))</f>
        <v>Excellent</v>
      </c>
      <c r="AG353" s="5"/>
      <c r="AH353" s="4"/>
      <c r="AI353" s="4" t="s">
        <v>62</v>
      </c>
      <c r="AJ353" s="4" t="s">
        <v>62</v>
      </c>
      <c r="AK353" s="4" t="s">
        <v>62</v>
      </c>
      <c r="AL353" s="4" t="s">
        <v>63</v>
      </c>
      <c r="AM353" s="4" t="s">
        <v>62</v>
      </c>
      <c r="AN353" s="4" t="s">
        <v>64</v>
      </c>
      <c r="AO353" s="4" t="s">
        <v>62</v>
      </c>
      <c r="AP353" s="4" t="s">
        <v>62</v>
      </c>
      <c r="AQ353" s="4" t="s">
        <v>62</v>
      </c>
      <c r="AR353" s="4" t="s">
        <v>73</v>
      </c>
      <c r="AS353" s="4" t="s">
        <v>65</v>
      </c>
      <c r="AT353" s="4" t="n">
        <v>9</v>
      </c>
      <c r="AU353" s="4" t="s">
        <v>66</v>
      </c>
      <c r="AV353" s="4" t="s">
        <v>208</v>
      </c>
      <c r="AW353" s="4" t="s">
        <v>1095</v>
      </c>
      <c r="AX353" s="4" t="s">
        <v>1096</v>
      </c>
      <c r="AY353" s="4" t="n">
        <v>4</v>
      </c>
      <c r="AZ353" s="4" t="s">
        <v>62</v>
      </c>
      <c r="BA353" s="4" t="s">
        <v>1097</v>
      </c>
      <c r="BB353" s="4" t="s">
        <v>760</v>
      </c>
      <c r="BC353" s="6" t="n">
        <v>0.4667</v>
      </c>
      <c r="BD353" s="4" t="n">
        <v>83</v>
      </c>
    </row>
    <row r="354" customFormat="false" ht="157.45" hidden="false" customHeight="false" outlineLevel="0" collapsed="false">
      <c r="A354" s="4" t="n">
        <v>151</v>
      </c>
      <c r="B354" s="4" t="s">
        <v>753</v>
      </c>
      <c r="C354" s="4" t="s">
        <v>57</v>
      </c>
      <c r="D354" s="4" t="s">
        <v>754</v>
      </c>
      <c r="E354" s="4" t="s">
        <v>964</v>
      </c>
      <c r="F354" s="4" t="n">
        <v>1035</v>
      </c>
      <c r="G354" s="5" t="s">
        <v>1098</v>
      </c>
      <c r="H354" s="5" t="s">
        <v>265</v>
      </c>
      <c r="I354" s="4"/>
      <c r="J354" s="4"/>
      <c r="K354" s="4"/>
      <c r="L354" s="4" t="n">
        <v>20</v>
      </c>
      <c r="M354" s="4" t="n">
        <v>20</v>
      </c>
      <c r="N354" s="4" t="n">
        <v>0</v>
      </c>
      <c r="O354" s="4" t="n">
        <v>17</v>
      </c>
      <c r="P354" s="4" t="n">
        <v>3</v>
      </c>
      <c r="Q354" s="4" t="n">
        <v>7</v>
      </c>
      <c r="R354" s="6" t="n">
        <f aca="false">IF(N(L354)=0,0,O354/L354)</f>
        <v>0.85</v>
      </c>
      <c r="S354" s="4" t="n">
        <f aca="false">IF(R354="","",IF(R354&gt;=0.8,50,IF(R354&gt;=0.5,30,IF(R354&gt;=0.01,10,0))))</f>
        <v>50</v>
      </c>
      <c r="T354" s="4" t="n">
        <f aca="false">IF(TRIM(AI354)="Yes",2.5,0)</f>
        <v>2.5</v>
      </c>
      <c r="U354" s="4" t="n">
        <f aca="false">IF(TRIM(AJ354)="Yes",10,0)</f>
        <v>10</v>
      </c>
      <c r="V354" s="4" t="n">
        <f aca="false">IF(TRIM(AK354)="Yes",5,0)</f>
        <v>5</v>
      </c>
      <c r="W354" s="4" t="n">
        <f aca="false">IF(TRIM(AM354)="Yes",5,0)</f>
        <v>5</v>
      </c>
      <c r="X354" s="4" t="n">
        <f aca="false">IF(OR(TRIM(AN354)="Fully Available",TRIM(AN354)="Not Applicable"),5,IF(TRIM(AN354)="Partially Available",2.5,0))</f>
        <v>5</v>
      </c>
      <c r="Y354" s="4" t="n">
        <f aca="false">IF(TRIM(AO354)="Yes",5,0)</f>
        <v>5</v>
      </c>
      <c r="Z354" s="4" t="n">
        <f aca="false">IF(TRIM(AP354)="Yes",2.5,0)</f>
        <v>2.5</v>
      </c>
      <c r="AA354" s="4" t="n">
        <f aca="false">IF(TRIM(AQ354)="Yes",5,0)</f>
        <v>5</v>
      </c>
      <c r="AB354" s="4" t="n">
        <f aca="false">IF(OR(TRIM(AR354)="Yes",TRIM(AR354)="Not Applicable"),5,0)</f>
        <v>5</v>
      </c>
      <c r="AC354" s="4" t="n">
        <f aca="false">IF(TRIM(AS354)="Excellent",5,IF(TRIM(AS354)="Very Good",4,IF(TRIM(AS354)="Good",3,IF(TRIM(AS354)="Average",2,0))))</f>
        <v>4</v>
      </c>
      <c r="AD354" s="7" t="n">
        <f aca="false">IF(COUNT(S354:AC354)=0,"",SUM(S354:AC354))</f>
        <v>99</v>
      </c>
      <c r="AE354" s="7" t="n">
        <f aca="false">IF(COUNTIF($F$2:F354,F354)=1,IFERROR(AVERAGEIF($F:$F,F354,$AD:$AD),""),"")</f>
        <v>99</v>
      </c>
      <c r="AF354" s="8" t="str">
        <f aca="false">IF(AH354&lt;&gt;"",AH354,IF(AE354="","",IF(AE354&gt;=80,"Excellent",IF(AE354&gt;=70,"Very Good",IF(AE354&gt;=60,"Good",IF(AE354&gt;=50,"Average","Poor"))))))</f>
        <v>Excellent</v>
      </c>
      <c r="AG354" s="5"/>
      <c r="AH354" s="4"/>
      <c r="AI354" s="4" t="s">
        <v>62</v>
      </c>
      <c r="AJ354" s="4" t="s">
        <v>62</v>
      </c>
      <c r="AK354" s="4" t="s">
        <v>62</v>
      </c>
      <c r="AL354" s="4" t="s">
        <v>63</v>
      </c>
      <c r="AM354" s="4" t="s">
        <v>62</v>
      </c>
      <c r="AN354" s="4" t="s">
        <v>64</v>
      </c>
      <c r="AO354" s="4" t="s">
        <v>62</v>
      </c>
      <c r="AP354" s="4" t="s">
        <v>62</v>
      </c>
      <c r="AQ354" s="4" t="s">
        <v>62</v>
      </c>
      <c r="AR354" s="4" t="s">
        <v>73</v>
      </c>
      <c r="AS354" s="4" t="s">
        <v>74</v>
      </c>
      <c r="AT354" s="4" t="n">
        <v>9</v>
      </c>
      <c r="AU354" s="4" t="s">
        <v>66</v>
      </c>
      <c r="AV354" s="4" t="s">
        <v>91</v>
      </c>
      <c r="AW354" s="4" t="s">
        <v>1099</v>
      </c>
      <c r="AX354" s="4" t="s">
        <v>1100</v>
      </c>
      <c r="AY354" s="4" t="n">
        <v>10</v>
      </c>
      <c r="AZ354" s="4" t="s">
        <v>62</v>
      </c>
      <c r="BA354" s="4" t="s">
        <v>1101</v>
      </c>
      <c r="BB354" s="4" t="s">
        <v>760</v>
      </c>
      <c r="BC354" s="6" t="n">
        <v>0.4118</v>
      </c>
      <c r="BD354" s="4" t="n">
        <v>86</v>
      </c>
    </row>
    <row r="355" customFormat="false" ht="285.05" hidden="false" customHeight="false" outlineLevel="0" collapsed="false">
      <c r="A355" s="4" t="n">
        <v>152</v>
      </c>
      <c r="B355" s="4" t="s">
        <v>753</v>
      </c>
      <c r="C355" s="4" t="s">
        <v>57</v>
      </c>
      <c r="D355" s="4" t="s">
        <v>754</v>
      </c>
      <c r="E355" s="4" t="s">
        <v>828</v>
      </c>
      <c r="F355" s="4" t="n">
        <v>1655</v>
      </c>
      <c r="G355" s="5" t="s">
        <v>1102</v>
      </c>
      <c r="H355" s="5" t="s">
        <v>108</v>
      </c>
      <c r="I355" s="4"/>
      <c r="J355" s="4"/>
      <c r="K355" s="4"/>
      <c r="L355" s="4" t="n">
        <v>20</v>
      </c>
      <c r="M355" s="4" t="n">
        <v>20</v>
      </c>
      <c r="N355" s="4" t="n">
        <v>0</v>
      </c>
      <c r="O355" s="4" t="n">
        <v>8</v>
      </c>
      <c r="P355" s="4" t="n">
        <v>12</v>
      </c>
      <c r="Q355" s="4" t="n">
        <v>5</v>
      </c>
      <c r="R355" s="6" t="n">
        <f aca="false">IF(N(L355)=0,0,O355/L355)</f>
        <v>0.4</v>
      </c>
      <c r="S355" s="4" t="n">
        <f aca="false">IF(R355="","",IF(R355&gt;=0.8,50,IF(R355&gt;=0.5,30,IF(R355&gt;=0.01,10,0))))</f>
        <v>10</v>
      </c>
      <c r="T355" s="4" t="n">
        <f aca="false">IF(TRIM(AI355)="Yes",2.5,0)</f>
        <v>0</v>
      </c>
      <c r="U355" s="4" t="n">
        <f aca="false">IF(TRIM(AJ355)="Yes",10,0)</f>
        <v>10</v>
      </c>
      <c r="V355" s="4" t="n">
        <f aca="false">IF(TRIM(AK355)="Yes",5,0)</f>
        <v>5</v>
      </c>
      <c r="W355" s="4" t="n">
        <f aca="false">IF(TRIM(AM355)="Yes",5,0)</f>
        <v>5</v>
      </c>
      <c r="X355" s="4" t="n">
        <f aca="false">IF(OR(TRIM(AN355)="Fully Available",TRIM(AN355)="Not Applicable"),5,IF(TRIM(AN355)="Partially Available",2.5,0))</f>
        <v>5</v>
      </c>
      <c r="Y355" s="4" t="n">
        <f aca="false">IF(TRIM(AO355)="Yes",5,0)</f>
        <v>5</v>
      </c>
      <c r="Z355" s="4" t="n">
        <f aca="false">IF(TRIM(AP355)="Yes",2.5,0)</f>
        <v>2.5</v>
      </c>
      <c r="AA355" s="4" t="n">
        <f aca="false">IF(TRIM(AQ355)="Yes",5,0)</f>
        <v>5</v>
      </c>
      <c r="AB355" s="4" t="n">
        <f aca="false">IF(OR(TRIM(AR355)="Yes",TRIM(AR355)="Not Applicable"),5,0)</f>
        <v>5</v>
      </c>
      <c r="AC355" s="4" t="n">
        <f aca="false">IF(TRIM(AS355)="Excellent",5,IF(TRIM(AS355)="Very Good",4,IF(TRIM(AS355)="Good",3,IF(TRIM(AS355)="Average",2,0))))</f>
        <v>4</v>
      </c>
      <c r="AD355" s="7" t="n">
        <f aca="false">IF(COUNT(S355:AC355)=0,"",SUM(S355:AC355))</f>
        <v>56.5</v>
      </c>
      <c r="AE355" s="7" t="n">
        <f aca="false">IF(COUNTIF($F$2:F355,F355)=1,IFERROR(AVERAGEIF($F:$F,F355,$AD:$AD),""),"")</f>
        <v>76.5</v>
      </c>
      <c r="AF355" s="8" t="str">
        <f aca="false">IF(AH355&lt;&gt;"",AH355,IF(AE355="","",IF(AE355&gt;=80,"Excellent",IF(AE355&gt;=70,"Very Good",IF(AE355&gt;=60,"Good",IF(AE355&gt;=50,"Average","Poor"))))))</f>
        <v>Very Good</v>
      </c>
      <c r="AG355" s="5"/>
      <c r="AH355" s="4"/>
      <c r="AI355" s="4" t="s">
        <v>82</v>
      </c>
      <c r="AJ355" s="4" t="s">
        <v>62</v>
      </c>
      <c r="AK355" s="4" t="s">
        <v>62</v>
      </c>
      <c r="AL355" s="4" t="s">
        <v>63</v>
      </c>
      <c r="AM355" s="4" t="s">
        <v>62</v>
      </c>
      <c r="AN355" s="4" t="s">
        <v>64</v>
      </c>
      <c r="AO355" s="4" t="s">
        <v>62</v>
      </c>
      <c r="AP355" s="4" t="s">
        <v>62</v>
      </c>
      <c r="AQ355" s="4" t="s">
        <v>62</v>
      </c>
      <c r="AR355" s="4" t="s">
        <v>62</v>
      </c>
      <c r="AS355" s="4" t="s">
        <v>74</v>
      </c>
      <c r="AT355" s="4" t="n">
        <v>2</v>
      </c>
      <c r="AU355" s="4" t="s">
        <v>66</v>
      </c>
      <c r="AV355" s="4" t="s">
        <v>350</v>
      </c>
      <c r="AW355" s="4" t="s">
        <v>1103</v>
      </c>
      <c r="AX355" s="4" t="s">
        <v>1104</v>
      </c>
      <c r="AY355" s="4" t="n">
        <v>26</v>
      </c>
      <c r="AZ355" s="4" t="s">
        <v>62</v>
      </c>
      <c r="BA355" s="4" t="s">
        <v>1105</v>
      </c>
      <c r="BB355" s="4" t="s">
        <v>760</v>
      </c>
      <c r="BC355" s="6" t="n">
        <v>0.625</v>
      </c>
      <c r="BD355" s="4" t="n">
        <v>88</v>
      </c>
    </row>
    <row r="356" customFormat="false" ht="285.05" hidden="false" customHeight="false" outlineLevel="0" collapsed="false">
      <c r="A356" s="4"/>
      <c r="B356" s="4" t="s">
        <v>753</v>
      </c>
      <c r="C356" s="4" t="s">
        <v>57</v>
      </c>
      <c r="D356" s="4" t="s">
        <v>754</v>
      </c>
      <c r="E356" s="4" t="s">
        <v>828</v>
      </c>
      <c r="F356" s="4" t="n">
        <v>1655</v>
      </c>
      <c r="G356" s="5" t="s">
        <v>1102</v>
      </c>
      <c r="H356" s="5" t="s">
        <v>662</v>
      </c>
      <c r="I356" s="4"/>
      <c r="J356" s="4"/>
      <c r="K356" s="4"/>
      <c r="L356" s="4" t="n">
        <v>20</v>
      </c>
      <c r="M356" s="4" t="n">
        <v>20</v>
      </c>
      <c r="N356" s="4" t="n">
        <v>0</v>
      </c>
      <c r="O356" s="4" t="n">
        <v>16</v>
      </c>
      <c r="P356" s="4" t="n">
        <v>4</v>
      </c>
      <c r="Q356" s="4" t="n">
        <v>8</v>
      </c>
      <c r="R356" s="6" t="n">
        <f aca="false">IF(N(L356)=0,0,O356/L356)</f>
        <v>0.8</v>
      </c>
      <c r="S356" s="4" t="n">
        <f aca="false">IF(R356="","",IF(R356&gt;=0.8,50,IF(R356&gt;=0.5,30,IF(R356&gt;=0.01,10,0))))</f>
        <v>50</v>
      </c>
      <c r="T356" s="4" t="n">
        <f aca="false">IF(TRIM(AI356)="Yes",2.5,0)</f>
        <v>0</v>
      </c>
      <c r="U356" s="4" t="n">
        <f aca="false">IF(TRIM(AJ356)="Yes",10,0)</f>
        <v>10</v>
      </c>
      <c r="V356" s="4" t="n">
        <f aca="false">IF(TRIM(AK356)="Yes",5,0)</f>
        <v>5</v>
      </c>
      <c r="W356" s="4" t="n">
        <f aca="false">IF(TRIM(AM356)="Yes",5,0)</f>
        <v>5</v>
      </c>
      <c r="X356" s="4" t="n">
        <f aca="false">IF(OR(TRIM(AN356)="Fully Available",TRIM(AN356)="Not Applicable"),5,IF(TRIM(AN356)="Partially Available",2.5,0))</f>
        <v>5</v>
      </c>
      <c r="Y356" s="4" t="n">
        <f aca="false">IF(TRIM(AO356)="Yes",5,0)</f>
        <v>5</v>
      </c>
      <c r="Z356" s="4" t="n">
        <f aca="false">IF(TRIM(AP356)="Yes",2.5,0)</f>
        <v>2.5</v>
      </c>
      <c r="AA356" s="4" t="n">
        <f aca="false">IF(TRIM(AQ356)="Yes",5,0)</f>
        <v>5</v>
      </c>
      <c r="AB356" s="4" t="n">
        <f aca="false">IF(OR(TRIM(AR356)="Yes",TRIM(AR356)="Not Applicable"),5,0)</f>
        <v>5</v>
      </c>
      <c r="AC356" s="4" t="n">
        <f aca="false">IF(TRIM(AS356)="Excellent",5,IF(TRIM(AS356)="Very Good",4,IF(TRIM(AS356)="Good",3,IF(TRIM(AS356)="Average",2,0))))</f>
        <v>4</v>
      </c>
      <c r="AD356" s="7" t="n">
        <f aca="false">IF(COUNT(S356:AC356)=0,"",SUM(S356:AC356))</f>
        <v>96.5</v>
      </c>
      <c r="AE356" s="7"/>
      <c r="AF356" s="8"/>
      <c r="AG356" s="5"/>
      <c r="AH356" s="4"/>
      <c r="AI356" s="4" t="s">
        <v>82</v>
      </c>
      <c r="AJ356" s="4" t="s">
        <v>62</v>
      </c>
      <c r="AK356" s="4" t="s">
        <v>62</v>
      </c>
      <c r="AL356" s="4" t="s">
        <v>63</v>
      </c>
      <c r="AM356" s="4" t="s">
        <v>62</v>
      </c>
      <c r="AN356" s="4" t="s">
        <v>64</v>
      </c>
      <c r="AO356" s="4" t="s">
        <v>62</v>
      </c>
      <c r="AP356" s="4" t="s">
        <v>62</v>
      </c>
      <c r="AQ356" s="4" t="s">
        <v>62</v>
      </c>
      <c r="AR356" s="4" t="s">
        <v>62</v>
      </c>
      <c r="AS356" s="4" t="s">
        <v>74</v>
      </c>
      <c r="AT356" s="4" t="n">
        <v>10</v>
      </c>
      <c r="AU356" s="4" t="s">
        <v>66</v>
      </c>
      <c r="AV356" s="4" t="s">
        <v>350</v>
      </c>
      <c r="AW356" s="4" t="s">
        <v>1106</v>
      </c>
      <c r="AX356" s="4" t="s">
        <v>1107</v>
      </c>
      <c r="AY356" s="4" t="n">
        <v>14</v>
      </c>
      <c r="AZ356" s="4" t="s">
        <v>62</v>
      </c>
      <c r="BA356" s="4" t="s">
        <v>1105</v>
      </c>
      <c r="BB356" s="4" t="s">
        <v>760</v>
      </c>
      <c r="BC356" s="6" t="n">
        <v>0.5</v>
      </c>
      <c r="BD356" s="4" t="n">
        <v>88</v>
      </c>
    </row>
    <row r="357" customFormat="false" ht="242.5" hidden="false" customHeight="false" outlineLevel="0" collapsed="false">
      <c r="A357" s="4" t="n">
        <v>153</v>
      </c>
      <c r="B357" s="4" t="s">
        <v>753</v>
      </c>
      <c r="C357" s="4" t="s">
        <v>57</v>
      </c>
      <c r="D357" s="4" t="s">
        <v>754</v>
      </c>
      <c r="E357" s="4" t="s">
        <v>810</v>
      </c>
      <c r="F357" s="4" t="n">
        <v>474</v>
      </c>
      <c r="G357" s="5" t="s">
        <v>1108</v>
      </c>
      <c r="H357" s="5" t="s">
        <v>812</v>
      </c>
      <c r="I357" s="4"/>
      <c r="J357" s="4"/>
      <c r="K357" s="4"/>
      <c r="L357" s="4" t="n">
        <v>40</v>
      </c>
      <c r="M357" s="4" t="n">
        <v>40</v>
      </c>
      <c r="N357" s="4" t="n">
        <v>0</v>
      </c>
      <c r="O357" s="4" t="n">
        <v>38</v>
      </c>
      <c r="P357" s="4" t="n">
        <v>2</v>
      </c>
      <c r="Q357" s="4" t="n">
        <v>10</v>
      </c>
      <c r="R357" s="6" t="n">
        <f aca="false">IF(N(L357)=0,0,O357/L357)</f>
        <v>0.95</v>
      </c>
      <c r="S357" s="4" t="n">
        <f aca="false">IF(R357="","",IF(R357&gt;=0.8,50,IF(R357&gt;=0.5,30,IF(R357&gt;=0.01,10,0))))</f>
        <v>50</v>
      </c>
      <c r="T357" s="4" t="n">
        <f aca="false">IF(TRIM(AI357)="Yes",2.5,0)</f>
        <v>2.5</v>
      </c>
      <c r="U357" s="4" t="n">
        <f aca="false">IF(TRIM(AJ357)="Yes",10,0)</f>
        <v>10</v>
      </c>
      <c r="V357" s="4" t="n">
        <f aca="false">IF(TRIM(AK357)="Yes",5,0)</f>
        <v>5</v>
      </c>
      <c r="W357" s="4" t="n">
        <f aca="false">IF(TRIM(AM357)="Yes",5,0)</f>
        <v>5</v>
      </c>
      <c r="X357" s="4" t="n">
        <f aca="false">IF(OR(TRIM(AN357)="Fully Available",TRIM(AN357)="Not Applicable"),5,IF(TRIM(AN357)="Partially Available",2.5,0))</f>
        <v>5</v>
      </c>
      <c r="Y357" s="4" t="n">
        <f aca="false">IF(TRIM(AO357)="Yes",5,0)</f>
        <v>5</v>
      </c>
      <c r="Z357" s="4" t="n">
        <f aca="false">IF(TRIM(AP357)="Yes",2.5,0)</f>
        <v>2.5</v>
      </c>
      <c r="AA357" s="4" t="n">
        <f aca="false">IF(TRIM(AQ357)="Yes",5,0)</f>
        <v>5</v>
      </c>
      <c r="AB357" s="4" t="n">
        <f aca="false">IF(OR(TRIM(AR357)="Yes",TRIM(AR357)="Not Applicable"),5,0)</f>
        <v>5</v>
      </c>
      <c r="AC357" s="4" t="n">
        <f aca="false">IF(TRIM(AS357)="Excellent",5,IF(TRIM(AS357)="Very Good",4,IF(TRIM(AS357)="Good",3,IF(TRIM(AS357)="Average",2,0))))</f>
        <v>5</v>
      </c>
      <c r="AD357" s="7" t="n">
        <f aca="false">IF(COUNT(S357:AC357)=0,"",SUM(S357:AC357))</f>
        <v>100</v>
      </c>
      <c r="AE357" s="7" t="n">
        <f aca="false">IF(COUNTIF($F$2:F357,F357)=1,IFERROR(AVERAGEIF($F:$F,F357,$AD:$AD),""),"")</f>
        <v>100</v>
      </c>
      <c r="AF357" s="8" t="str">
        <f aca="false">IF(AH357&lt;&gt;"",AH357,IF(AE357="","",IF(AE357&gt;=80,"Excellent",IF(AE357&gt;=70,"Very Good",IF(AE357&gt;=60,"Good",IF(AE357&gt;=50,"Average","Poor"))))))</f>
        <v>Excellent</v>
      </c>
      <c r="AG357" s="5"/>
      <c r="AH357" s="4"/>
      <c r="AI357" s="4" t="s">
        <v>62</v>
      </c>
      <c r="AJ357" s="4" t="s">
        <v>62</v>
      </c>
      <c r="AK357" s="4" t="s">
        <v>62</v>
      </c>
      <c r="AL357" s="4" t="s">
        <v>63</v>
      </c>
      <c r="AM357" s="4" t="s">
        <v>62</v>
      </c>
      <c r="AN357" s="4" t="s">
        <v>64</v>
      </c>
      <c r="AO357" s="4" t="s">
        <v>62</v>
      </c>
      <c r="AP357" s="4" t="s">
        <v>62</v>
      </c>
      <c r="AQ357" s="4" t="s">
        <v>62</v>
      </c>
      <c r="AR357" s="4" t="s">
        <v>62</v>
      </c>
      <c r="AS357" s="4" t="s">
        <v>65</v>
      </c>
      <c r="AT357" s="4" t="n">
        <v>8</v>
      </c>
      <c r="AU357" s="4" t="s">
        <v>112</v>
      </c>
      <c r="AV357" s="4" t="s">
        <v>128</v>
      </c>
      <c r="AW357" s="4" t="s">
        <v>1109</v>
      </c>
      <c r="AX357" s="4" t="s">
        <v>1110</v>
      </c>
      <c r="AY357" s="4" t="n">
        <v>9</v>
      </c>
      <c r="AZ357" s="4" t="s">
        <v>62</v>
      </c>
      <c r="BA357" s="4" t="s">
        <v>1111</v>
      </c>
      <c r="BB357" s="4" t="s">
        <v>760</v>
      </c>
      <c r="BC357" s="6" t="n">
        <v>0.2632</v>
      </c>
      <c r="BD357" s="4" t="n">
        <v>98</v>
      </c>
    </row>
    <row r="358" customFormat="false" ht="242.5" hidden="false" customHeight="false" outlineLevel="0" collapsed="false">
      <c r="A358" s="4"/>
      <c r="B358" s="4" t="s">
        <v>753</v>
      </c>
      <c r="C358" s="4" t="s">
        <v>57</v>
      </c>
      <c r="D358" s="4" t="s">
        <v>754</v>
      </c>
      <c r="E358" s="4" t="s">
        <v>810</v>
      </c>
      <c r="F358" s="4" t="n">
        <v>474</v>
      </c>
      <c r="G358" s="5" t="s">
        <v>1108</v>
      </c>
      <c r="H358" s="5" t="s">
        <v>190</v>
      </c>
      <c r="I358" s="4"/>
      <c r="J358" s="4"/>
      <c r="K358" s="4"/>
      <c r="L358" s="4" t="n">
        <v>20</v>
      </c>
      <c r="M358" s="4" t="n">
        <v>20</v>
      </c>
      <c r="N358" s="4" t="n">
        <v>0</v>
      </c>
      <c r="O358" s="4" t="n">
        <v>17</v>
      </c>
      <c r="P358" s="4" t="n">
        <v>3</v>
      </c>
      <c r="Q358" s="4" t="n">
        <v>8</v>
      </c>
      <c r="R358" s="6" t="n">
        <f aca="false">IF(N(L358)=0,0,O358/L358)</f>
        <v>0.85</v>
      </c>
      <c r="S358" s="4" t="n">
        <f aca="false">IF(R358="","",IF(R358&gt;=0.8,50,IF(R358&gt;=0.5,30,IF(R358&gt;=0.01,10,0))))</f>
        <v>50</v>
      </c>
      <c r="T358" s="4" t="n">
        <f aca="false">IF(TRIM(AI358)="Yes",2.5,0)</f>
        <v>2.5</v>
      </c>
      <c r="U358" s="4" t="n">
        <f aca="false">IF(TRIM(AJ358)="Yes",10,0)</f>
        <v>10</v>
      </c>
      <c r="V358" s="4" t="n">
        <f aca="false">IF(TRIM(AK358)="Yes",5,0)</f>
        <v>5</v>
      </c>
      <c r="W358" s="4" t="n">
        <f aca="false">IF(TRIM(AM358)="Yes",5,0)</f>
        <v>5</v>
      </c>
      <c r="X358" s="4" t="n">
        <f aca="false">IF(OR(TRIM(AN358)="Fully Available",TRIM(AN358)="Not Applicable"),5,IF(TRIM(AN358)="Partially Available",2.5,0))</f>
        <v>5</v>
      </c>
      <c r="Y358" s="4" t="n">
        <f aca="false">IF(TRIM(AO358)="Yes",5,0)</f>
        <v>5</v>
      </c>
      <c r="Z358" s="4" t="n">
        <f aca="false">IF(TRIM(AP358)="Yes",2.5,0)</f>
        <v>2.5</v>
      </c>
      <c r="AA358" s="4" t="n">
        <f aca="false">IF(TRIM(AQ358)="Yes",5,0)</f>
        <v>5</v>
      </c>
      <c r="AB358" s="4" t="n">
        <f aca="false">IF(OR(TRIM(AR358)="Yes",TRIM(AR358)="Not Applicable"),5,0)</f>
        <v>5</v>
      </c>
      <c r="AC358" s="4" t="n">
        <f aca="false">IF(TRIM(AS358)="Excellent",5,IF(TRIM(AS358)="Very Good",4,IF(TRIM(AS358)="Good",3,IF(TRIM(AS358)="Average",2,0))))</f>
        <v>5</v>
      </c>
      <c r="AD358" s="7" t="n">
        <f aca="false">IF(COUNT(S358:AC358)=0,"",SUM(S358:AC358))</f>
        <v>100</v>
      </c>
      <c r="AE358" s="7"/>
      <c r="AF358" s="8"/>
      <c r="AG358" s="5"/>
      <c r="AH358" s="4"/>
      <c r="AI358" s="4" t="s">
        <v>62</v>
      </c>
      <c r="AJ358" s="4" t="s">
        <v>62</v>
      </c>
      <c r="AK358" s="4" t="s">
        <v>62</v>
      </c>
      <c r="AL358" s="4" t="s">
        <v>63</v>
      </c>
      <c r="AM358" s="4" t="s">
        <v>62</v>
      </c>
      <c r="AN358" s="4" t="s">
        <v>64</v>
      </c>
      <c r="AO358" s="4" t="s">
        <v>62</v>
      </c>
      <c r="AP358" s="4" t="s">
        <v>62</v>
      </c>
      <c r="AQ358" s="4" t="s">
        <v>62</v>
      </c>
      <c r="AR358" s="4" t="s">
        <v>62</v>
      </c>
      <c r="AS358" s="4" t="s">
        <v>65</v>
      </c>
      <c r="AT358" s="4" t="n">
        <v>8</v>
      </c>
      <c r="AU358" s="4" t="s">
        <v>112</v>
      </c>
      <c r="AV358" s="4" t="s">
        <v>128</v>
      </c>
      <c r="AW358" s="4" t="s">
        <v>1112</v>
      </c>
      <c r="AX358" s="4" t="s">
        <v>917</v>
      </c>
      <c r="AY358" s="4" t="n">
        <v>18</v>
      </c>
      <c r="AZ358" s="4" t="s">
        <v>62</v>
      </c>
      <c r="BA358" s="4" t="s">
        <v>1111</v>
      </c>
      <c r="BB358" s="4" t="s">
        <v>760</v>
      </c>
      <c r="BC358" s="6" t="n">
        <v>0.4706</v>
      </c>
      <c r="BD358" s="4" t="n">
        <v>98</v>
      </c>
    </row>
    <row r="359" customFormat="false" ht="185.8" hidden="false" customHeight="false" outlineLevel="0" collapsed="false">
      <c r="A359" s="4" t="n">
        <v>154</v>
      </c>
      <c r="B359" s="4" t="s">
        <v>753</v>
      </c>
      <c r="C359" s="4" t="s">
        <v>57</v>
      </c>
      <c r="D359" s="4" t="s">
        <v>754</v>
      </c>
      <c r="E359" s="4" t="s">
        <v>867</v>
      </c>
      <c r="F359" s="4" t="n">
        <v>371</v>
      </c>
      <c r="G359" s="5" t="s">
        <v>1113</v>
      </c>
      <c r="H359" s="5" t="s">
        <v>104</v>
      </c>
      <c r="I359" s="4"/>
      <c r="J359" s="4"/>
      <c r="K359" s="4"/>
      <c r="L359" s="4" t="n">
        <v>20</v>
      </c>
      <c r="M359" s="4" t="n">
        <v>20</v>
      </c>
      <c r="N359" s="4" t="n">
        <v>0</v>
      </c>
      <c r="O359" s="4" t="n">
        <v>17</v>
      </c>
      <c r="P359" s="4" t="n">
        <v>3</v>
      </c>
      <c r="Q359" s="4" t="n">
        <v>7</v>
      </c>
      <c r="R359" s="6" t="n">
        <f aca="false">IF(N(L359)=0,0,O359/L359)</f>
        <v>0.85</v>
      </c>
      <c r="S359" s="4" t="n">
        <f aca="false">IF(R359="","",IF(R359&gt;=0.8,50,IF(R359&gt;=0.5,30,IF(R359&gt;=0.01,10,0))))</f>
        <v>50</v>
      </c>
      <c r="T359" s="4" t="n">
        <f aca="false">IF(TRIM(AI359)="Yes",2.5,0)</f>
        <v>2.5</v>
      </c>
      <c r="U359" s="4" t="n">
        <f aca="false">IF(TRIM(AJ359)="Yes",10,0)</f>
        <v>10</v>
      </c>
      <c r="V359" s="4" t="n">
        <f aca="false">IF(TRIM(AK359)="Yes",5,0)</f>
        <v>5</v>
      </c>
      <c r="W359" s="4" t="n">
        <f aca="false">IF(TRIM(AM359)="Yes",5,0)</f>
        <v>5</v>
      </c>
      <c r="X359" s="4" t="n">
        <f aca="false">IF(OR(TRIM(AN359)="Fully Available",TRIM(AN359)="Not Applicable"),5,IF(TRIM(AN359)="Partially Available",2.5,0))</f>
        <v>5</v>
      </c>
      <c r="Y359" s="4" t="n">
        <f aca="false">IF(TRIM(AO359)="Yes",5,0)</f>
        <v>5</v>
      </c>
      <c r="Z359" s="4" t="n">
        <f aca="false">IF(TRIM(AP359)="Yes",2.5,0)</f>
        <v>2.5</v>
      </c>
      <c r="AA359" s="4" t="n">
        <f aca="false">IF(TRIM(AQ359)="Yes",5,0)</f>
        <v>5</v>
      </c>
      <c r="AB359" s="4" t="n">
        <f aca="false">IF(OR(TRIM(AR359)="Yes",TRIM(AR359)="Not Applicable"),5,0)</f>
        <v>5</v>
      </c>
      <c r="AC359" s="4" t="n">
        <f aca="false">IF(TRIM(AS359)="Excellent",5,IF(TRIM(AS359)="Very Good",4,IF(TRIM(AS359)="Good",3,IF(TRIM(AS359)="Average",2,0))))</f>
        <v>4</v>
      </c>
      <c r="AD359" s="7" t="n">
        <f aca="false">IF(COUNT(S359:AC359)=0,"",SUM(S359:AC359))</f>
        <v>99</v>
      </c>
      <c r="AE359" s="7" t="n">
        <f aca="false">IF(COUNTIF($F$2:F359,F359)=1,IFERROR(AVERAGEIF($F:$F,F359,$AD:$AD),""),"")</f>
        <v>95.0714285714286</v>
      </c>
      <c r="AF359" s="8" t="str">
        <f aca="false">IF(AH359&lt;&gt;"",AH359,IF(AE359="","",IF(AE359&gt;=80,"Excellent",IF(AE359&gt;=70,"Very Good",IF(AE359&gt;=60,"Good",IF(AE359&gt;=50,"Average","Poor"))))))</f>
        <v>Excellent</v>
      </c>
      <c r="AG359" s="5"/>
      <c r="AH359" s="4"/>
      <c r="AI359" s="4" t="s">
        <v>62</v>
      </c>
      <c r="AJ359" s="4" t="s">
        <v>62</v>
      </c>
      <c r="AK359" s="4" t="s">
        <v>62</v>
      </c>
      <c r="AL359" s="4" t="s">
        <v>63</v>
      </c>
      <c r="AM359" s="4" t="s">
        <v>62</v>
      </c>
      <c r="AN359" s="4" t="s">
        <v>64</v>
      </c>
      <c r="AO359" s="4" t="s">
        <v>62</v>
      </c>
      <c r="AP359" s="4" t="s">
        <v>62</v>
      </c>
      <c r="AQ359" s="4" t="s">
        <v>62</v>
      </c>
      <c r="AR359" s="4" t="s">
        <v>73</v>
      </c>
      <c r="AS359" s="4" t="s">
        <v>74</v>
      </c>
      <c r="AT359" s="4" t="n">
        <v>7</v>
      </c>
      <c r="AU359" s="4" t="s">
        <v>66</v>
      </c>
      <c r="AV359" s="4" t="s">
        <v>91</v>
      </c>
      <c r="AW359" s="4" t="s">
        <v>1114</v>
      </c>
      <c r="AX359" s="4" t="s">
        <v>1115</v>
      </c>
      <c r="AY359" s="4" t="n">
        <v>9</v>
      </c>
      <c r="AZ359" s="4" t="s">
        <v>62</v>
      </c>
      <c r="BA359" s="4" t="s">
        <v>1116</v>
      </c>
      <c r="BB359" s="4" t="s">
        <v>760</v>
      </c>
      <c r="BC359" s="6" t="n">
        <v>0.4118</v>
      </c>
      <c r="BD359" s="4" t="n">
        <v>91</v>
      </c>
    </row>
    <row r="360" customFormat="false" ht="185.8" hidden="false" customHeight="false" outlineLevel="0" collapsed="false">
      <c r="A360" s="4"/>
      <c r="B360" s="4" t="s">
        <v>753</v>
      </c>
      <c r="C360" s="4" t="s">
        <v>57</v>
      </c>
      <c r="D360" s="4" t="s">
        <v>754</v>
      </c>
      <c r="E360" s="4" t="s">
        <v>867</v>
      </c>
      <c r="F360" s="4" t="n">
        <v>371</v>
      </c>
      <c r="G360" s="5" t="s">
        <v>1113</v>
      </c>
      <c r="H360" s="5" t="s">
        <v>61</v>
      </c>
      <c r="I360" s="4"/>
      <c r="J360" s="4"/>
      <c r="K360" s="4"/>
      <c r="L360" s="4" t="n">
        <v>15</v>
      </c>
      <c r="M360" s="4" t="n">
        <v>15</v>
      </c>
      <c r="N360" s="4" t="n">
        <v>0</v>
      </c>
      <c r="O360" s="4" t="n">
        <v>15</v>
      </c>
      <c r="P360" s="4" t="n">
        <v>0</v>
      </c>
      <c r="Q360" s="4" t="n">
        <v>7</v>
      </c>
      <c r="R360" s="6" t="n">
        <f aca="false">IF(N(L360)=0,0,O360/L360)</f>
        <v>1</v>
      </c>
      <c r="S360" s="4" t="n">
        <f aca="false">IF(R360="","",IF(R360&gt;=0.8,50,IF(R360&gt;=0.5,30,IF(R360&gt;=0.01,10,0))))</f>
        <v>50</v>
      </c>
      <c r="T360" s="4" t="n">
        <f aca="false">IF(TRIM(AI360)="Yes",2.5,0)</f>
        <v>2.5</v>
      </c>
      <c r="U360" s="4" t="n">
        <f aca="false">IF(TRIM(AJ360)="Yes",10,0)</f>
        <v>10</v>
      </c>
      <c r="V360" s="4" t="n">
        <f aca="false">IF(TRIM(AK360)="Yes",5,0)</f>
        <v>5</v>
      </c>
      <c r="W360" s="4" t="n">
        <f aca="false">IF(TRIM(AM360)="Yes",5,0)</f>
        <v>5</v>
      </c>
      <c r="X360" s="4" t="n">
        <f aca="false">IF(OR(TRIM(AN360)="Fully Available",TRIM(AN360)="Not Applicable"),5,IF(TRIM(AN360)="Partially Available",2.5,0))</f>
        <v>2.5</v>
      </c>
      <c r="Y360" s="4" t="n">
        <f aca="false">IF(TRIM(AO360)="Yes",5,0)</f>
        <v>5</v>
      </c>
      <c r="Z360" s="4" t="n">
        <f aca="false">IF(TRIM(AP360)="Yes",2.5,0)</f>
        <v>2.5</v>
      </c>
      <c r="AA360" s="4" t="n">
        <f aca="false">IF(TRIM(AQ360)="Yes",5,0)</f>
        <v>5</v>
      </c>
      <c r="AB360" s="4" t="n">
        <f aca="false">IF(OR(TRIM(AR360)="Yes",TRIM(AR360)="Not Applicable"),5,0)</f>
        <v>5</v>
      </c>
      <c r="AC360" s="4" t="n">
        <f aca="false">IF(TRIM(AS360)="Excellent",5,IF(TRIM(AS360)="Very Good",4,IF(TRIM(AS360)="Good",3,IF(TRIM(AS360)="Average",2,0))))</f>
        <v>4</v>
      </c>
      <c r="AD360" s="7" t="n">
        <f aca="false">IF(COUNT(S360:AC360)=0,"",SUM(S360:AC360))</f>
        <v>96.5</v>
      </c>
      <c r="AE360" s="7"/>
      <c r="AF360" s="8"/>
      <c r="AG360" s="5"/>
      <c r="AH360" s="4"/>
      <c r="AI360" s="4" t="s">
        <v>62</v>
      </c>
      <c r="AJ360" s="4" t="s">
        <v>62</v>
      </c>
      <c r="AK360" s="4" t="s">
        <v>62</v>
      </c>
      <c r="AL360" s="4" t="s">
        <v>63</v>
      </c>
      <c r="AM360" s="4" t="s">
        <v>62</v>
      </c>
      <c r="AN360" s="4" t="s">
        <v>147</v>
      </c>
      <c r="AO360" s="4" t="s">
        <v>62</v>
      </c>
      <c r="AP360" s="4" t="s">
        <v>62</v>
      </c>
      <c r="AQ360" s="4" t="s">
        <v>62</v>
      </c>
      <c r="AR360" s="4" t="s">
        <v>62</v>
      </c>
      <c r="AS360" s="4" t="s">
        <v>74</v>
      </c>
      <c r="AT360" s="4" t="n">
        <v>8</v>
      </c>
      <c r="AU360" s="4" t="s">
        <v>66</v>
      </c>
      <c r="AV360" s="4" t="s">
        <v>91</v>
      </c>
      <c r="AW360" s="4" t="s">
        <v>1117</v>
      </c>
      <c r="AX360" s="4" t="s">
        <v>917</v>
      </c>
      <c r="AY360" s="4" t="n">
        <v>5</v>
      </c>
      <c r="AZ360" s="4" t="s">
        <v>62</v>
      </c>
      <c r="BA360" s="4" t="s">
        <v>1116</v>
      </c>
      <c r="BB360" s="4" t="s">
        <v>760</v>
      </c>
      <c r="BC360" s="6" t="n">
        <v>0.4667</v>
      </c>
      <c r="BD360" s="4" t="n">
        <v>91</v>
      </c>
    </row>
    <row r="361" customFormat="false" ht="185.8" hidden="false" customHeight="false" outlineLevel="0" collapsed="false">
      <c r="A361" s="4"/>
      <c r="B361" s="4" t="s">
        <v>753</v>
      </c>
      <c r="C361" s="4" t="s">
        <v>57</v>
      </c>
      <c r="D361" s="4" t="s">
        <v>754</v>
      </c>
      <c r="E361" s="4" t="s">
        <v>867</v>
      </c>
      <c r="F361" s="4" t="n">
        <v>371</v>
      </c>
      <c r="G361" s="5" t="s">
        <v>1113</v>
      </c>
      <c r="H361" s="5" t="s">
        <v>238</v>
      </c>
      <c r="I361" s="4"/>
      <c r="J361" s="4"/>
      <c r="K361" s="4"/>
      <c r="L361" s="4" t="n">
        <v>20</v>
      </c>
      <c r="M361" s="4" t="n">
        <v>20</v>
      </c>
      <c r="N361" s="4" t="n">
        <v>0</v>
      </c>
      <c r="O361" s="4" t="n">
        <v>17</v>
      </c>
      <c r="P361" s="4" t="n">
        <v>3</v>
      </c>
      <c r="Q361" s="4" t="n">
        <v>7</v>
      </c>
      <c r="R361" s="6" t="n">
        <f aca="false">IF(N(L361)=0,0,O361/L361)</f>
        <v>0.85</v>
      </c>
      <c r="S361" s="4" t="n">
        <f aca="false">IF(R361="","",IF(R361&gt;=0.8,50,IF(R361&gt;=0.5,30,IF(R361&gt;=0.01,10,0))))</f>
        <v>50</v>
      </c>
      <c r="T361" s="4" t="n">
        <f aca="false">IF(TRIM(AI361)="Yes",2.5,0)</f>
        <v>2.5</v>
      </c>
      <c r="U361" s="4" t="n">
        <f aca="false">IF(TRIM(AJ361)="Yes",10,0)</f>
        <v>10</v>
      </c>
      <c r="V361" s="4" t="n">
        <f aca="false">IF(TRIM(AK361)="Yes",5,0)</f>
        <v>5</v>
      </c>
      <c r="W361" s="4" t="n">
        <f aca="false">IF(TRIM(AM361)="Yes",5,0)</f>
        <v>5</v>
      </c>
      <c r="X361" s="4" t="n">
        <f aca="false">IF(OR(TRIM(AN361)="Fully Available",TRIM(AN361)="Not Applicable"),5,IF(TRIM(AN361)="Partially Available",2.5,0))</f>
        <v>5</v>
      </c>
      <c r="Y361" s="4" t="n">
        <f aca="false">IF(TRIM(AO361)="Yes",5,0)</f>
        <v>5</v>
      </c>
      <c r="Z361" s="4" t="n">
        <f aca="false">IF(TRIM(AP361)="Yes",2.5,0)</f>
        <v>2.5</v>
      </c>
      <c r="AA361" s="4" t="n">
        <f aca="false">IF(TRIM(AQ361)="Yes",5,0)</f>
        <v>5</v>
      </c>
      <c r="AB361" s="4" t="n">
        <f aca="false">IF(OR(TRIM(AR361)="Yes",TRIM(AR361)="Not Applicable"),5,0)</f>
        <v>0</v>
      </c>
      <c r="AC361" s="4" t="n">
        <f aca="false">IF(TRIM(AS361)="Excellent",5,IF(TRIM(AS361)="Very Good",4,IF(TRIM(AS361)="Good",3,IF(TRIM(AS361)="Average",2,0))))</f>
        <v>4</v>
      </c>
      <c r="AD361" s="7" t="n">
        <f aca="false">IF(COUNT(S361:AC361)=0,"",SUM(S361:AC361))</f>
        <v>94</v>
      </c>
      <c r="AE361" s="7"/>
      <c r="AF361" s="8"/>
      <c r="AG361" s="5"/>
      <c r="AH361" s="4"/>
      <c r="AI361" s="4" t="s">
        <v>62</v>
      </c>
      <c r="AJ361" s="4" t="s">
        <v>62</v>
      </c>
      <c r="AK361" s="4" t="s">
        <v>62</v>
      </c>
      <c r="AL361" s="4" t="s">
        <v>63</v>
      </c>
      <c r="AM361" s="4" t="s">
        <v>62</v>
      </c>
      <c r="AN361" s="4" t="s">
        <v>64</v>
      </c>
      <c r="AO361" s="4" t="s">
        <v>62</v>
      </c>
      <c r="AP361" s="4" t="s">
        <v>62</v>
      </c>
      <c r="AQ361" s="4" t="s">
        <v>62</v>
      </c>
      <c r="AR361" s="4" t="s">
        <v>82</v>
      </c>
      <c r="AS361" s="4" t="s">
        <v>74</v>
      </c>
      <c r="AT361" s="4" t="n">
        <v>7</v>
      </c>
      <c r="AU361" s="4" t="s">
        <v>66</v>
      </c>
      <c r="AV361" s="4" t="s">
        <v>91</v>
      </c>
      <c r="AW361" s="4" t="s">
        <v>1118</v>
      </c>
      <c r="AX361" s="4" t="s">
        <v>149</v>
      </c>
      <c r="AY361" s="4" t="n">
        <v>7</v>
      </c>
      <c r="AZ361" s="4" t="s">
        <v>62</v>
      </c>
      <c r="BA361" s="4" t="s">
        <v>1116</v>
      </c>
      <c r="BB361" s="4" t="s">
        <v>760</v>
      </c>
      <c r="BC361" s="6" t="n">
        <v>0.4118</v>
      </c>
      <c r="BD361" s="4" t="n">
        <v>91</v>
      </c>
    </row>
    <row r="362" customFormat="false" ht="185.8" hidden="false" customHeight="false" outlineLevel="0" collapsed="false">
      <c r="A362" s="4"/>
      <c r="B362" s="4" t="s">
        <v>753</v>
      </c>
      <c r="C362" s="4" t="s">
        <v>57</v>
      </c>
      <c r="D362" s="4" t="s">
        <v>754</v>
      </c>
      <c r="E362" s="4" t="s">
        <v>867</v>
      </c>
      <c r="F362" s="4" t="n">
        <v>371</v>
      </c>
      <c r="G362" s="5" t="s">
        <v>1113</v>
      </c>
      <c r="H362" s="5" t="s">
        <v>72</v>
      </c>
      <c r="I362" s="4"/>
      <c r="J362" s="4"/>
      <c r="K362" s="4"/>
      <c r="L362" s="4" t="n">
        <v>20</v>
      </c>
      <c r="M362" s="4" t="n">
        <v>20</v>
      </c>
      <c r="N362" s="4" t="n">
        <v>0</v>
      </c>
      <c r="O362" s="4" t="n">
        <v>17</v>
      </c>
      <c r="P362" s="4" t="n">
        <v>3</v>
      </c>
      <c r="Q362" s="4" t="n">
        <v>8</v>
      </c>
      <c r="R362" s="6" t="n">
        <f aca="false">IF(N(L362)=0,0,O362/L362)</f>
        <v>0.85</v>
      </c>
      <c r="S362" s="4" t="n">
        <f aca="false">IF(R362="","",IF(R362&gt;=0.8,50,IF(R362&gt;=0.5,30,IF(R362&gt;=0.01,10,0))))</f>
        <v>50</v>
      </c>
      <c r="T362" s="4" t="n">
        <f aca="false">IF(TRIM(AI362)="Yes",2.5,0)</f>
        <v>2.5</v>
      </c>
      <c r="U362" s="4" t="n">
        <f aca="false">IF(TRIM(AJ362)="Yes",10,0)</f>
        <v>10</v>
      </c>
      <c r="V362" s="4" t="n">
        <f aca="false">IF(TRIM(AK362)="Yes",5,0)</f>
        <v>5</v>
      </c>
      <c r="W362" s="4" t="n">
        <f aca="false">IF(TRIM(AM362)="Yes",5,0)</f>
        <v>5</v>
      </c>
      <c r="X362" s="4" t="n">
        <f aca="false">IF(OR(TRIM(AN362)="Fully Available",TRIM(AN362)="Not Applicable"),5,IF(TRIM(AN362)="Partially Available",2.5,0))</f>
        <v>5</v>
      </c>
      <c r="Y362" s="4" t="n">
        <f aca="false">IF(TRIM(AO362)="Yes",5,0)</f>
        <v>5</v>
      </c>
      <c r="Z362" s="4" t="n">
        <f aca="false">IF(TRIM(AP362)="Yes",2.5,0)</f>
        <v>2.5</v>
      </c>
      <c r="AA362" s="4" t="n">
        <f aca="false">IF(TRIM(AQ362)="Yes",5,0)</f>
        <v>5</v>
      </c>
      <c r="AB362" s="4" t="n">
        <f aca="false">IF(OR(TRIM(AR362)="Yes",TRIM(AR362)="Not Applicable"),5,0)</f>
        <v>5</v>
      </c>
      <c r="AC362" s="4" t="n">
        <f aca="false">IF(TRIM(AS362)="Excellent",5,IF(TRIM(AS362)="Very Good",4,IF(TRIM(AS362)="Good",3,IF(TRIM(AS362)="Average",2,0))))</f>
        <v>4</v>
      </c>
      <c r="AD362" s="7" t="n">
        <f aca="false">IF(COUNT(S362:AC362)=0,"",SUM(S362:AC362))</f>
        <v>99</v>
      </c>
      <c r="AE362" s="7"/>
      <c r="AF362" s="8"/>
      <c r="AG362" s="5"/>
      <c r="AH362" s="4"/>
      <c r="AI362" s="4" t="s">
        <v>62</v>
      </c>
      <c r="AJ362" s="4" t="s">
        <v>62</v>
      </c>
      <c r="AK362" s="4" t="s">
        <v>62</v>
      </c>
      <c r="AL362" s="4" t="s">
        <v>63</v>
      </c>
      <c r="AM362" s="4" t="s">
        <v>62</v>
      </c>
      <c r="AN362" s="4" t="s">
        <v>64</v>
      </c>
      <c r="AO362" s="4" t="s">
        <v>62</v>
      </c>
      <c r="AP362" s="4" t="s">
        <v>62</v>
      </c>
      <c r="AQ362" s="4" t="s">
        <v>62</v>
      </c>
      <c r="AR362" s="4" t="s">
        <v>62</v>
      </c>
      <c r="AS362" s="4" t="s">
        <v>74</v>
      </c>
      <c r="AT362" s="4" t="n">
        <v>6</v>
      </c>
      <c r="AU362" s="4" t="s">
        <v>66</v>
      </c>
      <c r="AV362" s="4" t="s">
        <v>91</v>
      </c>
      <c r="AW362" s="4" t="s">
        <v>1119</v>
      </c>
      <c r="AX362" s="4" t="s">
        <v>1120</v>
      </c>
      <c r="AY362" s="4" t="n">
        <v>3</v>
      </c>
      <c r="AZ362" s="4" t="s">
        <v>62</v>
      </c>
      <c r="BA362" s="4" t="s">
        <v>1116</v>
      </c>
      <c r="BB362" s="4" t="s">
        <v>760</v>
      </c>
      <c r="BC362" s="6" t="n">
        <v>0.4706</v>
      </c>
      <c r="BD362" s="4" t="n">
        <v>91</v>
      </c>
    </row>
    <row r="363" customFormat="false" ht="185.8" hidden="false" customHeight="false" outlineLevel="0" collapsed="false">
      <c r="A363" s="4"/>
      <c r="B363" s="4" t="s">
        <v>753</v>
      </c>
      <c r="C363" s="4" t="s">
        <v>57</v>
      </c>
      <c r="D363" s="4" t="s">
        <v>754</v>
      </c>
      <c r="E363" s="4" t="s">
        <v>867</v>
      </c>
      <c r="F363" s="4" t="n">
        <v>371</v>
      </c>
      <c r="G363" s="5" t="s">
        <v>1113</v>
      </c>
      <c r="H363" s="5" t="s">
        <v>190</v>
      </c>
      <c r="I363" s="4"/>
      <c r="J363" s="4"/>
      <c r="K363" s="4"/>
      <c r="L363" s="4" t="n">
        <v>20</v>
      </c>
      <c r="M363" s="4" t="n">
        <v>20</v>
      </c>
      <c r="N363" s="4" t="n">
        <v>0</v>
      </c>
      <c r="O363" s="4" t="n">
        <v>18</v>
      </c>
      <c r="P363" s="4" t="n">
        <v>2</v>
      </c>
      <c r="Q363" s="4" t="n">
        <v>8</v>
      </c>
      <c r="R363" s="6" t="n">
        <f aca="false">IF(N(L363)=0,0,O363/L363)</f>
        <v>0.9</v>
      </c>
      <c r="S363" s="4" t="n">
        <f aca="false">IF(R363="","",IF(R363&gt;=0.8,50,IF(R363&gt;=0.5,30,IF(R363&gt;=0.01,10,0))))</f>
        <v>50</v>
      </c>
      <c r="T363" s="4" t="n">
        <f aca="false">IF(TRIM(AI363)="Yes",2.5,0)</f>
        <v>2.5</v>
      </c>
      <c r="U363" s="4" t="n">
        <f aca="false">IF(TRIM(AJ363)="Yes",10,0)</f>
        <v>10</v>
      </c>
      <c r="V363" s="4" t="n">
        <f aca="false">IF(TRIM(AK363)="Yes",5,0)</f>
        <v>5</v>
      </c>
      <c r="W363" s="4" t="n">
        <f aca="false">IF(TRIM(AM363)="Yes",5,0)</f>
        <v>5</v>
      </c>
      <c r="X363" s="4" t="n">
        <f aca="false">IF(OR(TRIM(AN363)="Fully Available",TRIM(AN363)="Not Applicable"),5,IF(TRIM(AN363)="Partially Available",2.5,0))</f>
        <v>5</v>
      </c>
      <c r="Y363" s="4" t="n">
        <f aca="false">IF(TRIM(AO363)="Yes",5,0)</f>
        <v>5</v>
      </c>
      <c r="Z363" s="4" t="n">
        <f aca="false">IF(TRIM(AP363)="Yes",2.5,0)</f>
        <v>2.5</v>
      </c>
      <c r="AA363" s="4" t="n">
        <f aca="false">IF(TRIM(AQ363)="Yes",5,0)</f>
        <v>5</v>
      </c>
      <c r="AB363" s="4" t="n">
        <f aca="false">IF(OR(TRIM(AR363)="Yes",TRIM(AR363)="Not Applicable"),5,0)</f>
        <v>5</v>
      </c>
      <c r="AC363" s="4" t="n">
        <f aca="false">IF(TRIM(AS363)="Excellent",5,IF(TRIM(AS363)="Very Good",4,IF(TRIM(AS363)="Good",3,IF(TRIM(AS363)="Average",2,0))))</f>
        <v>4</v>
      </c>
      <c r="AD363" s="7" t="n">
        <f aca="false">IF(COUNT(S363:AC363)=0,"",SUM(S363:AC363))</f>
        <v>99</v>
      </c>
      <c r="AE363" s="7"/>
      <c r="AF363" s="8"/>
      <c r="AG363" s="5"/>
      <c r="AH363" s="4"/>
      <c r="AI363" s="4" t="s">
        <v>62</v>
      </c>
      <c r="AJ363" s="4" t="s">
        <v>62</v>
      </c>
      <c r="AK363" s="4" t="s">
        <v>62</v>
      </c>
      <c r="AL363" s="4" t="s">
        <v>63</v>
      </c>
      <c r="AM363" s="4" t="s">
        <v>62</v>
      </c>
      <c r="AN363" s="4" t="s">
        <v>64</v>
      </c>
      <c r="AO363" s="4" t="s">
        <v>62</v>
      </c>
      <c r="AP363" s="4" t="s">
        <v>62</v>
      </c>
      <c r="AQ363" s="4" t="s">
        <v>62</v>
      </c>
      <c r="AR363" s="4" t="s">
        <v>62</v>
      </c>
      <c r="AS363" s="4" t="s">
        <v>74</v>
      </c>
      <c r="AT363" s="4" t="n">
        <v>5</v>
      </c>
      <c r="AU363" s="4" t="s">
        <v>112</v>
      </c>
      <c r="AV363" s="4" t="s">
        <v>91</v>
      </c>
      <c r="AW363" s="4" t="s">
        <v>1121</v>
      </c>
      <c r="AX363" s="4" t="s">
        <v>923</v>
      </c>
      <c r="AY363" s="4" t="n">
        <v>8</v>
      </c>
      <c r="AZ363" s="4" t="s">
        <v>62</v>
      </c>
      <c r="BA363" s="4" t="s">
        <v>1116</v>
      </c>
      <c r="BB363" s="4" t="s">
        <v>760</v>
      </c>
      <c r="BC363" s="6" t="n">
        <v>0.4444</v>
      </c>
      <c r="BD363" s="4" t="n">
        <v>91</v>
      </c>
    </row>
    <row r="364" customFormat="false" ht="185.8" hidden="false" customHeight="false" outlineLevel="0" collapsed="false">
      <c r="A364" s="4"/>
      <c r="B364" s="4" t="s">
        <v>753</v>
      </c>
      <c r="C364" s="4" t="s">
        <v>57</v>
      </c>
      <c r="D364" s="4" t="s">
        <v>754</v>
      </c>
      <c r="E364" s="4" t="s">
        <v>867</v>
      </c>
      <c r="F364" s="4" t="n">
        <v>371</v>
      </c>
      <c r="G364" s="5" t="s">
        <v>1113</v>
      </c>
      <c r="H364" s="5" t="s">
        <v>261</v>
      </c>
      <c r="I364" s="4"/>
      <c r="J364" s="4"/>
      <c r="K364" s="4"/>
      <c r="L364" s="4" t="n">
        <v>20</v>
      </c>
      <c r="M364" s="4" t="n">
        <v>20</v>
      </c>
      <c r="N364" s="4" t="n">
        <v>0</v>
      </c>
      <c r="O364" s="4" t="n">
        <v>13</v>
      </c>
      <c r="P364" s="4" t="n">
        <v>7</v>
      </c>
      <c r="Q364" s="4" t="n">
        <v>8</v>
      </c>
      <c r="R364" s="6" t="n">
        <f aca="false">IF(N(L364)=0,0,O364/L364)</f>
        <v>0.65</v>
      </c>
      <c r="S364" s="4" t="n">
        <f aca="false">IF(R364="","",IF(R364&gt;=0.8,50,IF(R364&gt;=0.5,30,IF(R364&gt;=0.01,10,0))))</f>
        <v>30</v>
      </c>
      <c r="T364" s="4" t="n">
        <f aca="false">IF(TRIM(AI364)="Yes",2.5,0)</f>
        <v>2.5</v>
      </c>
      <c r="U364" s="4" t="n">
        <f aca="false">IF(TRIM(AJ364)="Yes",10,0)</f>
        <v>10</v>
      </c>
      <c r="V364" s="4" t="n">
        <f aca="false">IF(TRIM(AK364)="Yes",5,0)</f>
        <v>5</v>
      </c>
      <c r="W364" s="4" t="n">
        <f aca="false">IF(TRIM(AM364)="Yes",5,0)</f>
        <v>5</v>
      </c>
      <c r="X364" s="4" t="n">
        <f aca="false">IF(OR(TRIM(AN364)="Fully Available",TRIM(AN364)="Not Applicable"),5,IF(TRIM(AN364)="Partially Available",2.5,0))</f>
        <v>5</v>
      </c>
      <c r="Y364" s="4" t="n">
        <f aca="false">IF(TRIM(AO364)="Yes",5,0)</f>
        <v>5</v>
      </c>
      <c r="Z364" s="4" t="n">
        <f aca="false">IF(TRIM(AP364)="Yes",2.5,0)</f>
        <v>2.5</v>
      </c>
      <c r="AA364" s="4" t="n">
        <f aca="false">IF(TRIM(AQ364)="Yes",5,0)</f>
        <v>5</v>
      </c>
      <c r="AB364" s="4" t="n">
        <f aca="false">IF(OR(TRIM(AR364)="Yes",TRIM(AR364)="Not Applicable"),5,0)</f>
        <v>5</v>
      </c>
      <c r="AC364" s="4" t="n">
        <f aca="false">IF(TRIM(AS364)="Excellent",5,IF(TRIM(AS364)="Very Good",4,IF(TRIM(AS364)="Good",3,IF(TRIM(AS364)="Average",2,0))))</f>
        <v>4</v>
      </c>
      <c r="AD364" s="7" t="n">
        <f aca="false">IF(COUNT(S364:AC364)=0,"",SUM(S364:AC364))</f>
        <v>79</v>
      </c>
      <c r="AE364" s="7"/>
      <c r="AF364" s="8"/>
      <c r="AG364" s="5"/>
      <c r="AH364" s="4"/>
      <c r="AI364" s="4" t="s">
        <v>62</v>
      </c>
      <c r="AJ364" s="4" t="s">
        <v>62</v>
      </c>
      <c r="AK364" s="4" t="s">
        <v>62</v>
      </c>
      <c r="AL364" s="4" t="s">
        <v>63</v>
      </c>
      <c r="AM364" s="4" t="s">
        <v>62</v>
      </c>
      <c r="AN364" s="4" t="s">
        <v>64</v>
      </c>
      <c r="AO364" s="4" t="s">
        <v>62</v>
      </c>
      <c r="AP364" s="4" t="s">
        <v>62</v>
      </c>
      <c r="AQ364" s="4" t="s">
        <v>62</v>
      </c>
      <c r="AR364" s="4" t="s">
        <v>73</v>
      </c>
      <c r="AS364" s="4" t="s">
        <v>74</v>
      </c>
      <c r="AT364" s="4" t="n">
        <v>9</v>
      </c>
      <c r="AU364" s="4" t="s">
        <v>66</v>
      </c>
      <c r="AV364" s="4" t="s">
        <v>91</v>
      </c>
      <c r="AW364" s="4" t="s">
        <v>1122</v>
      </c>
      <c r="AX364" s="4" t="s">
        <v>149</v>
      </c>
      <c r="AY364" s="4" t="n">
        <v>4</v>
      </c>
      <c r="AZ364" s="4" t="s">
        <v>62</v>
      </c>
      <c r="BA364" s="4" t="s">
        <v>1116</v>
      </c>
      <c r="BB364" s="4" t="s">
        <v>760</v>
      </c>
      <c r="BC364" s="6" t="n">
        <v>0.6154</v>
      </c>
      <c r="BD364" s="4" t="n">
        <v>91</v>
      </c>
    </row>
    <row r="365" customFormat="false" ht="185.8" hidden="false" customHeight="false" outlineLevel="0" collapsed="false">
      <c r="A365" s="4"/>
      <c r="B365" s="4" t="s">
        <v>753</v>
      </c>
      <c r="C365" s="4" t="s">
        <v>57</v>
      </c>
      <c r="D365" s="4" t="s">
        <v>754</v>
      </c>
      <c r="E365" s="4" t="s">
        <v>867</v>
      </c>
      <c r="F365" s="4" t="n">
        <v>371</v>
      </c>
      <c r="G365" s="5" t="s">
        <v>1113</v>
      </c>
      <c r="H365" s="5" t="s">
        <v>279</v>
      </c>
      <c r="I365" s="4"/>
      <c r="J365" s="4"/>
      <c r="K365" s="4"/>
      <c r="L365" s="4" t="n">
        <v>20</v>
      </c>
      <c r="M365" s="4" t="n">
        <v>20</v>
      </c>
      <c r="N365" s="4" t="n">
        <v>0</v>
      </c>
      <c r="O365" s="4" t="n">
        <v>18</v>
      </c>
      <c r="P365" s="4" t="n">
        <v>2</v>
      </c>
      <c r="Q365" s="4" t="n">
        <v>8</v>
      </c>
      <c r="R365" s="6" t="n">
        <f aca="false">IF(N(L365)=0,0,O365/L365)</f>
        <v>0.9</v>
      </c>
      <c r="S365" s="4" t="n">
        <f aca="false">IF(R365="","",IF(R365&gt;=0.8,50,IF(R365&gt;=0.5,30,IF(R365&gt;=0.01,10,0))))</f>
        <v>50</v>
      </c>
      <c r="T365" s="4" t="n">
        <f aca="false">IF(TRIM(AI365)="Yes",2.5,0)</f>
        <v>2.5</v>
      </c>
      <c r="U365" s="4" t="n">
        <f aca="false">IF(TRIM(AJ365)="Yes",10,0)</f>
        <v>10</v>
      </c>
      <c r="V365" s="4" t="n">
        <f aca="false">IF(TRIM(AK365)="Yes",5,0)</f>
        <v>5</v>
      </c>
      <c r="W365" s="4" t="n">
        <f aca="false">IF(TRIM(AM365)="Yes",5,0)</f>
        <v>5</v>
      </c>
      <c r="X365" s="4" t="n">
        <f aca="false">IF(OR(TRIM(AN365)="Fully Available",TRIM(AN365)="Not Applicable"),5,IF(TRIM(AN365)="Partially Available",2.5,0))</f>
        <v>5</v>
      </c>
      <c r="Y365" s="4" t="n">
        <f aca="false">IF(TRIM(AO365)="Yes",5,0)</f>
        <v>5</v>
      </c>
      <c r="Z365" s="4" t="n">
        <f aca="false">IF(TRIM(AP365)="Yes",2.5,0)</f>
        <v>2.5</v>
      </c>
      <c r="AA365" s="4" t="n">
        <f aca="false">IF(TRIM(AQ365)="Yes",5,0)</f>
        <v>5</v>
      </c>
      <c r="AB365" s="4" t="n">
        <f aca="false">IF(OR(TRIM(AR365)="Yes",TRIM(AR365)="Not Applicable"),5,0)</f>
        <v>5</v>
      </c>
      <c r="AC365" s="4" t="n">
        <f aca="false">IF(TRIM(AS365)="Excellent",5,IF(TRIM(AS365)="Very Good",4,IF(TRIM(AS365)="Good",3,IF(TRIM(AS365)="Average",2,0))))</f>
        <v>4</v>
      </c>
      <c r="AD365" s="7" t="n">
        <f aca="false">IF(COUNT(S365:AC365)=0,"",SUM(S365:AC365))</f>
        <v>99</v>
      </c>
      <c r="AE365" s="7"/>
      <c r="AF365" s="8"/>
      <c r="AG365" s="5"/>
      <c r="AH365" s="4"/>
      <c r="AI365" s="4" t="s">
        <v>62</v>
      </c>
      <c r="AJ365" s="4" t="s">
        <v>62</v>
      </c>
      <c r="AK365" s="4" t="s">
        <v>62</v>
      </c>
      <c r="AL365" s="4" t="s">
        <v>63</v>
      </c>
      <c r="AM365" s="4" t="s">
        <v>62</v>
      </c>
      <c r="AN365" s="4" t="s">
        <v>64</v>
      </c>
      <c r="AO365" s="4" t="s">
        <v>62</v>
      </c>
      <c r="AP365" s="4" t="s">
        <v>62</v>
      </c>
      <c r="AQ365" s="4" t="s">
        <v>62</v>
      </c>
      <c r="AR365" s="4" t="s">
        <v>62</v>
      </c>
      <c r="AS365" s="4" t="s">
        <v>74</v>
      </c>
      <c r="AT365" s="4" t="n">
        <v>12</v>
      </c>
      <c r="AU365" s="4" t="s">
        <v>112</v>
      </c>
      <c r="AV365" s="4" t="s">
        <v>91</v>
      </c>
      <c r="AW365" s="4" t="s">
        <v>1123</v>
      </c>
      <c r="AX365" s="4" t="s">
        <v>1124</v>
      </c>
      <c r="AY365" s="4" t="n">
        <v>2</v>
      </c>
      <c r="AZ365" s="4" t="s">
        <v>62</v>
      </c>
      <c r="BA365" s="4" t="s">
        <v>1116</v>
      </c>
      <c r="BB365" s="4" t="s">
        <v>760</v>
      </c>
      <c r="BC365" s="6" t="n">
        <v>0.4444</v>
      </c>
      <c r="BD365" s="4" t="n">
        <v>91</v>
      </c>
    </row>
    <row r="366" customFormat="false" ht="29.85" hidden="false" customHeight="false" outlineLevel="0" collapsed="false">
      <c r="A366" s="4" t="n">
        <v>155</v>
      </c>
      <c r="B366" s="4" t="s">
        <v>753</v>
      </c>
      <c r="C366" s="4" t="s">
        <v>57</v>
      </c>
      <c r="D366" s="4" t="s">
        <v>754</v>
      </c>
      <c r="E366" s="4" t="s">
        <v>755</v>
      </c>
      <c r="F366" s="4" t="n">
        <v>2311</v>
      </c>
      <c r="G366" s="5" t="s">
        <v>1125</v>
      </c>
      <c r="H366" s="5" t="s">
        <v>844</v>
      </c>
      <c r="I366" s="4"/>
      <c r="J366" s="4"/>
      <c r="K366" s="4"/>
      <c r="L366" s="4" t="n">
        <v>20</v>
      </c>
      <c r="M366" s="4" t="n">
        <v>20</v>
      </c>
      <c r="N366" s="4" t="n">
        <v>0</v>
      </c>
      <c r="O366" s="4" t="n">
        <v>17</v>
      </c>
      <c r="P366" s="4" t="n">
        <v>3</v>
      </c>
      <c r="Q366" s="4" t="n">
        <v>7</v>
      </c>
      <c r="R366" s="6" t="n">
        <f aca="false">IF(N(L366)=0,0,O366/L366)</f>
        <v>0.85</v>
      </c>
      <c r="S366" s="4" t="n">
        <f aca="false">IF(R366="","",IF(R366&gt;=0.8,50,IF(R366&gt;=0.5,30,IF(R366&gt;=0.01,10,0))))</f>
        <v>50</v>
      </c>
      <c r="T366" s="4" t="n">
        <f aca="false">IF(TRIM(AI366)="Yes",2.5,0)</f>
        <v>0</v>
      </c>
      <c r="U366" s="4" t="n">
        <f aca="false">IF(TRIM(AJ366)="Yes",10,0)</f>
        <v>10</v>
      </c>
      <c r="V366" s="4" t="n">
        <f aca="false">IF(TRIM(AK366)="Yes",5,0)</f>
        <v>5</v>
      </c>
      <c r="W366" s="4" t="n">
        <f aca="false">IF(TRIM(AM366)="Yes",5,0)</f>
        <v>5</v>
      </c>
      <c r="X366" s="4" t="n">
        <f aca="false">IF(OR(TRIM(AN366)="Fully Available",TRIM(AN366)="Not Applicable"),5,IF(TRIM(AN366)="Partially Available",2.5,0))</f>
        <v>5</v>
      </c>
      <c r="Y366" s="4" t="n">
        <f aca="false">IF(TRIM(AO366)="Yes",5,0)</f>
        <v>5</v>
      </c>
      <c r="Z366" s="4" t="n">
        <f aca="false">IF(TRIM(AP366)="Yes",2.5,0)</f>
        <v>2.5</v>
      </c>
      <c r="AA366" s="4" t="n">
        <f aca="false">IF(TRIM(AQ366)="Yes",5,0)</f>
        <v>5</v>
      </c>
      <c r="AB366" s="4" t="n">
        <f aca="false">IF(OR(TRIM(AR366)="Yes",TRIM(AR366)="Not Applicable"),5,0)</f>
        <v>5</v>
      </c>
      <c r="AC366" s="4" t="n">
        <f aca="false">IF(TRIM(AS366)="Excellent",5,IF(TRIM(AS366)="Very Good",4,IF(TRIM(AS366)="Good",3,IF(TRIM(AS366)="Average",2,0))))</f>
        <v>5</v>
      </c>
      <c r="AD366" s="7" t="n">
        <f aca="false">IF(COUNT(S366:AC366)=0,"",SUM(S366:AC366))</f>
        <v>97.5</v>
      </c>
      <c r="AE366" s="7" t="n">
        <f aca="false">IF(COUNTIF($F$2:F366,F366)=1,IFERROR(AVERAGEIF($F:$F,F366,$AD:$AD),""),"")</f>
        <v>97.5</v>
      </c>
      <c r="AF366" s="8" t="str">
        <f aca="false">IF(AH366&lt;&gt;"",AH366,IF(AE366="","",IF(AE366&gt;=80,"Excellent",IF(AE366&gt;=70,"Very Good",IF(AE366&gt;=60,"Good",IF(AE366&gt;=50,"Average","Poor"))))))</f>
        <v>Excellent</v>
      </c>
      <c r="AG366" s="5"/>
      <c r="AH366" s="4"/>
      <c r="AI366" s="4" t="s">
        <v>82</v>
      </c>
      <c r="AJ366" s="4" t="s">
        <v>62</v>
      </c>
      <c r="AK366" s="4" t="s">
        <v>62</v>
      </c>
      <c r="AL366" s="4" t="s">
        <v>63</v>
      </c>
      <c r="AM366" s="4" t="s">
        <v>62</v>
      </c>
      <c r="AN366" s="4" t="s">
        <v>64</v>
      </c>
      <c r="AO366" s="4" t="s">
        <v>62</v>
      </c>
      <c r="AP366" s="4" t="s">
        <v>62</v>
      </c>
      <c r="AQ366" s="4" t="s">
        <v>62</v>
      </c>
      <c r="AR366" s="4" t="s">
        <v>62</v>
      </c>
      <c r="AS366" s="4" t="s">
        <v>65</v>
      </c>
      <c r="AT366" s="4" t="n">
        <v>7</v>
      </c>
      <c r="AU366" s="4" t="s">
        <v>112</v>
      </c>
      <c r="AV366" s="4" t="s">
        <v>208</v>
      </c>
      <c r="AW366" s="4" t="s">
        <v>1126</v>
      </c>
      <c r="AX366" s="4" t="s">
        <v>1127</v>
      </c>
      <c r="AY366" s="4" t="n">
        <v>15</v>
      </c>
      <c r="AZ366" s="4" t="s">
        <v>62</v>
      </c>
      <c r="BA366" s="4" t="s">
        <v>1128</v>
      </c>
      <c r="BB366" s="4" t="s">
        <v>760</v>
      </c>
      <c r="BC366" s="6" t="n">
        <v>0.4118</v>
      </c>
      <c r="BD366" s="4" t="n">
        <v>96</v>
      </c>
    </row>
    <row r="367" customFormat="false" ht="157.45" hidden="false" customHeight="false" outlineLevel="0" collapsed="false">
      <c r="A367" s="4" t="n">
        <v>156</v>
      </c>
      <c r="B367" s="4" t="s">
        <v>753</v>
      </c>
      <c r="C367" s="4" t="s">
        <v>57</v>
      </c>
      <c r="D367" s="4" t="s">
        <v>754</v>
      </c>
      <c r="E367" s="4" t="s">
        <v>755</v>
      </c>
      <c r="F367" s="4" t="n">
        <v>125</v>
      </c>
      <c r="G367" s="5" t="s">
        <v>1129</v>
      </c>
      <c r="H367" s="5" t="s">
        <v>78</v>
      </c>
      <c r="I367" s="4"/>
      <c r="J367" s="4"/>
      <c r="K367" s="4"/>
      <c r="L367" s="4" t="n">
        <v>40</v>
      </c>
      <c r="M367" s="4" t="n">
        <v>40</v>
      </c>
      <c r="N367" s="4" t="n">
        <v>0</v>
      </c>
      <c r="O367" s="4" t="n">
        <v>37</v>
      </c>
      <c r="P367" s="4" t="n">
        <v>3</v>
      </c>
      <c r="Q367" s="4" t="n">
        <v>10</v>
      </c>
      <c r="R367" s="6" t="n">
        <f aca="false">IF(N(L367)=0,0,O367/L367)</f>
        <v>0.925</v>
      </c>
      <c r="S367" s="4" t="n">
        <f aca="false">IF(R367="","",IF(R367&gt;=0.8,50,IF(R367&gt;=0.5,30,IF(R367&gt;=0.01,10,0))))</f>
        <v>50</v>
      </c>
      <c r="T367" s="4" t="n">
        <f aca="false">IF(TRIM(AI367)="Yes",2.5,0)</f>
        <v>2.5</v>
      </c>
      <c r="U367" s="4" t="n">
        <f aca="false">IF(TRIM(AJ367)="Yes",10,0)</f>
        <v>10</v>
      </c>
      <c r="V367" s="4" t="n">
        <f aca="false">IF(TRIM(AK367)="Yes",5,0)</f>
        <v>5</v>
      </c>
      <c r="W367" s="4" t="n">
        <f aca="false">IF(TRIM(AM367)="Yes",5,0)</f>
        <v>5</v>
      </c>
      <c r="X367" s="4" t="n">
        <f aca="false">IF(OR(TRIM(AN367)="Fully Available",TRIM(AN367)="Not Applicable"),5,IF(TRIM(AN367)="Partially Available",2.5,0))</f>
        <v>5</v>
      </c>
      <c r="Y367" s="4" t="n">
        <f aca="false">IF(TRIM(AO367)="Yes",5,0)</f>
        <v>5</v>
      </c>
      <c r="Z367" s="4" t="n">
        <f aca="false">IF(TRIM(AP367)="Yes",2.5,0)</f>
        <v>2.5</v>
      </c>
      <c r="AA367" s="4" t="n">
        <f aca="false">IF(TRIM(AQ367)="Yes",5,0)</f>
        <v>5</v>
      </c>
      <c r="AB367" s="4" t="n">
        <f aca="false">IF(OR(TRIM(AR367)="Yes",TRIM(AR367)="Not Applicable"),5,0)</f>
        <v>5</v>
      </c>
      <c r="AC367" s="4" t="n">
        <f aca="false">IF(TRIM(AS367)="Excellent",5,IF(TRIM(AS367)="Very Good",4,IF(TRIM(AS367)="Good",3,IF(TRIM(AS367)="Average",2,0))))</f>
        <v>5</v>
      </c>
      <c r="AD367" s="7" t="n">
        <f aca="false">IF(COUNT(S367:AC367)=0,"",SUM(S367:AC367))</f>
        <v>100</v>
      </c>
      <c r="AE367" s="7" t="n">
        <f aca="false">IF(COUNTIF($F$2:F367,F367)=1,IFERROR(AVERAGEIF($F:$F,F367,$AD:$AD),""),"")</f>
        <v>100</v>
      </c>
      <c r="AF367" s="8" t="str">
        <f aca="false">IF(AH367&lt;&gt;"",AH367,IF(AE367="","",IF(AE367&gt;=80,"Excellent",IF(AE367&gt;=70,"Very Good",IF(AE367&gt;=60,"Good",IF(AE367&gt;=50,"Average","Poor"))))))</f>
        <v>Excellent</v>
      </c>
      <c r="AG367" s="5"/>
      <c r="AH367" s="4"/>
      <c r="AI367" s="4" t="s">
        <v>62</v>
      </c>
      <c r="AJ367" s="4" t="s">
        <v>62</v>
      </c>
      <c r="AK367" s="4" t="s">
        <v>62</v>
      </c>
      <c r="AL367" s="4" t="s">
        <v>63</v>
      </c>
      <c r="AM367" s="4" t="s">
        <v>62</v>
      </c>
      <c r="AN367" s="4" t="s">
        <v>64</v>
      </c>
      <c r="AO367" s="4" t="s">
        <v>62</v>
      </c>
      <c r="AP367" s="4" t="s">
        <v>62</v>
      </c>
      <c r="AQ367" s="4" t="s">
        <v>62</v>
      </c>
      <c r="AR367" s="4" t="s">
        <v>73</v>
      </c>
      <c r="AS367" s="4" t="s">
        <v>65</v>
      </c>
      <c r="AT367" s="4" t="n">
        <v>8</v>
      </c>
      <c r="AU367" s="4" t="s">
        <v>66</v>
      </c>
      <c r="AV367" s="4" t="s">
        <v>91</v>
      </c>
      <c r="AW367" s="4" t="s">
        <v>1130</v>
      </c>
      <c r="AX367" s="4" t="s">
        <v>568</v>
      </c>
      <c r="AY367" s="4" t="n">
        <v>5</v>
      </c>
      <c r="AZ367" s="4" t="s">
        <v>62</v>
      </c>
      <c r="BA367" s="4" t="s">
        <v>1131</v>
      </c>
      <c r="BB367" s="4" t="s">
        <v>760</v>
      </c>
      <c r="BC367" s="6" t="n">
        <v>0.2703</v>
      </c>
      <c r="BD367" s="4" t="n">
        <v>88</v>
      </c>
    </row>
    <row r="368" customFormat="false" ht="185.8" hidden="false" customHeight="false" outlineLevel="0" collapsed="false">
      <c r="A368" s="4" t="n">
        <v>157</v>
      </c>
      <c r="B368" s="4" t="s">
        <v>753</v>
      </c>
      <c r="C368" s="4" t="s">
        <v>57</v>
      </c>
      <c r="D368" s="4" t="s">
        <v>754</v>
      </c>
      <c r="E368" s="4" t="s">
        <v>755</v>
      </c>
      <c r="F368" s="4" t="n">
        <v>694</v>
      </c>
      <c r="G368" s="5" t="s">
        <v>1132</v>
      </c>
      <c r="H368" s="5" t="s">
        <v>78</v>
      </c>
      <c r="I368" s="4"/>
      <c r="J368" s="4"/>
      <c r="K368" s="4"/>
      <c r="L368" s="4" t="n">
        <v>20</v>
      </c>
      <c r="M368" s="4" t="n">
        <v>20</v>
      </c>
      <c r="N368" s="4" t="n">
        <v>0</v>
      </c>
      <c r="O368" s="4" t="n">
        <v>15</v>
      </c>
      <c r="P368" s="4" t="n">
        <v>5</v>
      </c>
      <c r="Q368" s="4" t="n">
        <v>7</v>
      </c>
      <c r="R368" s="6" t="n">
        <f aca="false">IF(N(L368)=0,0,O368/L368)</f>
        <v>0.75</v>
      </c>
      <c r="S368" s="4" t="n">
        <f aca="false">IF(R368="","",IF(R368&gt;=0.8,50,IF(R368&gt;=0.5,30,IF(R368&gt;=0.01,10,0))))</f>
        <v>30</v>
      </c>
      <c r="T368" s="4" t="n">
        <f aca="false">IF(TRIM(AI368)="Yes",2.5,0)</f>
        <v>2.5</v>
      </c>
      <c r="U368" s="4" t="n">
        <f aca="false">IF(TRIM(AJ368)="Yes",10,0)</f>
        <v>10</v>
      </c>
      <c r="V368" s="4" t="n">
        <f aca="false">IF(TRIM(AK368)="Yes",5,0)</f>
        <v>5</v>
      </c>
      <c r="W368" s="4" t="n">
        <f aca="false">IF(TRIM(AM368)="Yes",5,0)</f>
        <v>5</v>
      </c>
      <c r="X368" s="4" t="n">
        <f aca="false">IF(OR(TRIM(AN368)="Fully Available",TRIM(AN368)="Not Applicable"),5,IF(TRIM(AN368)="Partially Available",2.5,0))</f>
        <v>5</v>
      </c>
      <c r="Y368" s="4" t="n">
        <f aca="false">IF(TRIM(AO368)="Yes",5,0)</f>
        <v>5</v>
      </c>
      <c r="Z368" s="4" t="n">
        <f aca="false">IF(TRIM(AP368)="Yes",2.5,0)</f>
        <v>2.5</v>
      </c>
      <c r="AA368" s="4" t="n">
        <f aca="false">IF(TRIM(AQ368)="Yes",5,0)</f>
        <v>5</v>
      </c>
      <c r="AB368" s="4" t="n">
        <f aca="false">IF(OR(TRIM(AR368)="Yes",TRIM(AR368)="Not Applicable"),5,0)</f>
        <v>5</v>
      </c>
      <c r="AC368" s="4" t="n">
        <f aca="false">IF(TRIM(AS368)="Excellent",5,IF(TRIM(AS368)="Very Good",4,IF(TRIM(AS368)="Good",3,IF(TRIM(AS368)="Average",2,0))))</f>
        <v>3</v>
      </c>
      <c r="AD368" s="7" t="n">
        <f aca="false">IF(COUNT(S368:AC368)=0,"",SUM(S368:AC368))</f>
        <v>78</v>
      </c>
      <c r="AE368" s="7" t="n">
        <f aca="false">IF(COUNTIF($F$2:F368,F368)=1,IFERROR(AVERAGEIF($F:$F,F368,$AD:$AD),""),"")</f>
        <v>78</v>
      </c>
      <c r="AF368" s="8" t="str">
        <f aca="false">IF(AH368&lt;&gt;"",AH368,IF(AE368="","",IF(AE368&gt;=80,"Excellent",IF(AE368&gt;=70,"Very Good",IF(AE368&gt;=60,"Good",IF(AE368&gt;=50,"Average","Poor"))))))</f>
        <v>Very Good</v>
      </c>
      <c r="AG368" s="5"/>
      <c r="AH368" s="4"/>
      <c r="AI368" s="4" t="s">
        <v>62</v>
      </c>
      <c r="AJ368" s="4" t="s">
        <v>62</v>
      </c>
      <c r="AK368" s="4" t="s">
        <v>62</v>
      </c>
      <c r="AL368" s="4" t="s">
        <v>63</v>
      </c>
      <c r="AM368" s="4" t="s">
        <v>62</v>
      </c>
      <c r="AN368" s="4" t="s">
        <v>64</v>
      </c>
      <c r="AO368" s="4" t="s">
        <v>62</v>
      </c>
      <c r="AP368" s="4" t="s">
        <v>62</v>
      </c>
      <c r="AQ368" s="4" t="s">
        <v>62</v>
      </c>
      <c r="AR368" s="4" t="s">
        <v>62</v>
      </c>
      <c r="AS368" s="4" t="s">
        <v>185</v>
      </c>
      <c r="AT368" s="4" t="n">
        <v>5</v>
      </c>
      <c r="AU368" s="4" t="s">
        <v>66</v>
      </c>
      <c r="AV368" s="4" t="s">
        <v>151</v>
      </c>
      <c r="AW368" s="4" t="s">
        <v>1133</v>
      </c>
      <c r="AX368" s="4" t="s">
        <v>1134</v>
      </c>
      <c r="AY368" s="4" t="n">
        <v>2</v>
      </c>
      <c r="AZ368" s="4" t="s">
        <v>62</v>
      </c>
      <c r="BA368" s="4" t="s">
        <v>1135</v>
      </c>
      <c r="BB368" s="4" t="s">
        <v>760</v>
      </c>
      <c r="BC368" s="6" t="n">
        <v>0.4667</v>
      </c>
      <c r="BD368" s="4" t="n">
        <v>92</v>
      </c>
    </row>
    <row r="369" customFormat="false" ht="185.8" hidden="false" customHeight="false" outlineLevel="0" collapsed="false">
      <c r="A369" s="4"/>
      <c r="B369" s="4" t="s">
        <v>753</v>
      </c>
      <c r="C369" s="4" t="s">
        <v>57</v>
      </c>
      <c r="D369" s="4" t="s">
        <v>754</v>
      </c>
      <c r="E369" s="4" t="s">
        <v>755</v>
      </c>
      <c r="F369" s="4" t="n">
        <v>694</v>
      </c>
      <c r="G369" s="5" t="s">
        <v>1132</v>
      </c>
      <c r="H369" s="5" t="s">
        <v>238</v>
      </c>
      <c r="I369" s="4"/>
      <c r="J369" s="4"/>
      <c r="K369" s="4"/>
      <c r="L369" s="4" t="n">
        <v>20</v>
      </c>
      <c r="M369" s="4" t="n">
        <v>20</v>
      </c>
      <c r="N369" s="4" t="n">
        <v>0</v>
      </c>
      <c r="O369" s="4" t="n">
        <v>14</v>
      </c>
      <c r="P369" s="4" t="n">
        <v>6</v>
      </c>
      <c r="Q369" s="4" t="n">
        <v>8</v>
      </c>
      <c r="R369" s="6" t="n">
        <f aca="false">IF(N(L369)=0,0,O369/L369)</f>
        <v>0.7</v>
      </c>
      <c r="S369" s="4" t="n">
        <f aca="false">IF(R369="","",IF(R369&gt;=0.8,50,IF(R369&gt;=0.5,30,IF(R369&gt;=0.01,10,0))))</f>
        <v>30</v>
      </c>
      <c r="T369" s="4" t="n">
        <f aca="false">IF(TRIM(AI369)="Yes",2.5,0)</f>
        <v>2.5</v>
      </c>
      <c r="U369" s="4" t="n">
        <f aca="false">IF(TRIM(AJ369)="Yes",10,0)</f>
        <v>10</v>
      </c>
      <c r="V369" s="4" t="n">
        <f aca="false">IF(TRIM(AK369)="Yes",5,0)</f>
        <v>5</v>
      </c>
      <c r="W369" s="4" t="n">
        <f aca="false">IF(TRIM(AM369)="Yes",5,0)</f>
        <v>5</v>
      </c>
      <c r="X369" s="4" t="n">
        <f aca="false">IF(OR(TRIM(AN369)="Fully Available",TRIM(AN369)="Not Applicable"),5,IF(TRIM(AN369)="Partially Available",2.5,0))</f>
        <v>5</v>
      </c>
      <c r="Y369" s="4" t="n">
        <f aca="false">IF(TRIM(AO369)="Yes",5,0)</f>
        <v>5</v>
      </c>
      <c r="Z369" s="4" t="n">
        <f aca="false">IF(TRIM(AP369)="Yes",2.5,0)</f>
        <v>2.5</v>
      </c>
      <c r="AA369" s="4" t="n">
        <f aca="false">IF(TRIM(AQ369)="Yes",5,0)</f>
        <v>5</v>
      </c>
      <c r="AB369" s="4" t="n">
        <f aca="false">IF(OR(TRIM(AR369)="Yes",TRIM(AR369)="Not Applicable"),5,0)</f>
        <v>5</v>
      </c>
      <c r="AC369" s="4" t="n">
        <f aca="false">IF(TRIM(AS369)="Excellent",5,IF(TRIM(AS369)="Very Good",4,IF(TRIM(AS369)="Good",3,IF(TRIM(AS369)="Average",2,0))))</f>
        <v>3</v>
      </c>
      <c r="AD369" s="7" t="n">
        <f aca="false">IF(COUNT(S369:AC369)=0,"",SUM(S369:AC369))</f>
        <v>78</v>
      </c>
      <c r="AE369" s="7"/>
      <c r="AF369" s="8"/>
      <c r="AG369" s="5"/>
      <c r="AH369" s="4"/>
      <c r="AI369" s="4" t="s">
        <v>62</v>
      </c>
      <c r="AJ369" s="4" t="s">
        <v>62</v>
      </c>
      <c r="AK369" s="4" t="s">
        <v>62</v>
      </c>
      <c r="AL369" s="4" t="s">
        <v>63</v>
      </c>
      <c r="AM369" s="4" t="s">
        <v>62</v>
      </c>
      <c r="AN369" s="4" t="s">
        <v>64</v>
      </c>
      <c r="AO369" s="4" t="s">
        <v>62</v>
      </c>
      <c r="AP369" s="4" t="s">
        <v>62</v>
      </c>
      <c r="AQ369" s="4" t="s">
        <v>62</v>
      </c>
      <c r="AR369" s="4" t="s">
        <v>62</v>
      </c>
      <c r="AS369" s="4" t="s">
        <v>185</v>
      </c>
      <c r="AT369" s="4" t="n">
        <v>9</v>
      </c>
      <c r="AU369" s="4" t="s">
        <v>66</v>
      </c>
      <c r="AV369" s="4" t="s">
        <v>151</v>
      </c>
      <c r="AW369" s="4" t="s">
        <v>1136</v>
      </c>
      <c r="AX369" s="4" t="s">
        <v>1137</v>
      </c>
      <c r="AY369" s="4" t="n">
        <v>4</v>
      </c>
      <c r="AZ369" s="4" t="s">
        <v>62</v>
      </c>
      <c r="BA369" s="4" t="s">
        <v>1135</v>
      </c>
      <c r="BB369" s="4" t="s">
        <v>760</v>
      </c>
      <c r="BC369" s="6" t="n">
        <v>0.5714</v>
      </c>
      <c r="BD369" s="4" t="n">
        <v>92</v>
      </c>
    </row>
    <row r="370" customFormat="false" ht="72.35" hidden="false" customHeight="false" outlineLevel="0" collapsed="false">
      <c r="A370" s="4" t="n">
        <v>158</v>
      </c>
      <c r="B370" s="4" t="s">
        <v>753</v>
      </c>
      <c r="C370" s="4" t="s">
        <v>57</v>
      </c>
      <c r="D370" s="4" t="s">
        <v>754</v>
      </c>
      <c r="E370" s="4" t="s">
        <v>828</v>
      </c>
      <c r="F370" s="4" t="n">
        <v>4549</v>
      </c>
      <c r="G370" s="5" t="s">
        <v>1138</v>
      </c>
      <c r="H370" s="5" t="s">
        <v>238</v>
      </c>
      <c r="I370" s="4"/>
      <c r="J370" s="4"/>
      <c r="K370" s="4"/>
      <c r="L370" s="4" t="n">
        <v>20</v>
      </c>
      <c r="M370" s="4" t="n">
        <v>20</v>
      </c>
      <c r="N370" s="4" t="n">
        <v>0</v>
      </c>
      <c r="O370" s="4" t="n">
        <v>17</v>
      </c>
      <c r="P370" s="4" t="n">
        <v>3</v>
      </c>
      <c r="Q370" s="4" t="n">
        <v>7</v>
      </c>
      <c r="R370" s="6" t="n">
        <f aca="false">IF(N(L370)=0,0,O370/L370)</f>
        <v>0.85</v>
      </c>
      <c r="S370" s="4" t="n">
        <f aca="false">IF(R370="","",IF(R370&gt;=0.8,50,IF(R370&gt;=0.5,30,IF(R370&gt;=0.01,10,0))))</f>
        <v>50</v>
      </c>
      <c r="T370" s="4" t="n">
        <f aca="false">IF(TRIM(AI370)="Yes",2.5,0)</f>
        <v>2.5</v>
      </c>
      <c r="U370" s="4" t="n">
        <f aca="false">IF(TRIM(AJ370)="Yes",10,0)</f>
        <v>10</v>
      </c>
      <c r="V370" s="4" t="n">
        <f aca="false">IF(TRIM(AK370)="Yes",5,0)</f>
        <v>5</v>
      </c>
      <c r="W370" s="4" t="n">
        <f aca="false">IF(TRIM(AM370)="Yes",5,0)</f>
        <v>5</v>
      </c>
      <c r="X370" s="4" t="n">
        <f aca="false">IF(OR(TRIM(AN370)="Fully Available",TRIM(AN370)="Not Applicable"),5,IF(TRIM(AN370)="Partially Available",2.5,0))</f>
        <v>5</v>
      </c>
      <c r="Y370" s="4" t="n">
        <f aca="false">IF(TRIM(AO370)="Yes",5,0)</f>
        <v>5</v>
      </c>
      <c r="Z370" s="4" t="n">
        <f aca="false">IF(TRIM(AP370)="Yes",2.5,0)</f>
        <v>2.5</v>
      </c>
      <c r="AA370" s="4" t="n">
        <f aca="false">IF(TRIM(AQ370)="Yes",5,0)</f>
        <v>5</v>
      </c>
      <c r="AB370" s="4" t="n">
        <f aca="false">IF(OR(TRIM(AR370)="Yes",TRIM(AR370)="Not Applicable"),5,0)</f>
        <v>5</v>
      </c>
      <c r="AC370" s="4" t="n">
        <f aca="false">IF(TRIM(AS370)="Excellent",5,IF(TRIM(AS370)="Very Good",4,IF(TRIM(AS370)="Good",3,IF(TRIM(AS370)="Average",2,0))))</f>
        <v>3</v>
      </c>
      <c r="AD370" s="7" t="n">
        <f aca="false">IF(COUNT(S370:AC370)=0,"",SUM(S370:AC370))</f>
        <v>98</v>
      </c>
      <c r="AE370" s="7" t="n">
        <f aca="false">IF(COUNTIF($F$2:F370,F370)=1,IFERROR(AVERAGEIF($F:$F,F370,$AD:$AD),""),"")</f>
        <v>98</v>
      </c>
      <c r="AF370" s="8" t="str">
        <f aca="false">IF(AH370&lt;&gt;"",AH370,IF(AE370="","",IF(AE370&gt;=80,"Excellent",IF(AE370&gt;=70,"Very Good",IF(AE370&gt;=60,"Good",IF(AE370&gt;=50,"Average","Poor"))))))</f>
        <v>Excellent</v>
      </c>
      <c r="AG370" s="5"/>
      <c r="AH370" s="4"/>
      <c r="AI370" s="4" t="s">
        <v>62</v>
      </c>
      <c r="AJ370" s="4" t="s">
        <v>62</v>
      </c>
      <c r="AK370" s="4" t="s">
        <v>62</v>
      </c>
      <c r="AL370" s="4" t="s">
        <v>63</v>
      </c>
      <c r="AM370" s="4" t="s">
        <v>62</v>
      </c>
      <c r="AN370" s="4" t="s">
        <v>64</v>
      </c>
      <c r="AO370" s="4" t="s">
        <v>62</v>
      </c>
      <c r="AP370" s="4" t="s">
        <v>62</v>
      </c>
      <c r="AQ370" s="4" t="s">
        <v>62</v>
      </c>
      <c r="AR370" s="4" t="s">
        <v>62</v>
      </c>
      <c r="AS370" s="4" t="s">
        <v>185</v>
      </c>
      <c r="AT370" s="4" t="n">
        <v>5</v>
      </c>
      <c r="AU370" s="4" t="s">
        <v>66</v>
      </c>
      <c r="AV370" s="4" t="s">
        <v>91</v>
      </c>
      <c r="AW370" s="4" t="s">
        <v>1139</v>
      </c>
      <c r="AX370" s="4" t="s">
        <v>519</v>
      </c>
      <c r="AY370" s="4" t="n">
        <v>5</v>
      </c>
      <c r="AZ370" s="4" t="s">
        <v>62</v>
      </c>
      <c r="BA370" s="4" t="s">
        <v>1140</v>
      </c>
      <c r="BB370" s="4" t="s">
        <v>760</v>
      </c>
      <c r="BC370" s="6" t="n">
        <v>0.4118</v>
      </c>
      <c r="BD370" s="4" t="n">
        <v>95</v>
      </c>
    </row>
    <row r="371" customFormat="false" ht="72.35" hidden="false" customHeight="false" outlineLevel="0" collapsed="false">
      <c r="A371" s="4"/>
      <c r="B371" s="4" t="s">
        <v>753</v>
      </c>
      <c r="C371" s="4" t="s">
        <v>57</v>
      </c>
      <c r="D371" s="4" t="s">
        <v>754</v>
      </c>
      <c r="E371" s="4" t="s">
        <v>828</v>
      </c>
      <c r="F371" s="4" t="n">
        <v>4549</v>
      </c>
      <c r="G371" s="5" t="s">
        <v>1138</v>
      </c>
      <c r="H371" s="5" t="s">
        <v>90</v>
      </c>
      <c r="I371" s="4"/>
      <c r="J371" s="4"/>
      <c r="K371" s="4"/>
      <c r="L371" s="4" t="n">
        <v>20</v>
      </c>
      <c r="M371" s="4" t="n">
        <v>20</v>
      </c>
      <c r="N371" s="4" t="n">
        <v>0</v>
      </c>
      <c r="O371" s="4" t="n">
        <v>16</v>
      </c>
      <c r="P371" s="4" t="n">
        <v>4</v>
      </c>
      <c r="Q371" s="4" t="n">
        <v>7</v>
      </c>
      <c r="R371" s="6" t="n">
        <f aca="false">IF(N(L371)=0,0,O371/L371)</f>
        <v>0.8</v>
      </c>
      <c r="S371" s="4" t="n">
        <f aca="false">IF(R371="","",IF(R371&gt;=0.8,50,IF(R371&gt;=0.5,30,IF(R371&gt;=0.01,10,0))))</f>
        <v>50</v>
      </c>
      <c r="T371" s="4" t="n">
        <f aca="false">IF(TRIM(AI371)="Yes",2.5,0)</f>
        <v>2.5</v>
      </c>
      <c r="U371" s="4" t="n">
        <f aca="false">IF(TRIM(AJ371)="Yes",10,0)</f>
        <v>10</v>
      </c>
      <c r="V371" s="4" t="n">
        <f aca="false">IF(TRIM(AK371)="Yes",5,0)</f>
        <v>5</v>
      </c>
      <c r="W371" s="4" t="n">
        <f aca="false">IF(TRIM(AM371)="Yes",5,0)</f>
        <v>5</v>
      </c>
      <c r="X371" s="4" t="n">
        <f aca="false">IF(OR(TRIM(AN371)="Fully Available",TRIM(AN371)="Not Applicable"),5,IF(TRIM(AN371)="Partially Available",2.5,0))</f>
        <v>5</v>
      </c>
      <c r="Y371" s="4" t="n">
        <f aca="false">IF(TRIM(AO371)="Yes",5,0)</f>
        <v>5</v>
      </c>
      <c r="Z371" s="4" t="n">
        <f aca="false">IF(TRIM(AP371)="Yes",2.5,0)</f>
        <v>2.5</v>
      </c>
      <c r="AA371" s="4" t="n">
        <f aca="false">IF(TRIM(AQ371)="Yes",5,0)</f>
        <v>5</v>
      </c>
      <c r="AB371" s="4" t="n">
        <f aca="false">IF(OR(TRIM(AR371)="Yes",TRIM(AR371)="Not Applicable"),5,0)</f>
        <v>5</v>
      </c>
      <c r="AC371" s="4" t="n">
        <f aca="false">IF(TRIM(AS371)="Excellent",5,IF(TRIM(AS371)="Very Good",4,IF(TRIM(AS371)="Good",3,IF(TRIM(AS371)="Average",2,0))))</f>
        <v>3</v>
      </c>
      <c r="AD371" s="7" t="n">
        <f aca="false">IF(COUNT(S371:AC371)=0,"",SUM(S371:AC371))</f>
        <v>98</v>
      </c>
      <c r="AE371" s="7"/>
      <c r="AF371" s="8"/>
      <c r="AG371" s="5"/>
      <c r="AH371" s="4"/>
      <c r="AI371" s="4" t="s">
        <v>62</v>
      </c>
      <c r="AJ371" s="4" t="s">
        <v>62</v>
      </c>
      <c r="AK371" s="4" t="s">
        <v>62</v>
      </c>
      <c r="AL371" s="4" t="s">
        <v>63</v>
      </c>
      <c r="AM371" s="4" t="s">
        <v>62</v>
      </c>
      <c r="AN371" s="4" t="s">
        <v>64</v>
      </c>
      <c r="AO371" s="4" t="s">
        <v>62</v>
      </c>
      <c r="AP371" s="4" t="s">
        <v>62</v>
      </c>
      <c r="AQ371" s="4" t="s">
        <v>62</v>
      </c>
      <c r="AR371" s="4" t="s">
        <v>62</v>
      </c>
      <c r="AS371" s="4" t="s">
        <v>185</v>
      </c>
      <c r="AT371" s="4" t="n">
        <v>6</v>
      </c>
      <c r="AU371" s="4" t="s">
        <v>66</v>
      </c>
      <c r="AV371" s="4" t="s">
        <v>91</v>
      </c>
      <c r="AW371" s="4" t="s">
        <v>1141</v>
      </c>
      <c r="AX371" s="4" t="s">
        <v>1142</v>
      </c>
      <c r="AY371" s="4" t="n">
        <v>9</v>
      </c>
      <c r="AZ371" s="4" t="s">
        <v>62</v>
      </c>
      <c r="BA371" s="4" t="s">
        <v>1140</v>
      </c>
      <c r="BB371" s="4" t="s">
        <v>760</v>
      </c>
      <c r="BC371" s="6" t="n">
        <v>0.4375</v>
      </c>
      <c r="BD371" s="4" t="n">
        <v>95</v>
      </c>
    </row>
    <row r="372" customFormat="false" ht="86.55" hidden="false" customHeight="false" outlineLevel="0" collapsed="false">
      <c r="A372" s="4" t="n">
        <v>159</v>
      </c>
      <c r="B372" s="4" t="s">
        <v>753</v>
      </c>
      <c r="C372" s="4" t="s">
        <v>57</v>
      </c>
      <c r="D372" s="4" t="s">
        <v>754</v>
      </c>
      <c r="E372" s="4" t="s">
        <v>823</v>
      </c>
      <c r="F372" s="4" t="n">
        <v>2219</v>
      </c>
      <c r="G372" s="5" t="s">
        <v>1143</v>
      </c>
      <c r="H372" s="5" t="s">
        <v>430</v>
      </c>
      <c r="I372" s="4"/>
      <c r="J372" s="4"/>
      <c r="K372" s="4"/>
      <c r="L372" s="4" t="n">
        <v>20</v>
      </c>
      <c r="M372" s="4" t="n">
        <v>20</v>
      </c>
      <c r="N372" s="4" t="n">
        <v>0</v>
      </c>
      <c r="O372" s="4" t="n">
        <v>15</v>
      </c>
      <c r="P372" s="4" t="n">
        <v>5</v>
      </c>
      <c r="Q372" s="4" t="n">
        <v>8</v>
      </c>
      <c r="R372" s="6" t="n">
        <f aca="false">IF(N(L372)=0,0,O372/L372)</f>
        <v>0.75</v>
      </c>
      <c r="S372" s="4" t="n">
        <f aca="false">IF(R372="","",IF(R372&gt;=0.8,50,IF(R372&gt;=0.5,30,IF(R372&gt;=0.01,10,0))))</f>
        <v>30</v>
      </c>
      <c r="T372" s="4" t="n">
        <f aca="false">IF(TRIM(AI372)="Yes",2.5,0)</f>
        <v>2.5</v>
      </c>
      <c r="U372" s="4" t="n">
        <f aca="false">IF(TRIM(AJ372)="Yes",10,0)</f>
        <v>0</v>
      </c>
      <c r="V372" s="4" t="n">
        <f aca="false">IF(TRIM(AK372)="Yes",5,0)</f>
        <v>5</v>
      </c>
      <c r="W372" s="4" t="n">
        <f aca="false">IF(TRIM(AM372)="Yes",5,0)</f>
        <v>5</v>
      </c>
      <c r="X372" s="4" t="n">
        <f aca="false">IF(OR(TRIM(AN372)="Fully Available",TRIM(AN372)="Not Applicable"),5,IF(TRIM(AN372)="Partially Available",2.5,0))</f>
        <v>5</v>
      </c>
      <c r="Y372" s="4" t="n">
        <f aca="false">IF(TRIM(AO372)="Yes",5,0)</f>
        <v>5</v>
      </c>
      <c r="Z372" s="4" t="n">
        <f aca="false">IF(TRIM(AP372)="Yes",2.5,0)</f>
        <v>2.5</v>
      </c>
      <c r="AA372" s="4" t="n">
        <f aca="false">IF(TRIM(AQ372)="Yes",5,0)</f>
        <v>5</v>
      </c>
      <c r="AB372" s="4" t="n">
        <f aca="false">IF(OR(TRIM(AR372)="Yes",TRIM(AR372)="Not Applicable"),5,0)</f>
        <v>0</v>
      </c>
      <c r="AC372" s="4" t="n">
        <f aca="false">IF(TRIM(AS372)="Excellent",5,IF(TRIM(AS372)="Very Good",4,IF(TRIM(AS372)="Good",3,IF(TRIM(AS372)="Average",2,0))))</f>
        <v>3</v>
      </c>
      <c r="AD372" s="7" t="n">
        <f aca="false">IF(COUNT(S372:AC372)=0,"",SUM(S372:AC372))</f>
        <v>63</v>
      </c>
      <c r="AE372" s="7" t="n">
        <f aca="false">IF(COUNTIF($F$2:F372,F372)=1,IFERROR(AVERAGEIF($F:$F,F372,$AD:$AD),""),"")</f>
        <v>79.6666666666667</v>
      </c>
      <c r="AF372" s="8" t="str">
        <f aca="false">IF(AH372&lt;&gt;"",AH372,IF(AE372="","",IF(AE372&gt;=80,"Excellent",IF(AE372&gt;=70,"Very Good",IF(AE372&gt;=60,"Good",IF(AE372&gt;=50,"Average","Poor"))))))</f>
        <v>Very Good</v>
      </c>
      <c r="AG372" s="5"/>
      <c r="AH372" s="4"/>
      <c r="AI372" s="4" t="s">
        <v>62</v>
      </c>
      <c r="AJ372" s="4" t="s">
        <v>82</v>
      </c>
      <c r="AK372" s="4" t="s">
        <v>62</v>
      </c>
      <c r="AL372" s="4" t="s">
        <v>63</v>
      </c>
      <c r="AM372" s="4" t="s">
        <v>62</v>
      </c>
      <c r="AN372" s="4" t="s">
        <v>64</v>
      </c>
      <c r="AO372" s="4" t="s">
        <v>62</v>
      </c>
      <c r="AP372" s="4" t="s">
        <v>62</v>
      </c>
      <c r="AQ372" s="4" t="s">
        <v>62</v>
      </c>
      <c r="AR372" s="4" t="s">
        <v>82</v>
      </c>
      <c r="AS372" s="4" t="s">
        <v>185</v>
      </c>
      <c r="AT372" s="4" t="n">
        <v>4</v>
      </c>
      <c r="AU372" s="4" t="s">
        <v>66</v>
      </c>
      <c r="AV372" s="4" t="s">
        <v>67</v>
      </c>
      <c r="AW372" s="4" t="s">
        <v>1144</v>
      </c>
      <c r="AX372" s="4" t="s">
        <v>1145</v>
      </c>
      <c r="AY372" s="4" t="n">
        <v>6</v>
      </c>
      <c r="AZ372" s="4" t="s">
        <v>62</v>
      </c>
      <c r="BA372" s="4" t="s">
        <v>1146</v>
      </c>
      <c r="BB372" s="4" t="s">
        <v>760</v>
      </c>
      <c r="BC372" s="6" t="n">
        <v>0.5333</v>
      </c>
      <c r="BD372" s="4" t="n">
        <v>61</v>
      </c>
    </row>
    <row r="373" customFormat="false" ht="86.55" hidden="false" customHeight="false" outlineLevel="0" collapsed="false">
      <c r="A373" s="4"/>
      <c r="B373" s="4" t="s">
        <v>753</v>
      </c>
      <c r="C373" s="4" t="s">
        <v>57</v>
      </c>
      <c r="D373" s="4" t="s">
        <v>754</v>
      </c>
      <c r="E373" s="4" t="s">
        <v>823</v>
      </c>
      <c r="F373" s="4" t="n">
        <v>2219</v>
      </c>
      <c r="G373" s="5" t="s">
        <v>1143</v>
      </c>
      <c r="H373" s="5" t="s">
        <v>746</v>
      </c>
      <c r="I373" s="4"/>
      <c r="J373" s="4"/>
      <c r="K373" s="4"/>
      <c r="L373" s="4" t="n">
        <v>20</v>
      </c>
      <c r="M373" s="4" t="n">
        <v>20</v>
      </c>
      <c r="N373" s="4" t="n">
        <v>0</v>
      </c>
      <c r="O373" s="4" t="n">
        <v>16</v>
      </c>
      <c r="P373" s="4" t="n">
        <v>4</v>
      </c>
      <c r="Q373" s="4" t="n">
        <v>8</v>
      </c>
      <c r="R373" s="6" t="n">
        <f aca="false">IF(N(L373)=0,0,O373/L373)</f>
        <v>0.8</v>
      </c>
      <c r="S373" s="4" t="n">
        <f aca="false">IF(R373="","",IF(R373&gt;=0.8,50,IF(R373&gt;=0.5,30,IF(R373&gt;=0.01,10,0))))</f>
        <v>50</v>
      </c>
      <c r="T373" s="4" t="n">
        <f aca="false">IF(TRIM(AI373)="Yes",2.5,0)</f>
        <v>2.5</v>
      </c>
      <c r="U373" s="4" t="n">
        <f aca="false">IF(TRIM(AJ373)="Yes",10,0)</f>
        <v>0</v>
      </c>
      <c r="V373" s="4" t="n">
        <f aca="false">IF(TRIM(AK373)="Yes",5,0)</f>
        <v>5</v>
      </c>
      <c r="W373" s="4" t="n">
        <f aca="false">IF(TRIM(AM373)="Yes",5,0)</f>
        <v>5</v>
      </c>
      <c r="X373" s="4" t="n">
        <f aca="false">IF(OR(TRIM(AN373)="Fully Available",TRIM(AN373)="Not Applicable"),5,IF(TRIM(AN373)="Partially Available",2.5,0))</f>
        <v>5</v>
      </c>
      <c r="Y373" s="4" t="n">
        <f aca="false">IF(TRIM(AO373)="Yes",5,0)</f>
        <v>5</v>
      </c>
      <c r="Z373" s="4" t="n">
        <f aca="false">IF(TRIM(AP373)="Yes",2.5,0)</f>
        <v>2.5</v>
      </c>
      <c r="AA373" s="4" t="n">
        <f aca="false">IF(TRIM(AQ373)="Yes",5,0)</f>
        <v>5</v>
      </c>
      <c r="AB373" s="4" t="n">
        <f aca="false">IF(OR(TRIM(AR373)="Yes",TRIM(AR373)="Not Applicable"),5,0)</f>
        <v>5</v>
      </c>
      <c r="AC373" s="4" t="n">
        <f aca="false">IF(TRIM(AS373)="Excellent",5,IF(TRIM(AS373)="Very Good",4,IF(TRIM(AS373)="Good",3,IF(TRIM(AS373)="Average",2,0))))</f>
        <v>3</v>
      </c>
      <c r="AD373" s="7" t="n">
        <f aca="false">IF(COUNT(S373:AC373)=0,"",SUM(S373:AC373))</f>
        <v>88</v>
      </c>
      <c r="AE373" s="7"/>
      <c r="AF373" s="8"/>
      <c r="AG373" s="5"/>
      <c r="AH373" s="4"/>
      <c r="AI373" s="4" t="s">
        <v>62</v>
      </c>
      <c r="AJ373" s="4" t="s">
        <v>82</v>
      </c>
      <c r="AK373" s="4" t="s">
        <v>62</v>
      </c>
      <c r="AL373" s="4" t="s">
        <v>63</v>
      </c>
      <c r="AM373" s="4" t="s">
        <v>62</v>
      </c>
      <c r="AN373" s="4" t="s">
        <v>73</v>
      </c>
      <c r="AO373" s="4" t="s">
        <v>62</v>
      </c>
      <c r="AP373" s="4" t="s">
        <v>62</v>
      </c>
      <c r="AQ373" s="4" t="s">
        <v>62</v>
      </c>
      <c r="AR373" s="4" t="s">
        <v>73</v>
      </c>
      <c r="AS373" s="4" t="s">
        <v>185</v>
      </c>
      <c r="AT373" s="4" t="n">
        <v>12</v>
      </c>
      <c r="AU373" s="4" t="s">
        <v>66</v>
      </c>
      <c r="AV373" s="4" t="s">
        <v>67</v>
      </c>
      <c r="AW373" s="4" t="s">
        <v>1147</v>
      </c>
      <c r="AX373" s="4" t="s">
        <v>508</v>
      </c>
      <c r="AY373" s="4" t="n">
        <v>9</v>
      </c>
      <c r="AZ373" s="4" t="s">
        <v>62</v>
      </c>
      <c r="BA373" s="4" t="s">
        <v>1146</v>
      </c>
      <c r="BB373" s="4" t="s">
        <v>760</v>
      </c>
      <c r="BC373" s="6" t="n">
        <v>0.5</v>
      </c>
      <c r="BD373" s="4" t="n">
        <v>61</v>
      </c>
    </row>
    <row r="374" customFormat="false" ht="86.55" hidden="false" customHeight="false" outlineLevel="0" collapsed="false">
      <c r="A374" s="4"/>
      <c r="B374" s="4" t="s">
        <v>753</v>
      </c>
      <c r="C374" s="4" t="s">
        <v>57</v>
      </c>
      <c r="D374" s="4" t="s">
        <v>754</v>
      </c>
      <c r="E374" s="4" t="s">
        <v>823</v>
      </c>
      <c r="F374" s="4" t="n">
        <v>2219</v>
      </c>
      <c r="G374" s="5" t="s">
        <v>1143</v>
      </c>
      <c r="H374" s="5" t="s">
        <v>273</v>
      </c>
      <c r="I374" s="4"/>
      <c r="J374" s="4"/>
      <c r="K374" s="4"/>
      <c r="L374" s="4" t="n">
        <v>20</v>
      </c>
      <c r="M374" s="4" t="n">
        <v>20</v>
      </c>
      <c r="N374" s="4" t="n">
        <v>0</v>
      </c>
      <c r="O374" s="4" t="n">
        <v>16</v>
      </c>
      <c r="P374" s="4" t="n">
        <v>4</v>
      </c>
      <c r="Q374" s="4" t="n">
        <v>10</v>
      </c>
      <c r="R374" s="6" t="n">
        <f aca="false">IF(N(L374)=0,0,O374/L374)</f>
        <v>0.8</v>
      </c>
      <c r="S374" s="4" t="n">
        <f aca="false">IF(R374="","",IF(R374&gt;=0.8,50,IF(R374&gt;=0.5,30,IF(R374&gt;=0.01,10,0))))</f>
        <v>50</v>
      </c>
      <c r="T374" s="4" t="n">
        <f aca="false">IF(TRIM(AI374)="Yes",2.5,0)</f>
        <v>2.5</v>
      </c>
      <c r="U374" s="4" t="n">
        <f aca="false">IF(TRIM(AJ374)="Yes",10,0)</f>
        <v>0</v>
      </c>
      <c r="V374" s="4" t="n">
        <f aca="false">IF(TRIM(AK374)="Yes",5,0)</f>
        <v>5</v>
      </c>
      <c r="W374" s="4" t="n">
        <f aca="false">IF(TRIM(AM374)="Yes",5,0)</f>
        <v>5</v>
      </c>
      <c r="X374" s="4" t="n">
        <f aca="false">IF(OR(TRIM(AN374)="Fully Available",TRIM(AN374)="Not Applicable"),5,IF(TRIM(AN374)="Partially Available",2.5,0))</f>
        <v>5</v>
      </c>
      <c r="Y374" s="4" t="n">
        <f aca="false">IF(TRIM(AO374)="Yes",5,0)</f>
        <v>5</v>
      </c>
      <c r="Z374" s="4" t="n">
        <f aca="false">IF(TRIM(AP374)="Yes",2.5,0)</f>
        <v>2.5</v>
      </c>
      <c r="AA374" s="4" t="n">
        <f aca="false">IF(TRIM(AQ374)="Yes",5,0)</f>
        <v>5</v>
      </c>
      <c r="AB374" s="4" t="n">
        <f aca="false">IF(OR(TRIM(AR374)="Yes",TRIM(AR374)="Not Applicable"),5,0)</f>
        <v>5</v>
      </c>
      <c r="AC374" s="4" t="n">
        <f aca="false">IF(TRIM(AS374)="Excellent",5,IF(TRIM(AS374)="Very Good",4,IF(TRIM(AS374)="Good",3,IF(TRIM(AS374)="Average",2,0))))</f>
        <v>3</v>
      </c>
      <c r="AD374" s="7" t="n">
        <f aca="false">IF(COUNT(S374:AC374)=0,"",SUM(S374:AC374))</f>
        <v>88</v>
      </c>
      <c r="AE374" s="7"/>
      <c r="AF374" s="8"/>
      <c r="AG374" s="5"/>
      <c r="AH374" s="4"/>
      <c r="AI374" s="4" t="s">
        <v>62</v>
      </c>
      <c r="AJ374" s="4" t="s">
        <v>82</v>
      </c>
      <c r="AK374" s="4" t="s">
        <v>62</v>
      </c>
      <c r="AL374" s="4" t="s">
        <v>63</v>
      </c>
      <c r="AM374" s="4" t="s">
        <v>62</v>
      </c>
      <c r="AN374" s="4" t="s">
        <v>73</v>
      </c>
      <c r="AO374" s="4" t="s">
        <v>62</v>
      </c>
      <c r="AP374" s="4" t="s">
        <v>62</v>
      </c>
      <c r="AQ374" s="4" t="s">
        <v>62</v>
      </c>
      <c r="AR374" s="4" t="s">
        <v>73</v>
      </c>
      <c r="AS374" s="4" t="s">
        <v>185</v>
      </c>
      <c r="AT374" s="4" t="n">
        <v>4</v>
      </c>
      <c r="AU374" s="4" t="s">
        <v>66</v>
      </c>
      <c r="AV374" s="4" t="s">
        <v>67</v>
      </c>
      <c r="AW374" s="4" t="s">
        <v>1148</v>
      </c>
      <c r="AX374" s="4" t="s">
        <v>1149</v>
      </c>
      <c r="AY374" s="4" t="n">
        <v>1</v>
      </c>
      <c r="AZ374" s="4" t="s">
        <v>62</v>
      </c>
      <c r="BA374" s="4" t="s">
        <v>1146</v>
      </c>
      <c r="BB374" s="4" t="s">
        <v>760</v>
      </c>
      <c r="BC374" s="6" t="n">
        <v>0.625</v>
      </c>
      <c r="BD374" s="4" t="n">
        <v>61</v>
      </c>
    </row>
    <row r="375" customFormat="false" ht="270.85" hidden="false" customHeight="false" outlineLevel="0" collapsed="false">
      <c r="A375" s="4" t="n">
        <v>160</v>
      </c>
      <c r="B375" s="4" t="s">
        <v>753</v>
      </c>
      <c r="C375" s="4" t="s">
        <v>57</v>
      </c>
      <c r="D375" s="4" t="s">
        <v>754</v>
      </c>
      <c r="E375" s="4" t="s">
        <v>755</v>
      </c>
      <c r="F375" s="4" t="n">
        <v>5833</v>
      </c>
      <c r="G375" s="5" t="s">
        <v>1150</v>
      </c>
      <c r="H375" s="5" t="s">
        <v>238</v>
      </c>
      <c r="I375" s="4"/>
      <c r="J375" s="4"/>
      <c r="K375" s="4"/>
      <c r="L375" s="4" t="n">
        <v>20</v>
      </c>
      <c r="M375" s="4" t="n">
        <v>20</v>
      </c>
      <c r="N375" s="4" t="n">
        <v>0</v>
      </c>
      <c r="O375" s="4" t="n">
        <v>16</v>
      </c>
      <c r="P375" s="4" t="n">
        <v>4</v>
      </c>
      <c r="Q375" s="4" t="n">
        <v>7</v>
      </c>
      <c r="R375" s="6" t="n">
        <f aca="false">IF(N(L375)=0,0,O375/L375)</f>
        <v>0.8</v>
      </c>
      <c r="S375" s="4" t="n">
        <f aca="false">IF(R375="","",IF(R375&gt;=0.8,50,IF(R375&gt;=0.5,30,IF(R375&gt;=0.01,10,0))))</f>
        <v>50</v>
      </c>
      <c r="T375" s="4" t="n">
        <f aca="false">IF(TRIM(AI375)="Yes",2.5,0)</f>
        <v>2.5</v>
      </c>
      <c r="U375" s="4" t="n">
        <f aca="false">IF(TRIM(AJ375)="Yes",10,0)</f>
        <v>10</v>
      </c>
      <c r="V375" s="4" t="n">
        <f aca="false">IF(TRIM(AK375)="Yes",5,0)</f>
        <v>5</v>
      </c>
      <c r="W375" s="4" t="n">
        <f aca="false">IF(TRIM(AM375)="Yes",5,0)</f>
        <v>5</v>
      </c>
      <c r="X375" s="4" t="n">
        <f aca="false">IF(OR(TRIM(AN375)="Fully Available",TRIM(AN375)="Not Applicable"),5,IF(TRIM(AN375)="Partially Available",2.5,0))</f>
        <v>5</v>
      </c>
      <c r="Y375" s="4" t="n">
        <f aca="false">IF(TRIM(AO375)="Yes",5,0)</f>
        <v>5</v>
      </c>
      <c r="Z375" s="4" t="n">
        <f aca="false">IF(TRIM(AP375)="Yes",2.5,0)</f>
        <v>2.5</v>
      </c>
      <c r="AA375" s="4" t="n">
        <f aca="false">IF(TRIM(AQ375)="Yes",5,0)</f>
        <v>5</v>
      </c>
      <c r="AB375" s="4" t="n">
        <f aca="false">IF(OR(TRIM(AR375)="Yes",TRIM(AR375)="Not Applicable"),5,0)</f>
        <v>5</v>
      </c>
      <c r="AC375" s="4" t="n">
        <f aca="false">IF(TRIM(AS375)="Excellent",5,IF(TRIM(AS375)="Very Good",4,IF(TRIM(AS375)="Good",3,IF(TRIM(AS375)="Average",2,0))))</f>
        <v>4</v>
      </c>
      <c r="AD375" s="7" t="n">
        <f aca="false">IF(COUNT(S375:AC375)=0,"",SUM(S375:AC375))</f>
        <v>99</v>
      </c>
      <c r="AE375" s="7" t="n">
        <f aca="false">IF(COUNTIF($F$2:F375,F375)=1,IFERROR(AVERAGEIF($F:$F,F375,$AD:$AD),""),"")</f>
        <v>89</v>
      </c>
      <c r="AF375" s="8" t="str">
        <f aca="false">IF(AH375&lt;&gt;"",AH375,IF(AE375="","",IF(AE375&gt;=80,"Excellent",IF(AE375&gt;=70,"Very Good",IF(AE375&gt;=60,"Good",IF(AE375&gt;=50,"Average","Poor"))))))</f>
        <v>Excellent</v>
      </c>
      <c r="AG375" s="5"/>
      <c r="AH375" s="4"/>
      <c r="AI375" s="4" t="s">
        <v>62</v>
      </c>
      <c r="AJ375" s="4" t="s">
        <v>62</v>
      </c>
      <c r="AK375" s="4" t="s">
        <v>62</v>
      </c>
      <c r="AL375" s="4" t="s">
        <v>63</v>
      </c>
      <c r="AM375" s="4" t="s">
        <v>62</v>
      </c>
      <c r="AN375" s="4" t="s">
        <v>64</v>
      </c>
      <c r="AO375" s="4" t="s">
        <v>62</v>
      </c>
      <c r="AP375" s="4" t="s">
        <v>62</v>
      </c>
      <c r="AQ375" s="4" t="s">
        <v>62</v>
      </c>
      <c r="AR375" s="4" t="s">
        <v>73</v>
      </c>
      <c r="AS375" s="4" t="s">
        <v>74</v>
      </c>
      <c r="AT375" s="4" t="n">
        <v>7</v>
      </c>
      <c r="AU375" s="4" t="s">
        <v>66</v>
      </c>
      <c r="AV375" s="4" t="s">
        <v>128</v>
      </c>
      <c r="AW375" s="4" t="s">
        <v>1151</v>
      </c>
      <c r="AX375" s="4" t="s">
        <v>1152</v>
      </c>
      <c r="AY375" s="4" t="n">
        <v>6</v>
      </c>
      <c r="AZ375" s="4" t="s">
        <v>62</v>
      </c>
      <c r="BA375" s="4" t="s">
        <v>1153</v>
      </c>
      <c r="BB375" s="4" t="s">
        <v>760</v>
      </c>
      <c r="BC375" s="6" t="n">
        <v>0.4375</v>
      </c>
      <c r="BD375" s="4" t="n">
        <v>83</v>
      </c>
    </row>
    <row r="376" customFormat="false" ht="270.85" hidden="false" customHeight="false" outlineLevel="0" collapsed="false">
      <c r="A376" s="4"/>
      <c r="B376" s="4" t="s">
        <v>753</v>
      </c>
      <c r="C376" s="4" t="s">
        <v>57</v>
      </c>
      <c r="D376" s="4" t="s">
        <v>754</v>
      </c>
      <c r="E376" s="4" t="s">
        <v>755</v>
      </c>
      <c r="F376" s="4" t="n">
        <v>5833</v>
      </c>
      <c r="G376" s="5" t="s">
        <v>1150</v>
      </c>
      <c r="H376" s="5" t="s">
        <v>72</v>
      </c>
      <c r="I376" s="4"/>
      <c r="J376" s="4"/>
      <c r="K376" s="4"/>
      <c r="L376" s="4" t="n">
        <v>20</v>
      </c>
      <c r="M376" s="4" t="n">
        <v>20</v>
      </c>
      <c r="N376" s="4" t="n">
        <v>0</v>
      </c>
      <c r="O376" s="4" t="n">
        <v>14</v>
      </c>
      <c r="P376" s="4" t="n">
        <v>6</v>
      </c>
      <c r="Q376" s="4" t="n">
        <v>8</v>
      </c>
      <c r="R376" s="6" t="n">
        <f aca="false">IF(N(L376)=0,0,O376/L376)</f>
        <v>0.7</v>
      </c>
      <c r="S376" s="4" t="n">
        <f aca="false">IF(R376="","",IF(R376&gt;=0.8,50,IF(R376&gt;=0.5,30,IF(R376&gt;=0.01,10,0))))</f>
        <v>30</v>
      </c>
      <c r="T376" s="4" t="n">
        <f aca="false">IF(TRIM(AI376)="Yes",2.5,0)</f>
        <v>2.5</v>
      </c>
      <c r="U376" s="4" t="n">
        <f aca="false">IF(TRIM(AJ376)="Yes",10,0)</f>
        <v>10</v>
      </c>
      <c r="V376" s="4" t="n">
        <f aca="false">IF(TRIM(AK376)="Yes",5,0)</f>
        <v>5</v>
      </c>
      <c r="W376" s="4" t="n">
        <f aca="false">IF(TRIM(AM376)="Yes",5,0)</f>
        <v>5</v>
      </c>
      <c r="X376" s="4" t="n">
        <f aca="false">IF(OR(TRIM(AN376)="Fully Available",TRIM(AN376)="Not Applicable"),5,IF(TRIM(AN376)="Partially Available",2.5,0))</f>
        <v>5</v>
      </c>
      <c r="Y376" s="4" t="n">
        <f aca="false">IF(TRIM(AO376)="Yes",5,0)</f>
        <v>5</v>
      </c>
      <c r="Z376" s="4" t="n">
        <f aca="false">IF(TRIM(AP376)="Yes",2.5,0)</f>
        <v>2.5</v>
      </c>
      <c r="AA376" s="4" t="n">
        <f aca="false">IF(TRIM(AQ376)="Yes",5,0)</f>
        <v>5</v>
      </c>
      <c r="AB376" s="4" t="n">
        <f aca="false">IF(OR(TRIM(AR376)="Yes",TRIM(AR376)="Not Applicable"),5,0)</f>
        <v>5</v>
      </c>
      <c r="AC376" s="4" t="n">
        <f aca="false">IF(TRIM(AS376)="Excellent",5,IF(TRIM(AS376)="Very Good",4,IF(TRIM(AS376)="Good",3,IF(TRIM(AS376)="Average",2,0))))</f>
        <v>4</v>
      </c>
      <c r="AD376" s="7" t="n">
        <f aca="false">IF(COUNT(S376:AC376)=0,"",SUM(S376:AC376))</f>
        <v>79</v>
      </c>
      <c r="AE376" s="7"/>
      <c r="AF376" s="8"/>
      <c r="AG376" s="5"/>
      <c r="AH376" s="4"/>
      <c r="AI376" s="4" t="s">
        <v>62</v>
      </c>
      <c r="AJ376" s="4" t="s">
        <v>62</v>
      </c>
      <c r="AK376" s="4" t="s">
        <v>62</v>
      </c>
      <c r="AL376" s="4" t="s">
        <v>63</v>
      </c>
      <c r="AM376" s="4" t="s">
        <v>62</v>
      </c>
      <c r="AN376" s="4" t="s">
        <v>64</v>
      </c>
      <c r="AO376" s="4" t="s">
        <v>62</v>
      </c>
      <c r="AP376" s="4" t="s">
        <v>62</v>
      </c>
      <c r="AQ376" s="4" t="s">
        <v>62</v>
      </c>
      <c r="AR376" s="4" t="s">
        <v>73</v>
      </c>
      <c r="AS376" s="4" t="s">
        <v>74</v>
      </c>
      <c r="AT376" s="4" t="n">
        <v>7</v>
      </c>
      <c r="AU376" s="4" t="s">
        <v>66</v>
      </c>
      <c r="AV376" s="4" t="s">
        <v>128</v>
      </c>
      <c r="AW376" s="4" t="s">
        <v>1154</v>
      </c>
      <c r="AX376" s="4" t="s">
        <v>290</v>
      </c>
      <c r="AY376" s="4" t="n">
        <v>5</v>
      </c>
      <c r="AZ376" s="4" t="s">
        <v>62</v>
      </c>
      <c r="BA376" s="4" t="s">
        <v>1153</v>
      </c>
      <c r="BB376" s="4" t="s">
        <v>760</v>
      </c>
      <c r="BC376" s="6" t="n">
        <v>0.5714</v>
      </c>
      <c r="BD376" s="4" t="n">
        <v>83</v>
      </c>
    </row>
    <row r="377" customFormat="false" ht="199.95" hidden="false" customHeight="false" outlineLevel="0" collapsed="false">
      <c r="A377" s="4" t="n">
        <v>161</v>
      </c>
      <c r="B377" s="4" t="s">
        <v>753</v>
      </c>
      <c r="C377" s="4" t="s">
        <v>57</v>
      </c>
      <c r="D377" s="4" t="s">
        <v>754</v>
      </c>
      <c r="E377" s="4" t="s">
        <v>779</v>
      </c>
      <c r="F377" s="4" t="n">
        <v>5332</v>
      </c>
      <c r="G377" s="5" t="s">
        <v>1155</v>
      </c>
      <c r="H377" s="5" t="s">
        <v>238</v>
      </c>
      <c r="I377" s="4"/>
      <c r="J377" s="4"/>
      <c r="K377" s="4"/>
      <c r="L377" s="4" t="n">
        <v>20</v>
      </c>
      <c r="M377" s="4" t="n">
        <v>20</v>
      </c>
      <c r="N377" s="4" t="n">
        <v>0</v>
      </c>
      <c r="O377" s="4" t="n">
        <v>13</v>
      </c>
      <c r="P377" s="4" t="n">
        <v>7</v>
      </c>
      <c r="Q377" s="4" t="n">
        <v>7</v>
      </c>
      <c r="R377" s="6" t="n">
        <f aca="false">IF(N(L377)=0,0,O377/L377)</f>
        <v>0.65</v>
      </c>
      <c r="S377" s="4" t="n">
        <f aca="false">IF(R377="","",IF(R377&gt;=0.8,50,IF(R377&gt;=0.5,30,IF(R377&gt;=0.01,10,0))))</f>
        <v>30</v>
      </c>
      <c r="T377" s="4" t="n">
        <f aca="false">IF(TRIM(AI377)="Yes",2.5,0)</f>
        <v>0</v>
      </c>
      <c r="U377" s="4" t="n">
        <f aca="false">IF(TRIM(AJ377)="Yes",10,0)</f>
        <v>0</v>
      </c>
      <c r="V377" s="4" t="n">
        <f aca="false">IF(TRIM(AK377)="Yes",5,0)</f>
        <v>5</v>
      </c>
      <c r="W377" s="4" t="n">
        <f aca="false">IF(TRIM(AM377)="Yes",5,0)</f>
        <v>5</v>
      </c>
      <c r="X377" s="4" t="n">
        <f aca="false">IF(OR(TRIM(AN377)="Fully Available",TRIM(AN377)="Not Applicable"),5,IF(TRIM(AN377)="Partially Available",2.5,0))</f>
        <v>5</v>
      </c>
      <c r="Y377" s="4" t="n">
        <f aca="false">IF(TRIM(AO377)="Yes",5,0)</f>
        <v>5</v>
      </c>
      <c r="Z377" s="4" t="n">
        <f aca="false">IF(TRIM(AP377)="Yes",2.5,0)</f>
        <v>2.5</v>
      </c>
      <c r="AA377" s="4" t="n">
        <f aca="false">IF(TRIM(AQ377)="Yes",5,0)</f>
        <v>5</v>
      </c>
      <c r="AB377" s="4" t="n">
        <f aca="false">IF(OR(TRIM(AR377)="Yes",TRIM(AR377)="Not Applicable"),5,0)</f>
        <v>0</v>
      </c>
      <c r="AC377" s="4" t="n">
        <f aca="false">IF(TRIM(AS377)="Excellent",5,IF(TRIM(AS377)="Very Good",4,IF(TRIM(AS377)="Good",3,IF(TRIM(AS377)="Average",2,0))))</f>
        <v>2</v>
      </c>
      <c r="AD377" s="7" t="n">
        <f aca="false">IF(COUNT(S377:AC377)=0,"",SUM(S377:AC377))</f>
        <v>59.5</v>
      </c>
      <c r="AE377" s="7" t="n">
        <f aca="false">IF(COUNTIF($F$2:F377,F377)=1,IFERROR(AVERAGEIF($F:$F,F377,$AD:$AD),""),"")</f>
        <v>59.5</v>
      </c>
      <c r="AF377" s="8" t="str">
        <f aca="false">IF(AH377&lt;&gt;"",AH377,IF(AE377="","",IF(AE377&gt;=80,"Excellent",IF(AE377&gt;=70,"Very Good",IF(AE377&gt;=60,"Good",IF(AE377&gt;=50,"Average","Poor"))))))</f>
        <v>Average</v>
      </c>
      <c r="AG377" s="5"/>
      <c r="AH377" s="4"/>
      <c r="AI377" s="4" t="s">
        <v>82</v>
      </c>
      <c r="AJ377" s="4" t="s">
        <v>82</v>
      </c>
      <c r="AK377" s="4" t="s">
        <v>62</v>
      </c>
      <c r="AL377" s="4" t="s">
        <v>63</v>
      </c>
      <c r="AM377" s="4" t="s">
        <v>62</v>
      </c>
      <c r="AN377" s="4" t="s">
        <v>64</v>
      </c>
      <c r="AO377" s="4" t="s">
        <v>62</v>
      </c>
      <c r="AP377" s="4" t="s">
        <v>62</v>
      </c>
      <c r="AQ377" s="4" t="s">
        <v>62</v>
      </c>
      <c r="AR377" s="4" t="s">
        <v>82</v>
      </c>
      <c r="AS377" s="4" t="s">
        <v>173</v>
      </c>
      <c r="AT377" s="4" t="n">
        <v>8</v>
      </c>
      <c r="AU377" s="4" t="s">
        <v>66</v>
      </c>
      <c r="AV377" s="4" t="s">
        <v>208</v>
      </c>
      <c r="AW377" s="4" t="s">
        <v>1156</v>
      </c>
      <c r="AX377" s="4" t="s">
        <v>1157</v>
      </c>
      <c r="AY377" s="4" t="n">
        <v>22</v>
      </c>
      <c r="AZ377" s="4" t="s">
        <v>62</v>
      </c>
      <c r="BA377" s="4" t="s">
        <v>1158</v>
      </c>
      <c r="BB377" s="4" t="s">
        <v>760</v>
      </c>
      <c r="BC377" s="6" t="n">
        <v>0.5385</v>
      </c>
      <c r="BD377" s="4" t="n">
        <v>72</v>
      </c>
    </row>
    <row r="378" customFormat="false" ht="29.85" hidden="false" customHeight="false" outlineLevel="0" collapsed="false">
      <c r="A378" s="4" t="n">
        <v>162</v>
      </c>
      <c r="B378" s="4" t="s">
        <v>753</v>
      </c>
      <c r="C378" s="4" t="s">
        <v>57</v>
      </c>
      <c r="D378" s="4" t="s">
        <v>754</v>
      </c>
      <c r="E378" s="4" t="s">
        <v>755</v>
      </c>
      <c r="F378" s="4" t="n">
        <v>1545</v>
      </c>
      <c r="G378" s="5" t="s">
        <v>1159</v>
      </c>
      <c r="H378" s="5" t="s">
        <v>104</v>
      </c>
      <c r="I378" s="4"/>
      <c r="J378" s="4"/>
      <c r="K378" s="4"/>
      <c r="L378" s="4" t="n">
        <v>20</v>
      </c>
      <c r="M378" s="4" t="n">
        <v>20</v>
      </c>
      <c r="N378" s="4" t="n">
        <v>0</v>
      </c>
      <c r="O378" s="4" t="n">
        <v>19</v>
      </c>
      <c r="P378" s="4" t="n">
        <v>1</v>
      </c>
      <c r="Q378" s="4" t="n">
        <v>10</v>
      </c>
      <c r="R378" s="6" t="n">
        <f aca="false">IF(N(L378)=0,0,O378/L378)</f>
        <v>0.95</v>
      </c>
      <c r="S378" s="4" t="n">
        <f aca="false">IF(R378="","",IF(R378&gt;=0.8,50,IF(R378&gt;=0.5,30,IF(R378&gt;=0.01,10,0))))</f>
        <v>50</v>
      </c>
      <c r="T378" s="4" t="n">
        <f aca="false">IF(TRIM(AI378)="Yes",2.5,0)</f>
        <v>0</v>
      </c>
      <c r="U378" s="4" t="n">
        <f aca="false">IF(TRIM(AJ378)="Yes",10,0)</f>
        <v>0</v>
      </c>
      <c r="V378" s="4" t="n">
        <f aca="false">IF(TRIM(AK378)="Yes",5,0)</f>
        <v>5</v>
      </c>
      <c r="W378" s="4" t="n">
        <f aca="false">IF(TRIM(AM378)="Yes",5,0)</f>
        <v>5</v>
      </c>
      <c r="X378" s="4" t="n">
        <f aca="false">IF(OR(TRIM(AN378)="Fully Available",TRIM(AN378)="Not Applicable"),5,IF(TRIM(AN378)="Partially Available",2.5,0))</f>
        <v>5</v>
      </c>
      <c r="Y378" s="4" t="n">
        <f aca="false">IF(TRIM(AO378)="Yes",5,0)</f>
        <v>5</v>
      </c>
      <c r="Z378" s="4" t="n">
        <f aca="false">IF(TRIM(AP378)="Yes",2.5,0)</f>
        <v>2.5</v>
      </c>
      <c r="AA378" s="4" t="n">
        <f aca="false">IF(TRIM(AQ378)="Yes",5,0)</f>
        <v>5</v>
      </c>
      <c r="AB378" s="4" t="n">
        <f aca="false">IF(OR(TRIM(AR378)="Yes",TRIM(AR378)="Not Applicable"),5,0)</f>
        <v>5</v>
      </c>
      <c r="AC378" s="4" t="n">
        <f aca="false">IF(TRIM(AS378)="Excellent",5,IF(TRIM(AS378)="Very Good",4,IF(TRIM(AS378)="Good",3,IF(TRIM(AS378)="Average",2,0))))</f>
        <v>3</v>
      </c>
      <c r="AD378" s="7" t="n">
        <f aca="false">IF(COUNT(S378:AC378)=0,"",SUM(S378:AC378))</f>
        <v>85.5</v>
      </c>
      <c r="AE378" s="7" t="n">
        <f aca="false">IF(COUNTIF($F$2:F378,F378)=1,IFERROR(AVERAGEIF($F:$F,F378,$AD:$AD),""),"")</f>
        <v>85.5</v>
      </c>
      <c r="AF378" s="8" t="str">
        <f aca="false">IF(AH378&lt;&gt;"",AH378,IF(AE378="","",IF(AE378&gt;=80,"Excellent",IF(AE378&gt;=70,"Very Good",IF(AE378&gt;=60,"Good",IF(AE378&gt;=50,"Average","Poor"))))))</f>
        <v>Excellent</v>
      </c>
      <c r="AG378" s="5"/>
      <c r="AH378" s="4"/>
      <c r="AI378" s="4" t="s">
        <v>82</v>
      </c>
      <c r="AJ378" s="4" t="s">
        <v>82</v>
      </c>
      <c r="AK378" s="4" t="s">
        <v>62</v>
      </c>
      <c r="AL378" s="4" t="s">
        <v>63</v>
      </c>
      <c r="AM378" s="4" t="s">
        <v>62</v>
      </c>
      <c r="AN378" s="4" t="s">
        <v>64</v>
      </c>
      <c r="AO378" s="4" t="s">
        <v>62</v>
      </c>
      <c r="AP378" s="4" t="s">
        <v>62</v>
      </c>
      <c r="AQ378" s="4" t="s">
        <v>62</v>
      </c>
      <c r="AR378" s="4" t="s">
        <v>62</v>
      </c>
      <c r="AS378" s="4" t="s">
        <v>185</v>
      </c>
      <c r="AT378" s="4" t="n">
        <v>7</v>
      </c>
      <c r="AU378" s="4" t="s">
        <v>66</v>
      </c>
      <c r="AV378" s="4" t="s">
        <v>67</v>
      </c>
      <c r="AW378" s="4" t="s">
        <v>1160</v>
      </c>
      <c r="AX378" s="4" t="s">
        <v>1161</v>
      </c>
      <c r="AY378" s="4" t="n">
        <v>15</v>
      </c>
      <c r="AZ378" s="4" t="s">
        <v>62</v>
      </c>
      <c r="BA378" s="4" t="s">
        <v>905</v>
      </c>
      <c r="BB378" s="4" t="s">
        <v>760</v>
      </c>
      <c r="BC378" s="6" t="n">
        <v>0.5263</v>
      </c>
      <c r="BD378" s="4" t="n">
        <v>91</v>
      </c>
    </row>
    <row r="379" customFormat="false" ht="29.85" hidden="false" customHeight="false" outlineLevel="0" collapsed="false">
      <c r="A379" s="4"/>
      <c r="B379" s="4" t="s">
        <v>753</v>
      </c>
      <c r="C379" s="4" t="s">
        <v>57</v>
      </c>
      <c r="D379" s="4" t="s">
        <v>754</v>
      </c>
      <c r="E379" s="4" t="s">
        <v>755</v>
      </c>
      <c r="F379" s="4" t="n">
        <v>1545</v>
      </c>
      <c r="G379" s="5" t="s">
        <v>1159</v>
      </c>
      <c r="H379" s="5" t="s">
        <v>1033</v>
      </c>
      <c r="I379" s="4"/>
      <c r="J379" s="4"/>
      <c r="K379" s="4"/>
      <c r="L379" s="4" t="n">
        <v>20</v>
      </c>
      <c r="M379" s="4" t="n">
        <v>20</v>
      </c>
      <c r="N379" s="4" t="n">
        <v>0</v>
      </c>
      <c r="O379" s="4" t="n">
        <v>19</v>
      </c>
      <c r="P379" s="4" t="n">
        <v>1</v>
      </c>
      <c r="Q379" s="4" t="n">
        <v>11</v>
      </c>
      <c r="R379" s="6" t="n">
        <f aca="false">IF(N(L379)=0,0,O379/L379)</f>
        <v>0.95</v>
      </c>
      <c r="S379" s="4" t="n">
        <f aca="false">IF(R379="","",IF(R379&gt;=0.8,50,IF(R379&gt;=0.5,30,IF(R379&gt;=0.01,10,0))))</f>
        <v>50</v>
      </c>
      <c r="T379" s="4" t="n">
        <f aca="false">IF(TRIM(AI379)="Yes",2.5,0)</f>
        <v>0</v>
      </c>
      <c r="U379" s="4" t="n">
        <f aca="false">IF(TRIM(AJ379)="Yes",10,0)</f>
        <v>0</v>
      </c>
      <c r="V379" s="4" t="n">
        <f aca="false">IF(TRIM(AK379)="Yes",5,0)</f>
        <v>5</v>
      </c>
      <c r="W379" s="4" t="n">
        <f aca="false">IF(TRIM(AM379)="Yes",5,0)</f>
        <v>5</v>
      </c>
      <c r="X379" s="4" t="n">
        <f aca="false">IF(OR(TRIM(AN379)="Fully Available",TRIM(AN379)="Not Applicable"),5,IF(TRIM(AN379)="Partially Available",2.5,0))</f>
        <v>5</v>
      </c>
      <c r="Y379" s="4" t="n">
        <f aca="false">IF(TRIM(AO379)="Yes",5,0)</f>
        <v>5</v>
      </c>
      <c r="Z379" s="4" t="n">
        <f aca="false">IF(TRIM(AP379)="Yes",2.5,0)</f>
        <v>2.5</v>
      </c>
      <c r="AA379" s="4" t="n">
        <f aca="false">IF(TRIM(AQ379)="Yes",5,0)</f>
        <v>5</v>
      </c>
      <c r="AB379" s="4" t="n">
        <f aca="false">IF(OR(TRIM(AR379)="Yes",TRIM(AR379)="Not Applicable"),5,0)</f>
        <v>5</v>
      </c>
      <c r="AC379" s="4" t="n">
        <f aca="false">IF(TRIM(AS379)="Excellent",5,IF(TRIM(AS379)="Very Good",4,IF(TRIM(AS379)="Good",3,IF(TRIM(AS379)="Average",2,0))))</f>
        <v>3</v>
      </c>
      <c r="AD379" s="7" t="n">
        <f aca="false">IF(COUNT(S379:AC379)=0,"",SUM(S379:AC379))</f>
        <v>85.5</v>
      </c>
      <c r="AE379" s="7"/>
      <c r="AF379" s="8"/>
      <c r="AG379" s="5"/>
      <c r="AH379" s="4"/>
      <c r="AI379" s="4" t="s">
        <v>82</v>
      </c>
      <c r="AJ379" s="4" t="s">
        <v>82</v>
      </c>
      <c r="AK379" s="4" t="s">
        <v>62</v>
      </c>
      <c r="AL379" s="4" t="s">
        <v>63</v>
      </c>
      <c r="AM379" s="4" t="s">
        <v>62</v>
      </c>
      <c r="AN379" s="4" t="s">
        <v>64</v>
      </c>
      <c r="AO379" s="4" t="s">
        <v>62</v>
      </c>
      <c r="AP379" s="4" t="s">
        <v>62</v>
      </c>
      <c r="AQ379" s="4" t="s">
        <v>62</v>
      </c>
      <c r="AR379" s="4" t="s">
        <v>62</v>
      </c>
      <c r="AS379" s="4" t="s">
        <v>185</v>
      </c>
      <c r="AT379" s="4" t="n">
        <v>3</v>
      </c>
      <c r="AU379" s="4" t="s">
        <v>112</v>
      </c>
      <c r="AV379" s="4" t="s">
        <v>67</v>
      </c>
      <c r="AW379" s="4" t="s">
        <v>1162</v>
      </c>
      <c r="AX379" s="4" t="s">
        <v>320</v>
      </c>
      <c r="AY379" s="4" t="n">
        <v>9</v>
      </c>
      <c r="AZ379" s="4" t="s">
        <v>62</v>
      </c>
      <c r="BA379" s="4" t="s">
        <v>905</v>
      </c>
      <c r="BB379" s="4" t="s">
        <v>760</v>
      </c>
      <c r="BC379" s="6" t="n">
        <v>0.5789</v>
      </c>
      <c r="BD379" s="4" t="n">
        <v>91</v>
      </c>
    </row>
    <row r="380" customFormat="false" ht="44" hidden="false" customHeight="false" outlineLevel="0" collapsed="false">
      <c r="A380" s="4" t="n">
        <v>163</v>
      </c>
      <c r="B380" s="4" t="s">
        <v>753</v>
      </c>
      <c r="C380" s="4" t="s">
        <v>57</v>
      </c>
      <c r="D380" s="4" t="s">
        <v>754</v>
      </c>
      <c r="E380" s="4" t="s">
        <v>770</v>
      </c>
      <c r="F380" s="4" t="n">
        <v>1876</v>
      </c>
      <c r="G380" s="5" t="s">
        <v>1163</v>
      </c>
      <c r="H380" s="5" t="s">
        <v>662</v>
      </c>
      <c r="I380" s="4"/>
      <c r="J380" s="4"/>
      <c r="K380" s="4"/>
      <c r="L380" s="4" t="n">
        <v>20</v>
      </c>
      <c r="M380" s="4" t="n">
        <v>20</v>
      </c>
      <c r="N380" s="4" t="n">
        <v>0</v>
      </c>
      <c r="O380" s="4" t="n">
        <v>20</v>
      </c>
      <c r="P380" s="4" t="n">
        <v>0</v>
      </c>
      <c r="Q380" s="4" t="n">
        <v>7</v>
      </c>
      <c r="R380" s="6" t="n">
        <f aca="false">IF(N(L380)=0,0,O380/L380)</f>
        <v>1</v>
      </c>
      <c r="S380" s="4" t="n">
        <f aca="false">IF(R380="","",IF(R380&gt;=0.8,50,IF(R380&gt;=0.5,30,IF(R380&gt;=0.01,10,0))))</f>
        <v>50</v>
      </c>
      <c r="T380" s="4" t="n">
        <f aca="false">IF(TRIM(AI380)="Yes",2.5,0)</f>
        <v>0</v>
      </c>
      <c r="U380" s="4" t="n">
        <f aca="false">IF(TRIM(AJ380)="Yes",10,0)</f>
        <v>10</v>
      </c>
      <c r="V380" s="4" t="n">
        <f aca="false">IF(TRIM(AK380)="Yes",5,0)</f>
        <v>5</v>
      </c>
      <c r="W380" s="4" t="n">
        <f aca="false">IF(TRIM(AM380)="Yes",5,0)</f>
        <v>5</v>
      </c>
      <c r="X380" s="4" t="n">
        <f aca="false">IF(OR(TRIM(AN380)="Fully Available",TRIM(AN380)="Not Applicable"),5,IF(TRIM(AN380)="Partially Available",2.5,0))</f>
        <v>5</v>
      </c>
      <c r="Y380" s="4" t="n">
        <f aca="false">IF(TRIM(AO380)="Yes",5,0)</f>
        <v>0</v>
      </c>
      <c r="Z380" s="4" t="n">
        <f aca="false">IF(TRIM(AP380)="Yes",2.5,0)</f>
        <v>0</v>
      </c>
      <c r="AA380" s="4" t="n">
        <f aca="false">IF(TRIM(AQ380)="Yes",5,0)</f>
        <v>5</v>
      </c>
      <c r="AB380" s="4" t="n">
        <f aca="false">IF(OR(TRIM(AR380)="Yes",TRIM(AR380)="Not Applicable"),5,0)</f>
        <v>5</v>
      </c>
      <c r="AC380" s="4" t="n">
        <f aca="false">IF(TRIM(AS380)="Excellent",5,IF(TRIM(AS380)="Very Good",4,IF(TRIM(AS380)="Good",3,IF(TRIM(AS380)="Average",2,0))))</f>
        <v>3</v>
      </c>
      <c r="AD380" s="7" t="n">
        <f aca="false">IF(COUNT(S380:AC380)=0,"",SUM(S380:AC380))</f>
        <v>88</v>
      </c>
      <c r="AE380" s="7" t="n">
        <f aca="false">IF(COUNTIF($F$2:F380,F380)=1,IFERROR(AVERAGEIF($F:$F,F380,$AD:$AD),""),"")</f>
        <v>81.75</v>
      </c>
      <c r="AF380" s="8" t="str">
        <f aca="false">IF(AH380&lt;&gt;"",AH380,IF(AE380="","",IF(AE380&gt;=80,"Excellent",IF(AE380&gt;=70,"Very Good",IF(AE380&gt;=60,"Good",IF(AE380&gt;=50,"Average","Poor"))))))</f>
        <v>Excellent</v>
      </c>
      <c r="AG380" s="5"/>
      <c r="AH380" s="4"/>
      <c r="AI380" s="4" t="s">
        <v>82</v>
      </c>
      <c r="AJ380" s="4" t="s">
        <v>62</v>
      </c>
      <c r="AK380" s="4" t="s">
        <v>62</v>
      </c>
      <c r="AL380" s="4" t="s">
        <v>63</v>
      </c>
      <c r="AM380" s="4" t="s">
        <v>62</v>
      </c>
      <c r="AN380" s="4" t="s">
        <v>64</v>
      </c>
      <c r="AO380" s="4" t="s">
        <v>82</v>
      </c>
      <c r="AP380" s="4" t="s">
        <v>82</v>
      </c>
      <c r="AQ380" s="4" t="s">
        <v>62</v>
      </c>
      <c r="AR380" s="4" t="s">
        <v>62</v>
      </c>
      <c r="AS380" s="4" t="s">
        <v>185</v>
      </c>
      <c r="AT380" s="4" t="n">
        <v>7</v>
      </c>
      <c r="AU380" s="4" t="s">
        <v>66</v>
      </c>
      <c r="AV380" s="4" t="s">
        <v>208</v>
      </c>
      <c r="AW380" s="4" t="s">
        <v>1164</v>
      </c>
      <c r="AX380" s="4" t="s">
        <v>1165</v>
      </c>
      <c r="AY380" s="4" t="n">
        <v>5</v>
      </c>
      <c r="AZ380" s="4" t="s">
        <v>62</v>
      </c>
      <c r="BA380" s="4" t="s">
        <v>1166</v>
      </c>
      <c r="BB380" s="4" t="s">
        <v>760</v>
      </c>
      <c r="BC380" s="6" t="n">
        <v>0.35</v>
      </c>
      <c r="BD380" s="4" t="n">
        <v>88</v>
      </c>
    </row>
    <row r="381" customFormat="false" ht="44" hidden="false" customHeight="false" outlineLevel="0" collapsed="false">
      <c r="A381" s="4"/>
      <c r="B381" s="4" t="s">
        <v>753</v>
      </c>
      <c r="C381" s="4" t="s">
        <v>57</v>
      </c>
      <c r="D381" s="4" t="s">
        <v>754</v>
      </c>
      <c r="E381" s="4" t="s">
        <v>770</v>
      </c>
      <c r="F381" s="4" t="n">
        <v>1876</v>
      </c>
      <c r="G381" s="5" t="s">
        <v>1163</v>
      </c>
      <c r="H381" s="5" t="s">
        <v>693</v>
      </c>
      <c r="I381" s="4"/>
      <c r="J381" s="4"/>
      <c r="K381" s="4"/>
      <c r="L381" s="4" t="n">
        <v>20</v>
      </c>
      <c r="M381" s="4" t="n">
        <v>20</v>
      </c>
      <c r="N381" s="4" t="n">
        <v>0</v>
      </c>
      <c r="O381" s="4" t="n">
        <v>11</v>
      </c>
      <c r="P381" s="4" t="n">
        <v>9</v>
      </c>
      <c r="Q381" s="4" t="n">
        <v>7</v>
      </c>
      <c r="R381" s="6" t="n">
        <f aca="false">IF(N(L381)=0,0,O381/L381)</f>
        <v>0.55</v>
      </c>
      <c r="S381" s="4" t="n">
        <f aca="false">IF(R381="","",IF(R381&gt;=0.8,50,IF(R381&gt;=0.5,30,IF(R381&gt;=0.01,10,0))))</f>
        <v>30</v>
      </c>
      <c r="T381" s="4" t="n">
        <f aca="false">IF(TRIM(AI381)="Yes",2.5,0)</f>
        <v>0</v>
      </c>
      <c r="U381" s="4" t="n">
        <f aca="false">IF(TRIM(AJ381)="Yes",10,0)</f>
        <v>10</v>
      </c>
      <c r="V381" s="4" t="n">
        <f aca="false">IF(TRIM(AK381)="Yes",5,0)</f>
        <v>5</v>
      </c>
      <c r="W381" s="4" t="n">
        <f aca="false">IF(TRIM(AM381)="Yes",5,0)</f>
        <v>5</v>
      </c>
      <c r="X381" s="4" t="n">
        <f aca="false">IF(OR(TRIM(AN381)="Fully Available",TRIM(AN381)="Not Applicable"),5,IF(TRIM(AN381)="Partially Available",2.5,0))</f>
        <v>5</v>
      </c>
      <c r="Y381" s="4" t="n">
        <f aca="false">IF(TRIM(AO381)="Yes",5,0)</f>
        <v>5</v>
      </c>
      <c r="Z381" s="4" t="n">
        <f aca="false">IF(TRIM(AP381)="Yes",2.5,0)</f>
        <v>2.5</v>
      </c>
      <c r="AA381" s="4" t="n">
        <f aca="false">IF(TRIM(AQ381)="Yes",5,0)</f>
        <v>5</v>
      </c>
      <c r="AB381" s="4" t="n">
        <f aca="false">IF(OR(TRIM(AR381)="Yes",TRIM(AR381)="Not Applicable"),5,0)</f>
        <v>5</v>
      </c>
      <c r="AC381" s="4" t="n">
        <f aca="false">IF(TRIM(AS381)="Excellent",5,IF(TRIM(AS381)="Very Good",4,IF(TRIM(AS381)="Good",3,IF(TRIM(AS381)="Average",2,0))))</f>
        <v>3</v>
      </c>
      <c r="AD381" s="7" t="n">
        <f aca="false">IF(COUNT(S381:AC381)=0,"",SUM(S381:AC381))</f>
        <v>75.5</v>
      </c>
      <c r="AE381" s="7"/>
      <c r="AF381" s="8"/>
      <c r="AG381" s="5"/>
      <c r="AH381" s="4"/>
      <c r="AI381" s="4" t="s">
        <v>82</v>
      </c>
      <c r="AJ381" s="4" t="s">
        <v>62</v>
      </c>
      <c r="AK381" s="4" t="s">
        <v>62</v>
      </c>
      <c r="AL381" s="4" t="s">
        <v>63</v>
      </c>
      <c r="AM381" s="4" t="s">
        <v>62</v>
      </c>
      <c r="AN381" s="4" t="s">
        <v>64</v>
      </c>
      <c r="AO381" s="4" t="s">
        <v>62</v>
      </c>
      <c r="AP381" s="4" t="s">
        <v>62</v>
      </c>
      <c r="AQ381" s="4" t="s">
        <v>62</v>
      </c>
      <c r="AR381" s="4" t="s">
        <v>62</v>
      </c>
      <c r="AS381" s="4" t="s">
        <v>185</v>
      </c>
      <c r="AT381" s="4" t="n">
        <v>9</v>
      </c>
      <c r="AU381" s="4" t="s">
        <v>112</v>
      </c>
      <c r="AV381" s="4" t="s">
        <v>208</v>
      </c>
      <c r="AW381" s="4" t="s">
        <v>1167</v>
      </c>
      <c r="AX381" s="4" t="s">
        <v>1168</v>
      </c>
      <c r="AY381" s="4" t="n">
        <v>3</v>
      </c>
      <c r="AZ381" s="4" t="s">
        <v>62</v>
      </c>
      <c r="BA381" s="4" t="s">
        <v>1166</v>
      </c>
      <c r="BB381" s="4" t="s">
        <v>760</v>
      </c>
      <c r="BC381" s="6" t="n">
        <v>0.6364</v>
      </c>
      <c r="BD381" s="4" t="n">
        <v>88</v>
      </c>
    </row>
    <row r="382" customFormat="false" ht="114.9" hidden="false" customHeight="false" outlineLevel="0" collapsed="false">
      <c r="A382" s="4" t="n">
        <v>164</v>
      </c>
      <c r="B382" s="4" t="s">
        <v>753</v>
      </c>
      <c r="C382" s="4" t="s">
        <v>57</v>
      </c>
      <c r="D382" s="4" t="s">
        <v>754</v>
      </c>
      <c r="E382" s="4" t="s">
        <v>755</v>
      </c>
      <c r="F382" s="4" t="n">
        <v>1431</v>
      </c>
      <c r="G382" s="5" t="s">
        <v>1169</v>
      </c>
      <c r="H382" s="5" t="s">
        <v>265</v>
      </c>
      <c r="I382" s="4"/>
      <c r="J382" s="4"/>
      <c r="K382" s="4"/>
      <c r="L382" s="4" t="n">
        <v>20</v>
      </c>
      <c r="M382" s="4" t="n">
        <v>20</v>
      </c>
      <c r="N382" s="4" t="n">
        <v>0</v>
      </c>
      <c r="O382" s="4" t="n">
        <v>13</v>
      </c>
      <c r="P382" s="4" t="n">
        <v>7</v>
      </c>
      <c r="Q382" s="4" t="n">
        <v>7</v>
      </c>
      <c r="R382" s="6" t="n">
        <f aca="false">IF(N(L382)=0,0,O382/L382)</f>
        <v>0.65</v>
      </c>
      <c r="S382" s="4" t="n">
        <f aca="false">IF(R382="","",IF(R382&gt;=0.8,50,IF(R382&gt;=0.5,30,IF(R382&gt;=0.01,10,0))))</f>
        <v>30</v>
      </c>
      <c r="T382" s="4" t="n">
        <f aca="false">IF(TRIM(AI382)="Yes",2.5,0)</f>
        <v>2.5</v>
      </c>
      <c r="U382" s="4" t="n">
        <f aca="false">IF(TRIM(AJ382)="Yes",10,0)</f>
        <v>10</v>
      </c>
      <c r="V382" s="4" t="n">
        <f aca="false">IF(TRIM(AK382)="Yes",5,0)</f>
        <v>5</v>
      </c>
      <c r="W382" s="4" t="n">
        <f aca="false">IF(TRIM(AM382)="Yes",5,0)</f>
        <v>5</v>
      </c>
      <c r="X382" s="4" t="n">
        <f aca="false">IF(OR(TRIM(AN382)="Fully Available",TRIM(AN382)="Not Applicable"),5,IF(TRIM(AN382)="Partially Available",2.5,0))</f>
        <v>5</v>
      </c>
      <c r="Y382" s="4" t="n">
        <f aca="false">IF(TRIM(AO382)="Yes",5,0)</f>
        <v>5</v>
      </c>
      <c r="Z382" s="4" t="n">
        <f aca="false">IF(TRIM(AP382)="Yes",2.5,0)</f>
        <v>2.5</v>
      </c>
      <c r="AA382" s="4" t="n">
        <f aca="false">IF(TRIM(AQ382)="Yes",5,0)</f>
        <v>5</v>
      </c>
      <c r="AB382" s="4" t="n">
        <f aca="false">IF(OR(TRIM(AR382)="Yes",TRIM(AR382)="Not Applicable"),5,0)</f>
        <v>5</v>
      </c>
      <c r="AC382" s="4" t="n">
        <f aca="false">IF(TRIM(AS382)="Excellent",5,IF(TRIM(AS382)="Very Good",4,IF(TRIM(AS382)="Good",3,IF(TRIM(AS382)="Average",2,0))))</f>
        <v>3</v>
      </c>
      <c r="AD382" s="7" t="n">
        <f aca="false">IF(COUNT(S382:AC382)=0,"",SUM(S382:AC382))</f>
        <v>78</v>
      </c>
      <c r="AE382" s="7" t="n">
        <f aca="false">IF(COUNTIF($F$2:F382,F382)=1,IFERROR(AVERAGEIF($F:$F,F382,$AD:$AD),""),"")</f>
        <v>76.75</v>
      </c>
      <c r="AF382" s="8" t="str">
        <f aca="false">IF(AH382&lt;&gt;"",AH382,IF(AE382="","",IF(AE382&gt;=80,"Excellent",IF(AE382&gt;=70,"Very Good",IF(AE382&gt;=60,"Good",IF(AE382&gt;=50,"Average","Poor"))))))</f>
        <v>Very Good</v>
      </c>
      <c r="AG382" s="5"/>
      <c r="AH382" s="4"/>
      <c r="AI382" s="4" t="s">
        <v>62</v>
      </c>
      <c r="AJ382" s="4" t="s">
        <v>62</v>
      </c>
      <c r="AK382" s="4" t="s">
        <v>62</v>
      </c>
      <c r="AL382" s="4" t="s">
        <v>63</v>
      </c>
      <c r="AM382" s="4" t="s">
        <v>62</v>
      </c>
      <c r="AN382" s="4" t="s">
        <v>64</v>
      </c>
      <c r="AO382" s="4" t="s">
        <v>62</v>
      </c>
      <c r="AP382" s="4" t="s">
        <v>62</v>
      </c>
      <c r="AQ382" s="4" t="s">
        <v>62</v>
      </c>
      <c r="AR382" s="4" t="s">
        <v>73</v>
      </c>
      <c r="AS382" s="4" t="s">
        <v>185</v>
      </c>
      <c r="AT382" s="4" t="n">
        <v>7</v>
      </c>
      <c r="AU382" s="4" t="s">
        <v>66</v>
      </c>
      <c r="AV382" s="4" t="s">
        <v>288</v>
      </c>
      <c r="AW382" s="4" t="s">
        <v>1170</v>
      </c>
      <c r="AX382" s="4" t="s">
        <v>1171</v>
      </c>
      <c r="AY382" s="4" t="n">
        <v>10</v>
      </c>
      <c r="AZ382" s="4" t="s">
        <v>62</v>
      </c>
      <c r="BA382" s="4" t="s">
        <v>1172</v>
      </c>
      <c r="BB382" s="4" t="s">
        <v>760</v>
      </c>
      <c r="BC382" s="6" t="n">
        <v>0.5385</v>
      </c>
      <c r="BD382" s="4" t="n">
        <v>82</v>
      </c>
    </row>
    <row r="383" customFormat="false" ht="114.9" hidden="false" customHeight="false" outlineLevel="0" collapsed="false">
      <c r="A383" s="4"/>
      <c r="B383" s="4" t="s">
        <v>753</v>
      </c>
      <c r="C383" s="4" t="s">
        <v>57</v>
      </c>
      <c r="D383" s="4" t="s">
        <v>754</v>
      </c>
      <c r="E383" s="4" t="s">
        <v>755</v>
      </c>
      <c r="F383" s="4" t="n">
        <v>1431</v>
      </c>
      <c r="G383" s="5" t="s">
        <v>1169</v>
      </c>
      <c r="H383" s="5" t="s">
        <v>104</v>
      </c>
      <c r="I383" s="4"/>
      <c r="J383" s="4"/>
      <c r="K383" s="4"/>
      <c r="L383" s="4" t="n">
        <v>20</v>
      </c>
      <c r="M383" s="4" t="n">
        <v>20</v>
      </c>
      <c r="N383" s="4" t="n">
        <v>0</v>
      </c>
      <c r="O383" s="4" t="n">
        <v>10</v>
      </c>
      <c r="P383" s="4" t="n">
        <v>10</v>
      </c>
      <c r="Q383" s="4" t="n">
        <v>5</v>
      </c>
      <c r="R383" s="6" t="n">
        <f aca="false">IF(N(L383)=0,0,O383/L383)</f>
        <v>0.5</v>
      </c>
      <c r="S383" s="4" t="n">
        <f aca="false">IF(R383="","",IF(R383&gt;=0.8,50,IF(R383&gt;=0.5,30,IF(R383&gt;=0.01,10,0))))</f>
        <v>30</v>
      </c>
      <c r="T383" s="4" t="n">
        <f aca="false">IF(TRIM(AI383)="Yes",2.5,0)</f>
        <v>2.5</v>
      </c>
      <c r="U383" s="4" t="n">
        <f aca="false">IF(TRIM(AJ383)="Yes",10,0)</f>
        <v>10</v>
      </c>
      <c r="V383" s="4" t="n">
        <f aca="false">IF(TRIM(AK383)="Yes",5,0)</f>
        <v>5</v>
      </c>
      <c r="W383" s="4" t="n">
        <f aca="false">IF(TRIM(AM383)="Yes",5,0)</f>
        <v>5</v>
      </c>
      <c r="X383" s="4" t="n">
        <f aca="false">IF(OR(TRIM(AN383)="Fully Available",TRIM(AN383)="Not Applicable"),5,IF(TRIM(AN383)="Partially Available",2.5,0))</f>
        <v>2.5</v>
      </c>
      <c r="Y383" s="4" t="n">
        <f aca="false">IF(TRIM(AO383)="Yes",5,0)</f>
        <v>5</v>
      </c>
      <c r="Z383" s="4" t="n">
        <f aca="false">IF(TRIM(AP383)="Yes",2.5,0)</f>
        <v>2.5</v>
      </c>
      <c r="AA383" s="4" t="n">
        <f aca="false">IF(TRIM(AQ383)="Yes",5,0)</f>
        <v>5</v>
      </c>
      <c r="AB383" s="4" t="n">
        <f aca="false">IF(OR(TRIM(AR383)="Yes",TRIM(AR383)="Not Applicable"),5,0)</f>
        <v>5</v>
      </c>
      <c r="AC383" s="4" t="n">
        <f aca="false">IF(TRIM(AS383)="Excellent",5,IF(TRIM(AS383)="Very Good",4,IF(TRIM(AS383)="Good",3,IF(TRIM(AS383)="Average",2,0))))</f>
        <v>3</v>
      </c>
      <c r="AD383" s="7" t="n">
        <f aca="false">IF(COUNT(S383:AC383)=0,"",SUM(S383:AC383))</f>
        <v>75.5</v>
      </c>
      <c r="AE383" s="7"/>
      <c r="AF383" s="8"/>
      <c r="AG383" s="5"/>
      <c r="AH383" s="4"/>
      <c r="AI383" s="4" t="s">
        <v>62</v>
      </c>
      <c r="AJ383" s="4" t="s">
        <v>62</v>
      </c>
      <c r="AK383" s="4" t="s">
        <v>62</v>
      </c>
      <c r="AL383" s="4" t="s">
        <v>63</v>
      </c>
      <c r="AM383" s="4" t="s">
        <v>62</v>
      </c>
      <c r="AN383" s="4" t="s">
        <v>147</v>
      </c>
      <c r="AO383" s="4" t="s">
        <v>62</v>
      </c>
      <c r="AP383" s="4" t="s">
        <v>62</v>
      </c>
      <c r="AQ383" s="4" t="s">
        <v>62</v>
      </c>
      <c r="AR383" s="4" t="s">
        <v>62</v>
      </c>
      <c r="AS383" s="4" t="s">
        <v>185</v>
      </c>
      <c r="AT383" s="4" t="n">
        <v>6</v>
      </c>
      <c r="AU383" s="4" t="s">
        <v>66</v>
      </c>
      <c r="AV383" s="4" t="s">
        <v>288</v>
      </c>
      <c r="AW383" s="4" t="s">
        <v>1173</v>
      </c>
      <c r="AX383" s="4" t="s">
        <v>106</v>
      </c>
      <c r="AY383" s="4" t="n">
        <v>6</v>
      </c>
      <c r="AZ383" s="4" t="s">
        <v>62</v>
      </c>
      <c r="BA383" s="4" t="s">
        <v>1172</v>
      </c>
      <c r="BB383" s="4" t="s">
        <v>760</v>
      </c>
      <c r="BC383" s="6" t="n">
        <v>0.5</v>
      </c>
      <c r="BD383" s="4" t="n">
        <v>82</v>
      </c>
    </row>
    <row r="384" customFormat="false" ht="157.45" hidden="false" customHeight="false" outlineLevel="0" collapsed="false">
      <c r="A384" s="4" t="n">
        <v>165</v>
      </c>
      <c r="B384" s="4" t="s">
        <v>753</v>
      </c>
      <c r="C384" s="4" t="s">
        <v>57</v>
      </c>
      <c r="D384" s="4" t="s">
        <v>754</v>
      </c>
      <c r="E384" s="4" t="s">
        <v>755</v>
      </c>
      <c r="F384" s="4" t="n">
        <v>1429</v>
      </c>
      <c r="G384" s="5" t="s">
        <v>1174</v>
      </c>
      <c r="H384" s="5" t="s">
        <v>78</v>
      </c>
      <c r="I384" s="4"/>
      <c r="J384" s="4"/>
      <c r="K384" s="4"/>
      <c r="L384" s="4" t="n">
        <v>20</v>
      </c>
      <c r="M384" s="4" t="n">
        <v>20</v>
      </c>
      <c r="N384" s="4" t="n">
        <v>0</v>
      </c>
      <c r="O384" s="4" t="n">
        <v>14</v>
      </c>
      <c r="P384" s="4" t="n">
        <v>6</v>
      </c>
      <c r="Q384" s="4" t="n">
        <v>7</v>
      </c>
      <c r="R384" s="6" t="n">
        <f aca="false">IF(N(L384)=0,0,O384/L384)</f>
        <v>0.7</v>
      </c>
      <c r="S384" s="4" t="n">
        <f aca="false">IF(R384="","",IF(R384&gt;=0.8,50,IF(R384&gt;=0.5,30,IF(R384&gt;=0.01,10,0))))</f>
        <v>30</v>
      </c>
      <c r="T384" s="4" t="n">
        <f aca="false">IF(TRIM(AI384)="Yes",2.5,0)</f>
        <v>2.5</v>
      </c>
      <c r="U384" s="4" t="n">
        <f aca="false">IF(TRIM(AJ384)="Yes",10,0)</f>
        <v>10</v>
      </c>
      <c r="V384" s="4" t="n">
        <f aca="false">IF(TRIM(AK384)="Yes",5,0)</f>
        <v>5</v>
      </c>
      <c r="W384" s="4" t="n">
        <f aca="false">IF(TRIM(AM384)="Yes",5,0)</f>
        <v>5</v>
      </c>
      <c r="X384" s="4" t="n">
        <f aca="false">IF(OR(TRIM(AN384)="Fully Available",TRIM(AN384)="Not Applicable"),5,IF(TRIM(AN384)="Partially Available",2.5,0))</f>
        <v>5</v>
      </c>
      <c r="Y384" s="4" t="n">
        <f aca="false">IF(TRIM(AO384)="Yes",5,0)</f>
        <v>5</v>
      </c>
      <c r="Z384" s="4" t="n">
        <f aca="false">IF(TRIM(AP384)="Yes",2.5,0)</f>
        <v>2.5</v>
      </c>
      <c r="AA384" s="4" t="n">
        <f aca="false">IF(TRIM(AQ384)="Yes",5,0)</f>
        <v>5</v>
      </c>
      <c r="AB384" s="4" t="n">
        <f aca="false">IF(OR(TRIM(AR384)="Yes",TRIM(AR384)="Not Applicable"),5,0)</f>
        <v>5</v>
      </c>
      <c r="AC384" s="4" t="n">
        <f aca="false">IF(TRIM(AS384)="Excellent",5,IF(TRIM(AS384)="Very Good",4,IF(TRIM(AS384)="Good",3,IF(TRIM(AS384)="Average",2,0))))</f>
        <v>4</v>
      </c>
      <c r="AD384" s="7" t="n">
        <f aca="false">IF(COUNT(S384:AC384)=0,"",SUM(S384:AC384))</f>
        <v>79</v>
      </c>
      <c r="AE384" s="7" t="n">
        <f aca="false">IF(COUNTIF($F$2:F384,F384)=1,IFERROR(AVERAGEIF($F:$F,F384,$AD:$AD),""),"")</f>
        <v>79</v>
      </c>
      <c r="AF384" s="8" t="str">
        <f aca="false">IF(AH384&lt;&gt;"",AH384,IF(AE384="","",IF(AE384&gt;=80,"Excellent",IF(AE384&gt;=70,"Very Good",IF(AE384&gt;=60,"Good",IF(AE384&gt;=50,"Average","Poor"))))))</f>
        <v>Very Good</v>
      </c>
      <c r="AG384" s="5"/>
      <c r="AH384" s="4"/>
      <c r="AI384" s="4" t="s">
        <v>62</v>
      </c>
      <c r="AJ384" s="4" t="s">
        <v>62</v>
      </c>
      <c r="AK384" s="4" t="s">
        <v>62</v>
      </c>
      <c r="AL384" s="4" t="s">
        <v>63</v>
      </c>
      <c r="AM384" s="4" t="s">
        <v>62</v>
      </c>
      <c r="AN384" s="4" t="s">
        <v>64</v>
      </c>
      <c r="AO384" s="4" t="s">
        <v>62</v>
      </c>
      <c r="AP384" s="4" t="s">
        <v>62</v>
      </c>
      <c r="AQ384" s="4" t="s">
        <v>62</v>
      </c>
      <c r="AR384" s="4" t="s">
        <v>73</v>
      </c>
      <c r="AS384" s="4" t="s">
        <v>74</v>
      </c>
      <c r="AT384" s="4" t="n">
        <v>7</v>
      </c>
      <c r="AU384" s="4" t="s">
        <v>66</v>
      </c>
      <c r="AV384" s="4" t="s">
        <v>128</v>
      </c>
      <c r="AW384" s="4" t="s">
        <v>1175</v>
      </c>
      <c r="AX384" s="4" t="s">
        <v>519</v>
      </c>
      <c r="AY384" s="4" t="n">
        <v>5</v>
      </c>
      <c r="AZ384" s="4" t="s">
        <v>62</v>
      </c>
      <c r="BA384" s="4" t="s">
        <v>1176</v>
      </c>
      <c r="BB384" s="4" t="s">
        <v>760</v>
      </c>
      <c r="BC384" s="6" t="n">
        <v>0.5</v>
      </c>
      <c r="BD384" s="4" t="n">
        <v>81</v>
      </c>
    </row>
    <row r="385" customFormat="false" ht="256.7" hidden="false" customHeight="false" outlineLevel="0" collapsed="false">
      <c r="A385" s="4" t="n">
        <v>166</v>
      </c>
      <c r="B385" s="4" t="s">
        <v>753</v>
      </c>
      <c r="C385" s="4" t="s">
        <v>57</v>
      </c>
      <c r="D385" s="4" t="s">
        <v>754</v>
      </c>
      <c r="E385" s="4" t="s">
        <v>828</v>
      </c>
      <c r="F385" s="4" t="n">
        <v>1583</v>
      </c>
      <c r="G385" s="5" t="s">
        <v>1177</v>
      </c>
      <c r="H385" s="5" t="s">
        <v>397</v>
      </c>
      <c r="I385" s="4"/>
      <c r="J385" s="4"/>
      <c r="K385" s="4"/>
      <c r="L385" s="4" t="n">
        <v>20</v>
      </c>
      <c r="M385" s="4" t="n">
        <v>20</v>
      </c>
      <c r="N385" s="4" t="n">
        <v>0</v>
      </c>
      <c r="O385" s="4" t="n">
        <v>14</v>
      </c>
      <c r="P385" s="4" t="n">
        <v>6</v>
      </c>
      <c r="Q385" s="4" t="n">
        <v>7</v>
      </c>
      <c r="R385" s="6" t="n">
        <f aca="false">IF(N(L385)=0,0,O385/L385)</f>
        <v>0.7</v>
      </c>
      <c r="S385" s="4" t="n">
        <f aca="false">IF(R385="","",IF(R385&gt;=0.8,50,IF(R385&gt;=0.5,30,IF(R385&gt;=0.01,10,0))))</f>
        <v>30</v>
      </c>
      <c r="T385" s="4" t="n">
        <f aca="false">IF(TRIM(AI385)="Yes",2.5,0)</f>
        <v>2.5</v>
      </c>
      <c r="U385" s="4" t="n">
        <f aca="false">IF(TRIM(AJ385)="Yes",10,0)</f>
        <v>0</v>
      </c>
      <c r="V385" s="4" t="n">
        <f aca="false">IF(TRIM(AK385)="Yes",5,0)</f>
        <v>5</v>
      </c>
      <c r="W385" s="4" t="n">
        <f aca="false">IF(TRIM(AM385)="Yes",5,0)</f>
        <v>5</v>
      </c>
      <c r="X385" s="4" t="n">
        <f aca="false">IF(OR(TRIM(AN385)="Fully Available",TRIM(AN385)="Not Applicable"),5,IF(TRIM(AN385)="Partially Available",2.5,0))</f>
        <v>5</v>
      </c>
      <c r="Y385" s="4" t="n">
        <f aca="false">IF(TRIM(AO385)="Yes",5,0)</f>
        <v>5</v>
      </c>
      <c r="Z385" s="4" t="n">
        <f aca="false">IF(TRIM(AP385)="Yes",2.5,0)</f>
        <v>2.5</v>
      </c>
      <c r="AA385" s="4" t="n">
        <f aca="false">IF(TRIM(AQ385)="Yes",5,0)</f>
        <v>5</v>
      </c>
      <c r="AB385" s="4" t="n">
        <f aca="false">IF(OR(TRIM(AR385)="Yes",TRIM(AR385)="Not Applicable"),5,0)</f>
        <v>5</v>
      </c>
      <c r="AC385" s="4" t="n">
        <f aca="false">IF(TRIM(AS385)="Excellent",5,IF(TRIM(AS385)="Very Good",4,IF(TRIM(AS385)="Good",3,IF(TRIM(AS385)="Average",2,0))))</f>
        <v>4</v>
      </c>
      <c r="AD385" s="7" t="n">
        <f aca="false">IF(COUNT(S385:AC385)=0,"",SUM(S385:AC385))</f>
        <v>69</v>
      </c>
      <c r="AE385" s="7" t="n">
        <f aca="false">IF(COUNTIF($F$2:F385,F385)=1,IFERROR(AVERAGEIF($F:$F,F385,$AD:$AD),""),"")</f>
        <v>79</v>
      </c>
      <c r="AF385" s="8" t="str">
        <f aca="false">IF(AH385&lt;&gt;"",AH385,IF(AE385="","",IF(AE385&gt;=80,"Excellent",IF(AE385&gt;=70,"Very Good",IF(AE385&gt;=60,"Good",IF(AE385&gt;=50,"Average","Poor"))))))</f>
        <v>Very Good</v>
      </c>
      <c r="AG385" s="5"/>
      <c r="AH385" s="4"/>
      <c r="AI385" s="4" t="s">
        <v>62</v>
      </c>
      <c r="AJ385" s="4" t="s">
        <v>82</v>
      </c>
      <c r="AK385" s="4" t="s">
        <v>62</v>
      </c>
      <c r="AL385" s="4" t="s">
        <v>63</v>
      </c>
      <c r="AM385" s="4" t="s">
        <v>62</v>
      </c>
      <c r="AN385" s="4" t="s">
        <v>64</v>
      </c>
      <c r="AO385" s="4" t="s">
        <v>62</v>
      </c>
      <c r="AP385" s="4" t="s">
        <v>62</v>
      </c>
      <c r="AQ385" s="4" t="s">
        <v>62</v>
      </c>
      <c r="AR385" s="4" t="s">
        <v>62</v>
      </c>
      <c r="AS385" s="4" t="s">
        <v>74</v>
      </c>
      <c r="AT385" s="4" t="n">
        <v>6</v>
      </c>
      <c r="AU385" s="4" t="s">
        <v>66</v>
      </c>
      <c r="AV385" s="4" t="s">
        <v>67</v>
      </c>
      <c r="AW385" s="4" t="s">
        <v>1178</v>
      </c>
      <c r="AX385" s="4" t="s">
        <v>1179</v>
      </c>
      <c r="AY385" s="4" t="n">
        <v>5</v>
      </c>
      <c r="AZ385" s="4" t="s">
        <v>62</v>
      </c>
      <c r="BA385" s="4" t="s">
        <v>1180</v>
      </c>
      <c r="BB385" s="4" t="s">
        <v>760</v>
      </c>
      <c r="BC385" s="6" t="n">
        <v>0.5</v>
      </c>
      <c r="BD385" s="4" t="n">
        <v>86</v>
      </c>
    </row>
    <row r="386" customFormat="false" ht="256.7" hidden="false" customHeight="false" outlineLevel="0" collapsed="false">
      <c r="A386" s="4"/>
      <c r="B386" s="4" t="s">
        <v>753</v>
      </c>
      <c r="C386" s="4" t="s">
        <v>57</v>
      </c>
      <c r="D386" s="4" t="s">
        <v>754</v>
      </c>
      <c r="E386" s="4" t="s">
        <v>828</v>
      </c>
      <c r="F386" s="4" t="n">
        <v>1583</v>
      </c>
      <c r="G386" s="5" t="s">
        <v>1177</v>
      </c>
      <c r="H386" s="5" t="s">
        <v>1181</v>
      </c>
      <c r="I386" s="4"/>
      <c r="J386" s="4"/>
      <c r="K386" s="4"/>
      <c r="L386" s="4" t="n">
        <v>20</v>
      </c>
      <c r="M386" s="4" t="n">
        <v>20</v>
      </c>
      <c r="N386" s="4" t="n">
        <v>0</v>
      </c>
      <c r="O386" s="4" t="n">
        <v>17</v>
      </c>
      <c r="P386" s="4" t="n">
        <v>3</v>
      </c>
      <c r="Q386" s="4" t="n">
        <v>8</v>
      </c>
      <c r="R386" s="6" t="n">
        <f aca="false">IF(N(L386)=0,0,O386/L386)</f>
        <v>0.85</v>
      </c>
      <c r="S386" s="4" t="n">
        <f aca="false">IF(R386="","",IF(R386&gt;=0.8,50,IF(R386&gt;=0.5,30,IF(R386&gt;=0.01,10,0))))</f>
        <v>50</v>
      </c>
      <c r="T386" s="4" t="n">
        <f aca="false">IF(TRIM(AI386)="Yes",2.5,0)</f>
        <v>2.5</v>
      </c>
      <c r="U386" s="4" t="n">
        <f aca="false">IF(TRIM(AJ386)="Yes",10,0)</f>
        <v>0</v>
      </c>
      <c r="V386" s="4" t="n">
        <f aca="false">IF(TRIM(AK386)="Yes",5,0)</f>
        <v>5</v>
      </c>
      <c r="W386" s="4" t="n">
        <f aca="false">IF(TRIM(AM386)="Yes",5,0)</f>
        <v>5</v>
      </c>
      <c r="X386" s="4" t="n">
        <f aca="false">IF(OR(TRIM(AN386)="Fully Available",TRIM(AN386)="Not Applicable"),5,IF(TRIM(AN386)="Partially Available",2.5,0))</f>
        <v>5</v>
      </c>
      <c r="Y386" s="4" t="n">
        <f aca="false">IF(TRIM(AO386)="Yes",5,0)</f>
        <v>5</v>
      </c>
      <c r="Z386" s="4" t="n">
        <f aca="false">IF(TRIM(AP386)="Yes",2.5,0)</f>
        <v>2.5</v>
      </c>
      <c r="AA386" s="4" t="n">
        <f aca="false">IF(TRIM(AQ386)="Yes",5,0)</f>
        <v>5</v>
      </c>
      <c r="AB386" s="4" t="n">
        <f aca="false">IF(OR(TRIM(AR386)="Yes",TRIM(AR386)="Not Applicable"),5,0)</f>
        <v>5</v>
      </c>
      <c r="AC386" s="4" t="n">
        <f aca="false">IF(TRIM(AS386)="Excellent",5,IF(TRIM(AS386)="Very Good",4,IF(TRIM(AS386)="Good",3,IF(TRIM(AS386)="Average",2,0))))</f>
        <v>4</v>
      </c>
      <c r="AD386" s="7" t="n">
        <f aca="false">IF(COUNT(S386:AC386)=0,"",SUM(S386:AC386))</f>
        <v>89</v>
      </c>
      <c r="AE386" s="7"/>
      <c r="AF386" s="8"/>
      <c r="AG386" s="5"/>
      <c r="AH386" s="4"/>
      <c r="AI386" s="4" t="s">
        <v>62</v>
      </c>
      <c r="AJ386" s="4" t="s">
        <v>82</v>
      </c>
      <c r="AK386" s="4" t="s">
        <v>62</v>
      </c>
      <c r="AL386" s="4" t="s">
        <v>63</v>
      </c>
      <c r="AM386" s="4" t="s">
        <v>62</v>
      </c>
      <c r="AN386" s="4" t="s">
        <v>64</v>
      </c>
      <c r="AO386" s="4" t="s">
        <v>62</v>
      </c>
      <c r="AP386" s="4" t="s">
        <v>62</v>
      </c>
      <c r="AQ386" s="4" t="s">
        <v>62</v>
      </c>
      <c r="AR386" s="4" t="s">
        <v>62</v>
      </c>
      <c r="AS386" s="4" t="s">
        <v>74</v>
      </c>
      <c r="AT386" s="4" t="n">
        <v>4</v>
      </c>
      <c r="AU386" s="4" t="s">
        <v>66</v>
      </c>
      <c r="AV386" s="4" t="s">
        <v>67</v>
      </c>
      <c r="AW386" s="4" t="s">
        <v>1182</v>
      </c>
      <c r="AX386" s="4" t="s">
        <v>1183</v>
      </c>
      <c r="AY386" s="4" t="n">
        <v>12</v>
      </c>
      <c r="AZ386" s="4" t="s">
        <v>62</v>
      </c>
      <c r="BA386" s="4" t="s">
        <v>1180</v>
      </c>
      <c r="BB386" s="4" t="s">
        <v>760</v>
      </c>
      <c r="BC386" s="6" t="n">
        <v>0.4706</v>
      </c>
      <c r="BD386" s="4" t="n">
        <v>86</v>
      </c>
    </row>
    <row r="387" customFormat="false" ht="199.95" hidden="false" customHeight="false" outlineLevel="0" collapsed="false">
      <c r="A387" s="4" t="n">
        <v>167</v>
      </c>
      <c r="B387" s="4" t="s">
        <v>753</v>
      </c>
      <c r="C387" s="4" t="s">
        <v>57</v>
      </c>
      <c r="D387" s="4" t="s">
        <v>754</v>
      </c>
      <c r="E387" s="4" t="s">
        <v>867</v>
      </c>
      <c r="F387" s="4" t="n">
        <v>167</v>
      </c>
      <c r="G387" s="5" t="s">
        <v>1184</v>
      </c>
      <c r="H387" s="5" t="s">
        <v>693</v>
      </c>
      <c r="I387" s="4"/>
      <c r="J387" s="4"/>
      <c r="K387" s="4"/>
      <c r="L387" s="4" t="n">
        <v>20</v>
      </c>
      <c r="M387" s="4" t="n">
        <v>20</v>
      </c>
      <c r="N387" s="4" t="n">
        <v>0</v>
      </c>
      <c r="O387" s="4" t="n">
        <v>16</v>
      </c>
      <c r="P387" s="4" t="n">
        <v>4</v>
      </c>
      <c r="Q387" s="4" t="n">
        <v>7</v>
      </c>
      <c r="R387" s="6" t="n">
        <f aca="false">IF(N(L387)=0,0,O387/L387)</f>
        <v>0.8</v>
      </c>
      <c r="S387" s="4" t="n">
        <f aca="false">IF(R387="","",IF(R387&gt;=0.8,50,IF(R387&gt;=0.5,30,IF(R387&gt;=0.01,10,0))))</f>
        <v>50</v>
      </c>
      <c r="T387" s="4" t="n">
        <f aca="false">IF(TRIM(AI387)="Yes",2.5,0)</f>
        <v>2.5</v>
      </c>
      <c r="U387" s="4" t="n">
        <f aca="false">IF(TRIM(AJ387)="Yes",10,0)</f>
        <v>10</v>
      </c>
      <c r="V387" s="4" t="n">
        <f aca="false">IF(TRIM(AK387)="Yes",5,0)</f>
        <v>5</v>
      </c>
      <c r="W387" s="4" t="n">
        <f aca="false">IF(TRIM(AM387)="Yes",5,0)</f>
        <v>5</v>
      </c>
      <c r="X387" s="4" t="n">
        <f aca="false">IF(OR(TRIM(AN387)="Fully Available",TRIM(AN387)="Not Applicable"),5,IF(TRIM(AN387)="Partially Available",2.5,0))</f>
        <v>5</v>
      </c>
      <c r="Y387" s="4" t="n">
        <f aca="false">IF(TRIM(AO387)="Yes",5,0)</f>
        <v>5</v>
      </c>
      <c r="Z387" s="4" t="n">
        <f aca="false">IF(TRIM(AP387)="Yes",2.5,0)</f>
        <v>0</v>
      </c>
      <c r="AA387" s="4" t="n">
        <f aca="false">IF(TRIM(AQ387)="Yes",5,0)</f>
        <v>5</v>
      </c>
      <c r="AB387" s="4" t="n">
        <f aca="false">IF(OR(TRIM(AR387)="Yes",TRIM(AR387)="Not Applicable"),5,0)</f>
        <v>5</v>
      </c>
      <c r="AC387" s="4" t="n">
        <f aca="false">IF(TRIM(AS387)="Excellent",5,IF(TRIM(AS387)="Very Good",4,IF(TRIM(AS387)="Good",3,IF(TRIM(AS387)="Average",2,0))))</f>
        <v>4</v>
      </c>
      <c r="AD387" s="7" t="n">
        <f aca="false">IF(COUNT(S387:AC387)=0,"",SUM(S387:AC387))</f>
        <v>96.5</v>
      </c>
      <c r="AE387" s="7" t="n">
        <f aca="false">IF(COUNTIF($F$2:F387,F387)=1,IFERROR(AVERAGEIF($F:$F,F387,$AD:$AD),""),"")</f>
        <v>95.6666666666667</v>
      </c>
      <c r="AF387" s="8" t="str">
        <f aca="false">IF(AH387&lt;&gt;"",AH387,IF(AE387="","",IF(AE387&gt;=80,"Excellent",IF(AE387&gt;=70,"Very Good",IF(AE387&gt;=60,"Good",IF(AE387&gt;=50,"Average","Poor"))))))</f>
        <v>Excellent</v>
      </c>
      <c r="AG387" s="5"/>
      <c r="AH387" s="4"/>
      <c r="AI387" s="4" t="s">
        <v>62</v>
      </c>
      <c r="AJ387" s="4" t="s">
        <v>62</v>
      </c>
      <c r="AK387" s="4" t="s">
        <v>62</v>
      </c>
      <c r="AL387" s="4" t="s">
        <v>63</v>
      </c>
      <c r="AM387" s="4" t="s">
        <v>62</v>
      </c>
      <c r="AN387" s="4" t="s">
        <v>64</v>
      </c>
      <c r="AO387" s="4" t="s">
        <v>62</v>
      </c>
      <c r="AP387" s="4" t="s">
        <v>82</v>
      </c>
      <c r="AQ387" s="4" t="s">
        <v>62</v>
      </c>
      <c r="AR387" s="4" t="s">
        <v>73</v>
      </c>
      <c r="AS387" s="4" t="s">
        <v>74</v>
      </c>
      <c r="AT387" s="4" t="n">
        <v>3</v>
      </c>
      <c r="AU387" s="4" t="s">
        <v>112</v>
      </c>
      <c r="AV387" s="4" t="s">
        <v>128</v>
      </c>
      <c r="AW387" s="4" t="s">
        <v>1011</v>
      </c>
      <c r="AX387" s="4" t="s">
        <v>499</v>
      </c>
      <c r="AY387" s="4" t="n">
        <v>11</v>
      </c>
      <c r="AZ387" s="4" t="s">
        <v>62</v>
      </c>
      <c r="BA387" s="4" t="s">
        <v>1185</v>
      </c>
      <c r="BB387" s="4" t="s">
        <v>760</v>
      </c>
      <c r="BC387" s="6" t="n">
        <v>0.4375</v>
      </c>
      <c r="BD387" s="4" t="n">
        <v>82</v>
      </c>
    </row>
    <row r="388" customFormat="false" ht="199.95" hidden="false" customHeight="false" outlineLevel="0" collapsed="false">
      <c r="A388" s="4"/>
      <c r="B388" s="4" t="s">
        <v>753</v>
      </c>
      <c r="C388" s="4" t="s">
        <v>57</v>
      </c>
      <c r="D388" s="4" t="s">
        <v>754</v>
      </c>
      <c r="E388" s="4" t="s">
        <v>867</v>
      </c>
      <c r="F388" s="4" t="n">
        <v>167</v>
      </c>
      <c r="G388" s="5" t="s">
        <v>1184</v>
      </c>
      <c r="H388" s="5" t="s">
        <v>104</v>
      </c>
      <c r="I388" s="4"/>
      <c r="J388" s="4"/>
      <c r="K388" s="4"/>
      <c r="L388" s="4" t="n">
        <v>20</v>
      </c>
      <c r="M388" s="4" t="n">
        <v>20</v>
      </c>
      <c r="N388" s="4" t="n">
        <v>0</v>
      </c>
      <c r="O388" s="4" t="n">
        <v>16</v>
      </c>
      <c r="P388" s="4" t="n">
        <v>4</v>
      </c>
      <c r="Q388" s="4" t="n">
        <v>8</v>
      </c>
      <c r="R388" s="6" t="n">
        <f aca="false">IF(N(L388)=0,0,O388/L388)</f>
        <v>0.8</v>
      </c>
      <c r="S388" s="4" t="n">
        <f aca="false">IF(R388="","",IF(R388&gt;=0.8,50,IF(R388&gt;=0.5,30,IF(R388&gt;=0.01,10,0))))</f>
        <v>50</v>
      </c>
      <c r="T388" s="4" t="n">
        <f aca="false">IF(TRIM(AI388)="Yes",2.5,0)</f>
        <v>2.5</v>
      </c>
      <c r="U388" s="4" t="n">
        <f aca="false">IF(TRIM(AJ388)="Yes",10,0)</f>
        <v>10</v>
      </c>
      <c r="V388" s="4" t="n">
        <f aca="false">IF(TRIM(AK388)="Yes",5,0)</f>
        <v>5</v>
      </c>
      <c r="W388" s="4" t="n">
        <f aca="false">IF(TRIM(AM388)="Yes",5,0)</f>
        <v>5</v>
      </c>
      <c r="X388" s="4" t="n">
        <f aca="false">IF(OR(TRIM(AN388)="Fully Available",TRIM(AN388)="Not Applicable"),5,IF(TRIM(AN388)="Partially Available",2.5,0))</f>
        <v>2.5</v>
      </c>
      <c r="Y388" s="4" t="n">
        <f aca="false">IF(TRIM(AO388)="Yes",5,0)</f>
        <v>5</v>
      </c>
      <c r="Z388" s="4" t="n">
        <f aca="false">IF(TRIM(AP388)="Yes",2.5,0)</f>
        <v>0</v>
      </c>
      <c r="AA388" s="4" t="n">
        <f aca="false">IF(TRIM(AQ388)="Yes",5,0)</f>
        <v>5</v>
      </c>
      <c r="AB388" s="4" t="n">
        <f aca="false">IF(OR(TRIM(AR388)="Yes",TRIM(AR388)="Not Applicable"),5,0)</f>
        <v>5</v>
      </c>
      <c r="AC388" s="4" t="n">
        <f aca="false">IF(TRIM(AS388)="Excellent",5,IF(TRIM(AS388)="Very Good",4,IF(TRIM(AS388)="Good",3,IF(TRIM(AS388)="Average",2,0))))</f>
        <v>4</v>
      </c>
      <c r="AD388" s="7" t="n">
        <f aca="false">IF(COUNT(S388:AC388)=0,"",SUM(S388:AC388))</f>
        <v>94</v>
      </c>
      <c r="AE388" s="7"/>
      <c r="AF388" s="8"/>
      <c r="AG388" s="5"/>
      <c r="AH388" s="4"/>
      <c r="AI388" s="4" t="s">
        <v>62</v>
      </c>
      <c r="AJ388" s="4" t="s">
        <v>62</v>
      </c>
      <c r="AK388" s="4" t="s">
        <v>62</v>
      </c>
      <c r="AL388" s="4" t="s">
        <v>63</v>
      </c>
      <c r="AM388" s="4" t="s">
        <v>62</v>
      </c>
      <c r="AN388" s="4" t="s">
        <v>147</v>
      </c>
      <c r="AO388" s="4" t="s">
        <v>62</v>
      </c>
      <c r="AP388" s="4" t="s">
        <v>82</v>
      </c>
      <c r="AQ388" s="4" t="s">
        <v>62</v>
      </c>
      <c r="AR388" s="4" t="s">
        <v>73</v>
      </c>
      <c r="AS388" s="4" t="s">
        <v>74</v>
      </c>
      <c r="AT388" s="4" t="n">
        <v>4</v>
      </c>
      <c r="AU388" s="4" t="s">
        <v>66</v>
      </c>
      <c r="AV388" s="4" t="s">
        <v>128</v>
      </c>
      <c r="AW388" s="4" t="s">
        <v>1186</v>
      </c>
      <c r="AX388" s="4" t="s">
        <v>1187</v>
      </c>
      <c r="AY388" s="4" t="n">
        <v>1</v>
      </c>
      <c r="AZ388" s="4" t="s">
        <v>62</v>
      </c>
      <c r="BA388" s="4" t="s">
        <v>1185</v>
      </c>
      <c r="BB388" s="4" t="s">
        <v>760</v>
      </c>
      <c r="BC388" s="6" t="n">
        <v>0.5</v>
      </c>
      <c r="BD388" s="4" t="n">
        <v>82</v>
      </c>
    </row>
    <row r="389" customFormat="false" ht="199.95" hidden="false" customHeight="false" outlineLevel="0" collapsed="false">
      <c r="A389" s="4"/>
      <c r="B389" s="4" t="s">
        <v>753</v>
      </c>
      <c r="C389" s="4" t="s">
        <v>57</v>
      </c>
      <c r="D389" s="4" t="s">
        <v>754</v>
      </c>
      <c r="E389" s="4" t="s">
        <v>867</v>
      </c>
      <c r="F389" s="4" t="n">
        <v>167</v>
      </c>
      <c r="G389" s="5" t="s">
        <v>1184</v>
      </c>
      <c r="H389" s="5" t="s">
        <v>397</v>
      </c>
      <c r="I389" s="4"/>
      <c r="J389" s="4"/>
      <c r="K389" s="4"/>
      <c r="L389" s="4" t="n">
        <v>20</v>
      </c>
      <c r="M389" s="4" t="n">
        <v>20</v>
      </c>
      <c r="N389" s="4" t="n">
        <v>0</v>
      </c>
      <c r="O389" s="4" t="n">
        <v>19</v>
      </c>
      <c r="P389" s="4" t="n">
        <v>1</v>
      </c>
      <c r="Q389" s="4" t="n">
        <v>8</v>
      </c>
      <c r="R389" s="6" t="n">
        <f aca="false">IF(N(L389)=0,0,O389/L389)</f>
        <v>0.95</v>
      </c>
      <c r="S389" s="4" t="n">
        <f aca="false">IF(R389="","",IF(R389&gt;=0.8,50,IF(R389&gt;=0.5,30,IF(R389&gt;=0.01,10,0))))</f>
        <v>50</v>
      </c>
      <c r="T389" s="4" t="n">
        <f aca="false">IF(TRIM(AI389)="Yes",2.5,0)</f>
        <v>2.5</v>
      </c>
      <c r="U389" s="4" t="n">
        <f aca="false">IF(TRIM(AJ389)="Yes",10,0)</f>
        <v>10</v>
      </c>
      <c r="V389" s="4" t="n">
        <f aca="false">IF(TRIM(AK389)="Yes",5,0)</f>
        <v>5</v>
      </c>
      <c r="W389" s="4" t="n">
        <f aca="false">IF(TRIM(AM389)="Yes",5,0)</f>
        <v>5</v>
      </c>
      <c r="X389" s="4" t="n">
        <f aca="false">IF(OR(TRIM(AN389)="Fully Available",TRIM(AN389)="Not Applicable"),5,IF(TRIM(AN389)="Partially Available",2.5,0))</f>
        <v>5</v>
      </c>
      <c r="Y389" s="4" t="n">
        <f aca="false">IF(TRIM(AO389)="Yes",5,0)</f>
        <v>5</v>
      </c>
      <c r="Z389" s="4" t="n">
        <f aca="false">IF(TRIM(AP389)="Yes",2.5,0)</f>
        <v>0</v>
      </c>
      <c r="AA389" s="4" t="n">
        <f aca="false">IF(TRIM(AQ389)="Yes",5,0)</f>
        <v>5</v>
      </c>
      <c r="AB389" s="4" t="n">
        <f aca="false">IF(OR(TRIM(AR389)="Yes",TRIM(AR389)="Not Applicable"),5,0)</f>
        <v>5</v>
      </c>
      <c r="AC389" s="4" t="n">
        <f aca="false">IF(TRIM(AS389)="Excellent",5,IF(TRIM(AS389)="Very Good",4,IF(TRIM(AS389)="Good",3,IF(TRIM(AS389)="Average",2,0))))</f>
        <v>4</v>
      </c>
      <c r="AD389" s="7" t="n">
        <f aca="false">IF(COUNT(S389:AC389)=0,"",SUM(S389:AC389))</f>
        <v>96.5</v>
      </c>
      <c r="AE389" s="7"/>
      <c r="AF389" s="8"/>
      <c r="AG389" s="5"/>
      <c r="AH389" s="4"/>
      <c r="AI389" s="4" t="s">
        <v>62</v>
      </c>
      <c r="AJ389" s="4" t="s">
        <v>62</v>
      </c>
      <c r="AK389" s="4" t="s">
        <v>62</v>
      </c>
      <c r="AL389" s="4" t="s">
        <v>63</v>
      </c>
      <c r="AM389" s="4" t="s">
        <v>62</v>
      </c>
      <c r="AN389" s="4" t="s">
        <v>64</v>
      </c>
      <c r="AO389" s="4" t="s">
        <v>62</v>
      </c>
      <c r="AP389" s="4" t="s">
        <v>82</v>
      </c>
      <c r="AQ389" s="4" t="s">
        <v>62</v>
      </c>
      <c r="AR389" s="4" t="s">
        <v>73</v>
      </c>
      <c r="AS389" s="4" t="s">
        <v>74</v>
      </c>
      <c r="AT389" s="4" t="n">
        <v>3</v>
      </c>
      <c r="AU389" s="4" t="s">
        <v>66</v>
      </c>
      <c r="AV389" s="4" t="s">
        <v>128</v>
      </c>
      <c r="AW389" s="4" t="s">
        <v>1188</v>
      </c>
      <c r="AX389" s="4" t="s">
        <v>1189</v>
      </c>
      <c r="AY389" s="4" t="n">
        <v>18</v>
      </c>
      <c r="AZ389" s="4" t="s">
        <v>62</v>
      </c>
      <c r="BA389" s="4" t="s">
        <v>1185</v>
      </c>
      <c r="BB389" s="4" t="s">
        <v>760</v>
      </c>
      <c r="BC389" s="6" t="n">
        <v>0.4211</v>
      </c>
      <c r="BD389" s="4" t="n">
        <v>82</v>
      </c>
    </row>
    <row r="390" customFormat="false" ht="185.8" hidden="false" customHeight="false" outlineLevel="0" collapsed="false">
      <c r="A390" s="4" t="n">
        <v>168</v>
      </c>
      <c r="B390" s="4" t="s">
        <v>753</v>
      </c>
      <c r="C390" s="4" t="s">
        <v>57</v>
      </c>
      <c r="D390" s="4" t="s">
        <v>754</v>
      </c>
      <c r="E390" s="4" t="s">
        <v>817</v>
      </c>
      <c r="F390" s="4" t="n">
        <v>360</v>
      </c>
      <c r="G390" s="5" t="s">
        <v>1190</v>
      </c>
      <c r="H390" s="5" t="s">
        <v>1033</v>
      </c>
      <c r="I390" s="4"/>
      <c r="J390" s="4"/>
      <c r="K390" s="4"/>
      <c r="L390" s="4" t="n">
        <v>20</v>
      </c>
      <c r="M390" s="4" t="n">
        <v>20</v>
      </c>
      <c r="N390" s="4" t="n">
        <v>0</v>
      </c>
      <c r="O390" s="4" t="n">
        <v>17</v>
      </c>
      <c r="P390" s="4" t="n">
        <v>3</v>
      </c>
      <c r="Q390" s="4" t="n">
        <v>6</v>
      </c>
      <c r="R390" s="6" t="n">
        <f aca="false">IF(N(L390)=0,0,O390/L390)</f>
        <v>0.85</v>
      </c>
      <c r="S390" s="4" t="n">
        <f aca="false">IF(R390="","",IF(R390&gt;=0.8,50,IF(R390&gt;=0.5,30,IF(R390&gt;=0.01,10,0))))</f>
        <v>50</v>
      </c>
      <c r="T390" s="4" t="n">
        <f aca="false">IF(TRIM(AI390)="Yes",2.5,0)</f>
        <v>2.5</v>
      </c>
      <c r="U390" s="4" t="n">
        <f aca="false">IF(TRIM(AJ390)="Yes",10,0)</f>
        <v>10</v>
      </c>
      <c r="V390" s="4" t="n">
        <f aca="false">IF(TRIM(AK390)="Yes",5,0)</f>
        <v>5</v>
      </c>
      <c r="W390" s="4" t="n">
        <f aca="false">IF(TRIM(AM390)="Yes",5,0)</f>
        <v>5</v>
      </c>
      <c r="X390" s="4" t="n">
        <f aca="false">IF(OR(TRIM(AN390)="Fully Available",TRIM(AN390)="Not Applicable"),5,IF(TRIM(AN390)="Partially Available",2.5,0))</f>
        <v>2.5</v>
      </c>
      <c r="Y390" s="4" t="n">
        <f aca="false">IF(TRIM(AO390)="Yes",5,0)</f>
        <v>5</v>
      </c>
      <c r="Z390" s="4" t="n">
        <f aca="false">IF(TRIM(AP390)="Yes",2.5,0)</f>
        <v>2.5</v>
      </c>
      <c r="AA390" s="4" t="n">
        <f aca="false">IF(TRIM(AQ390)="Yes",5,0)</f>
        <v>5</v>
      </c>
      <c r="AB390" s="4" t="n">
        <f aca="false">IF(OR(TRIM(AR390)="Yes",TRIM(AR390)="Not Applicable"),5,0)</f>
        <v>5</v>
      </c>
      <c r="AC390" s="4" t="n">
        <f aca="false">IF(TRIM(AS390)="Excellent",5,IF(TRIM(AS390)="Very Good",4,IF(TRIM(AS390)="Good",3,IF(TRIM(AS390)="Average",2,0))))</f>
        <v>3</v>
      </c>
      <c r="AD390" s="7" t="n">
        <f aca="false">IF(COUNT(S390:AC390)=0,"",SUM(S390:AC390))</f>
        <v>95.5</v>
      </c>
      <c r="AE390" s="7" t="n">
        <f aca="false">IF(COUNTIF($F$2:F390,F390)=1,IFERROR(AVERAGEIF($F:$F,F390,$AD:$AD),""),"")</f>
        <v>95.5</v>
      </c>
      <c r="AF390" s="8" t="str">
        <f aca="false">IF(AH390&lt;&gt;"",AH390,IF(AE390="","",IF(AE390&gt;=80,"Excellent",IF(AE390&gt;=70,"Very Good",IF(AE390&gt;=60,"Good",IF(AE390&gt;=50,"Average","Poor"))))))</f>
        <v>Excellent</v>
      </c>
      <c r="AG390" s="5"/>
      <c r="AH390" s="4"/>
      <c r="AI390" s="4" t="s">
        <v>62</v>
      </c>
      <c r="AJ390" s="4" t="s">
        <v>62</v>
      </c>
      <c r="AK390" s="4" t="s">
        <v>62</v>
      </c>
      <c r="AL390" s="4" t="s">
        <v>63</v>
      </c>
      <c r="AM390" s="4" t="s">
        <v>62</v>
      </c>
      <c r="AN390" s="4" t="s">
        <v>147</v>
      </c>
      <c r="AO390" s="4" t="s">
        <v>62</v>
      </c>
      <c r="AP390" s="4" t="s">
        <v>62</v>
      </c>
      <c r="AQ390" s="4" t="s">
        <v>62</v>
      </c>
      <c r="AR390" s="4" t="s">
        <v>62</v>
      </c>
      <c r="AS390" s="4" t="s">
        <v>185</v>
      </c>
      <c r="AT390" s="4" t="n">
        <v>4</v>
      </c>
      <c r="AU390" s="4" t="s">
        <v>112</v>
      </c>
      <c r="AV390" s="4" t="s">
        <v>208</v>
      </c>
      <c r="AW390" s="4" t="s">
        <v>1191</v>
      </c>
      <c r="AX390" s="4" t="s">
        <v>1192</v>
      </c>
      <c r="AY390" s="4" t="n">
        <v>20</v>
      </c>
      <c r="AZ390" s="4" t="s">
        <v>62</v>
      </c>
      <c r="BA390" s="4" t="s">
        <v>1193</v>
      </c>
      <c r="BB390" s="4" t="s">
        <v>760</v>
      </c>
      <c r="BC390" s="6" t="n">
        <v>0.3529</v>
      </c>
      <c r="BD390" s="4" t="n">
        <v>85</v>
      </c>
    </row>
    <row r="391" customFormat="false" ht="185.8" hidden="false" customHeight="false" outlineLevel="0" collapsed="false">
      <c r="A391" s="4"/>
      <c r="B391" s="4" t="s">
        <v>753</v>
      </c>
      <c r="C391" s="4" t="s">
        <v>57</v>
      </c>
      <c r="D391" s="4" t="s">
        <v>754</v>
      </c>
      <c r="E391" s="4" t="s">
        <v>817</v>
      </c>
      <c r="F391" s="4" t="n">
        <v>360</v>
      </c>
      <c r="G391" s="5" t="s">
        <v>1190</v>
      </c>
      <c r="H391" s="5" t="s">
        <v>844</v>
      </c>
      <c r="I391" s="4"/>
      <c r="J391" s="4"/>
      <c r="K391" s="4"/>
      <c r="L391" s="4" t="n">
        <v>20</v>
      </c>
      <c r="M391" s="4" t="n">
        <v>20</v>
      </c>
      <c r="N391" s="4" t="n">
        <v>0</v>
      </c>
      <c r="O391" s="4" t="n">
        <v>16</v>
      </c>
      <c r="P391" s="4" t="n">
        <v>4</v>
      </c>
      <c r="Q391" s="4" t="n">
        <v>10</v>
      </c>
      <c r="R391" s="6" t="n">
        <f aca="false">IF(N(L391)=0,0,O391/L391)</f>
        <v>0.8</v>
      </c>
      <c r="S391" s="4" t="n">
        <f aca="false">IF(R391="","",IF(R391&gt;=0.8,50,IF(R391&gt;=0.5,30,IF(R391&gt;=0.01,10,0))))</f>
        <v>50</v>
      </c>
      <c r="T391" s="4" t="n">
        <f aca="false">IF(TRIM(AI391)="Yes",2.5,0)</f>
        <v>2.5</v>
      </c>
      <c r="U391" s="4" t="n">
        <f aca="false">IF(TRIM(AJ391)="Yes",10,0)</f>
        <v>10</v>
      </c>
      <c r="V391" s="4" t="n">
        <f aca="false">IF(TRIM(AK391)="Yes",5,0)</f>
        <v>5</v>
      </c>
      <c r="W391" s="4" t="n">
        <f aca="false">IF(TRIM(AM391)="Yes",5,0)</f>
        <v>5</v>
      </c>
      <c r="X391" s="4" t="n">
        <f aca="false">IF(OR(TRIM(AN391)="Fully Available",TRIM(AN391)="Not Applicable"),5,IF(TRIM(AN391)="Partially Available",2.5,0))</f>
        <v>2.5</v>
      </c>
      <c r="Y391" s="4" t="n">
        <f aca="false">IF(TRIM(AO391)="Yes",5,0)</f>
        <v>5</v>
      </c>
      <c r="Z391" s="4" t="n">
        <f aca="false">IF(TRIM(AP391)="Yes",2.5,0)</f>
        <v>2.5</v>
      </c>
      <c r="AA391" s="4" t="n">
        <f aca="false">IF(TRIM(AQ391)="Yes",5,0)</f>
        <v>5</v>
      </c>
      <c r="AB391" s="4" t="n">
        <f aca="false">IF(OR(TRIM(AR391)="Yes",TRIM(AR391)="Not Applicable"),5,0)</f>
        <v>5</v>
      </c>
      <c r="AC391" s="4" t="n">
        <f aca="false">IF(TRIM(AS391)="Excellent",5,IF(TRIM(AS391)="Very Good",4,IF(TRIM(AS391)="Good",3,IF(TRIM(AS391)="Average",2,0))))</f>
        <v>3</v>
      </c>
      <c r="AD391" s="7" t="n">
        <f aca="false">IF(COUNT(S391:AC391)=0,"",SUM(S391:AC391))</f>
        <v>95.5</v>
      </c>
      <c r="AE391" s="7"/>
      <c r="AF391" s="8"/>
      <c r="AG391" s="5"/>
      <c r="AH391" s="4"/>
      <c r="AI391" s="4" t="s">
        <v>62</v>
      </c>
      <c r="AJ391" s="4" t="s">
        <v>62</v>
      </c>
      <c r="AK391" s="4" t="s">
        <v>62</v>
      </c>
      <c r="AL391" s="4" t="s">
        <v>63</v>
      </c>
      <c r="AM391" s="4" t="s">
        <v>62</v>
      </c>
      <c r="AN391" s="4" t="s">
        <v>147</v>
      </c>
      <c r="AO391" s="4" t="s">
        <v>62</v>
      </c>
      <c r="AP391" s="4" t="s">
        <v>62</v>
      </c>
      <c r="AQ391" s="4" t="s">
        <v>62</v>
      </c>
      <c r="AR391" s="4" t="s">
        <v>62</v>
      </c>
      <c r="AS391" s="4" t="s">
        <v>185</v>
      </c>
      <c r="AT391" s="4" t="n">
        <v>4</v>
      </c>
      <c r="AU391" s="4" t="s">
        <v>112</v>
      </c>
      <c r="AV391" s="4" t="s">
        <v>208</v>
      </c>
      <c r="AW391" s="4" t="s">
        <v>1194</v>
      </c>
      <c r="AX391" s="4" t="s">
        <v>1195</v>
      </c>
      <c r="AY391" s="4" t="n">
        <v>10</v>
      </c>
      <c r="AZ391" s="4" t="s">
        <v>62</v>
      </c>
      <c r="BA391" s="4" t="s">
        <v>1193</v>
      </c>
      <c r="BB391" s="4" t="s">
        <v>760</v>
      </c>
      <c r="BC391" s="6" t="n">
        <v>0.625</v>
      </c>
      <c r="BD391" s="4" t="n">
        <v>85</v>
      </c>
    </row>
    <row r="392" customFormat="false" ht="299.25" hidden="false" customHeight="false" outlineLevel="0" collapsed="false">
      <c r="A392" s="4" t="n">
        <v>169</v>
      </c>
      <c r="B392" s="4" t="s">
        <v>753</v>
      </c>
      <c r="C392" s="4" t="s">
        <v>57</v>
      </c>
      <c r="D392" s="4" t="s">
        <v>754</v>
      </c>
      <c r="E392" s="4" t="s">
        <v>817</v>
      </c>
      <c r="F392" s="4" t="n">
        <v>503</v>
      </c>
      <c r="G392" s="5" t="s">
        <v>1196</v>
      </c>
      <c r="H392" s="5" t="s">
        <v>693</v>
      </c>
      <c r="I392" s="4"/>
      <c r="J392" s="4"/>
      <c r="K392" s="4"/>
      <c r="L392" s="4" t="n">
        <v>20</v>
      </c>
      <c r="M392" s="4" t="n">
        <v>19</v>
      </c>
      <c r="N392" s="4" t="n">
        <v>1</v>
      </c>
      <c r="O392" s="4" t="n">
        <v>17</v>
      </c>
      <c r="P392" s="4" t="n">
        <v>2</v>
      </c>
      <c r="Q392" s="4" t="n">
        <v>10</v>
      </c>
      <c r="R392" s="6" t="n">
        <f aca="false">IF(N(L392)=0,0,O392/L392)</f>
        <v>0.85</v>
      </c>
      <c r="S392" s="4" t="n">
        <f aca="false">IF(R392="","",IF(R392&gt;=0.8,50,IF(R392&gt;=0.5,30,IF(R392&gt;=0.01,10,0))))</f>
        <v>50</v>
      </c>
      <c r="T392" s="4" t="n">
        <f aca="false">IF(TRIM(AI392)="Yes",2.5,0)</f>
        <v>2.5</v>
      </c>
      <c r="U392" s="4" t="n">
        <f aca="false">IF(TRIM(AJ392)="Yes",10,0)</f>
        <v>10</v>
      </c>
      <c r="V392" s="4" t="n">
        <f aca="false">IF(TRIM(AK392)="Yes",5,0)</f>
        <v>5</v>
      </c>
      <c r="W392" s="4" t="n">
        <f aca="false">IF(TRIM(AM392)="Yes",5,0)</f>
        <v>5</v>
      </c>
      <c r="X392" s="4" t="n">
        <f aca="false">IF(OR(TRIM(AN392)="Fully Available",TRIM(AN392)="Not Applicable"),5,IF(TRIM(AN392)="Partially Available",2.5,0))</f>
        <v>2.5</v>
      </c>
      <c r="Y392" s="4" t="n">
        <f aca="false">IF(TRIM(AO392)="Yes",5,0)</f>
        <v>5</v>
      </c>
      <c r="Z392" s="4" t="n">
        <f aca="false">IF(TRIM(AP392)="Yes",2.5,0)</f>
        <v>2.5</v>
      </c>
      <c r="AA392" s="4" t="n">
        <f aca="false">IF(TRIM(AQ392)="Yes",5,0)</f>
        <v>5</v>
      </c>
      <c r="AB392" s="4" t="n">
        <f aca="false">IF(OR(TRIM(AR392)="Yes",TRIM(AR392)="Not Applicable"),5,0)</f>
        <v>0</v>
      </c>
      <c r="AC392" s="4" t="n">
        <f aca="false">IF(TRIM(AS392)="Excellent",5,IF(TRIM(AS392)="Very Good",4,IF(TRIM(AS392)="Good",3,IF(TRIM(AS392)="Average",2,0))))</f>
        <v>3</v>
      </c>
      <c r="AD392" s="7" t="n">
        <f aca="false">IF(COUNT(S392:AC392)=0,"",SUM(S392:AC392))</f>
        <v>90.5</v>
      </c>
      <c r="AE392" s="7" t="n">
        <f aca="false">IF(COUNTIF($F$2:F392,F392)=1,IFERROR(AVERAGEIF($F:$F,F392,$AD:$AD),""),"")</f>
        <v>89.25</v>
      </c>
      <c r="AF392" s="8" t="str">
        <f aca="false">IF(AH392&lt;&gt;"",AH392,IF(AE392="","",IF(AE392&gt;=80,"Excellent",IF(AE392&gt;=70,"Very Good",IF(AE392&gt;=60,"Good",IF(AE392&gt;=50,"Average","Poor"))))))</f>
        <v>Excellent</v>
      </c>
      <c r="AG392" s="5"/>
      <c r="AH392" s="4"/>
      <c r="AI392" s="4" t="s">
        <v>62</v>
      </c>
      <c r="AJ392" s="4" t="s">
        <v>62</v>
      </c>
      <c r="AK392" s="4" t="s">
        <v>62</v>
      </c>
      <c r="AL392" s="4" t="s">
        <v>63</v>
      </c>
      <c r="AM392" s="4" t="s">
        <v>62</v>
      </c>
      <c r="AN392" s="4" t="s">
        <v>147</v>
      </c>
      <c r="AO392" s="4" t="s">
        <v>62</v>
      </c>
      <c r="AP392" s="4" t="s">
        <v>62</v>
      </c>
      <c r="AQ392" s="4" t="s">
        <v>62</v>
      </c>
      <c r="AR392" s="4" t="s">
        <v>82</v>
      </c>
      <c r="AS392" s="4" t="s">
        <v>185</v>
      </c>
      <c r="AT392" s="4" t="n">
        <v>13</v>
      </c>
      <c r="AU392" s="4" t="s">
        <v>112</v>
      </c>
      <c r="AV392" s="4" t="s">
        <v>91</v>
      </c>
      <c r="AW392" s="4" t="s">
        <v>1197</v>
      </c>
      <c r="AX392" s="4" t="s">
        <v>1198</v>
      </c>
      <c r="AY392" s="4" t="n">
        <v>19</v>
      </c>
      <c r="AZ392" s="4" t="s">
        <v>62</v>
      </c>
      <c r="BA392" s="4" t="s">
        <v>1199</v>
      </c>
      <c r="BB392" s="4" t="s">
        <v>760</v>
      </c>
      <c r="BC392" s="6" t="n">
        <v>0.5882</v>
      </c>
      <c r="BD392" s="4" t="n">
        <v>76</v>
      </c>
    </row>
    <row r="393" customFormat="false" ht="299.25" hidden="false" customHeight="false" outlineLevel="0" collapsed="false">
      <c r="A393" s="4"/>
      <c r="B393" s="4" t="s">
        <v>753</v>
      </c>
      <c r="C393" s="4" t="s">
        <v>57</v>
      </c>
      <c r="D393" s="4" t="s">
        <v>754</v>
      </c>
      <c r="E393" s="4" t="s">
        <v>817</v>
      </c>
      <c r="F393" s="4" t="n">
        <v>503</v>
      </c>
      <c r="G393" s="5" t="s">
        <v>1196</v>
      </c>
      <c r="H393" s="5" t="s">
        <v>104</v>
      </c>
      <c r="I393" s="4"/>
      <c r="J393" s="4"/>
      <c r="K393" s="4"/>
      <c r="L393" s="4" t="n">
        <v>20</v>
      </c>
      <c r="M393" s="4" t="n">
        <v>20</v>
      </c>
      <c r="N393" s="4" t="n">
        <v>0</v>
      </c>
      <c r="O393" s="4" t="n">
        <v>18</v>
      </c>
      <c r="P393" s="4" t="n">
        <v>2</v>
      </c>
      <c r="Q393" s="4" t="n">
        <v>15</v>
      </c>
      <c r="R393" s="6" t="n">
        <f aca="false">IF(N(L393)=0,0,O393/L393)</f>
        <v>0.9</v>
      </c>
      <c r="S393" s="4" t="n">
        <f aca="false">IF(R393="","",IF(R393&gt;=0.8,50,IF(R393&gt;=0.5,30,IF(R393&gt;=0.01,10,0))))</f>
        <v>50</v>
      </c>
      <c r="T393" s="4" t="n">
        <f aca="false">IF(TRIM(AI393)="Yes",2.5,0)</f>
        <v>2.5</v>
      </c>
      <c r="U393" s="4" t="n">
        <f aca="false">IF(TRIM(AJ393)="Yes",10,0)</f>
        <v>10</v>
      </c>
      <c r="V393" s="4" t="n">
        <f aca="false">IF(TRIM(AK393)="Yes",5,0)</f>
        <v>5</v>
      </c>
      <c r="W393" s="4" t="n">
        <f aca="false">IF(TRIM(AM393)="Yes",5,0)</f>
        <v>5</v>
      </c>
      <c r="X393" s="4" t="n">
        <f aca="false">IF(OR(TRIM(AN393)="Fully Available",TRIM(AN393)="Not Applicable"),5,IF(TRIM(AN393)="Partially Available",2.5,0))</f>
        <v>2.5</v>
      </c>
      <c r="Y393" s="4" t="n">
        <f aca="false">IF(TRIM(AO393)="Yes",5,0)</f>
        <v>5</v>
      </c>
      <c r="Z393" s="4" t="n">
        <f aca="false">IF(TRIM(AP393)="Yes",2.5,0)</f>
        <v>0</v>
      </c>
      <c r="AA393" s="4" t="n">
        <f aca="false">IF(TRIM(AQ393)="Yes",5,0)</f>
        <v>0</v>
      </c>
      <c r="AB393" s="4" t="n">
        <f aca="false">IF(OR(TRIM(AR393)="Yes",TRIM(AR393)="Not Applicable"),5,0)</f>
        <v>5</v>
      </c>
      <c r="AC393" s="4" t="n">
        <f aca="false">IF(TRIM(AS393)="Excellent",5,IF(TRIM(AS393)="Very Good",4,IF(TRIM(AS393)="Good",3,IF(TRIM(AS393)="Average",2,0))))</f>
        <v>3</v>
      </c>
      <c r="AD393" s="7" t="n">
        <f aca="false">IF(COUNT(S393:AC393)=0,"",SUM(S393:AC393))</f>
        <v>88</v>
      </c>
      <c r="AE393" s="7"/>
      <c r="AF393" s="8"/>
      <c r="AG393" s="5"/>
      <c r="AH393" s="4"/>
      <c r="AI393" s="4" t="s">
        <v>62</v>
      </c>
      <c r="AJ393" s="4" t="s">
        <v>62</v>
      </c>
      <c r="AK393" s="4" t="s">
        <v>62</v>
      </c>
      <c r="AL393" s="4" t="s">
        <v>63</v>
      </c>
      <c r="AM393" s="4" t="s">
        <v>62</v>
      </c>
      <c r="AN393" s="4" t="s">
        <v>147</v>
      </c>
      <c r="AO393" s="4" t="s">
        <v>62</v>
      </c>
      <c r="AP393" s="4" t="s">
        <v>82</v>
      </c>
      <c r="AQ393" s="4" t="s">
        <v>82</v>
      </c>
      <c r="AR393" s="4" t="s">
        <v>73</v>
      </c>
      <c r="AS393" s="4" t="s">
        <v>185</v>
      </c>
      <c r="AT393" s="4" t="n">
        <v>2</v>
      </c>
      <c r="AU393" s="4" t="s">
        <v>66</v>
      </c>
      <c r="AV393" s="4" t="s">
        <v>91</v>
      </c>
      <c r="AW393" s="4" t="s">
        <v>1200</v>
      </c>
      <c r="AX393" s="4" t="s">
        <v>1201</v>
      </c>
      <c r="AY393" s="4" t="n">
        <v>5</v>
      </c>
      <c r="AZ393" s="4" t="s">
        <v>62</v>
      </c>
      <c r="BA393" s="4" t="s">
        <v>1199</v>
      </c>
      <c r="BB393" s="4" t="s">
        <v>760</v>
      </c>
      <c r="BC393" s="6" t="n">
        <v>0.8333</v>
      </c>
      <c r="BD393" s="4" t="n">
        <v>76</v>
      </c>
    </row>
    <row r="394" customFormat="false" ht="242.5" hidden="false" customHeight="false" outlineLevel="0" collapsed="false">
      <c r="A394" s="4" t="n">
        <v>170</v>
      </c>
      <c r="B394" s="4" t="s">
        <v>753</v>
      </c>
      <c r="C394" s="4" t="s">
        <v>57</v>
      </c>
      <c r="D394" s="4" t="s">
        <v>754</v>
      </c>
      <c r="E394" s="4" t="s">
        <v>755</v>
      </c>
      <c r="F394" s="4" t="n">
        <v>3594</v>
      </c>
      <c r="G394" s="5" t="s">
        <v>1202</v>
      </c>
      <c r="H394" s="5" t="s">
        <v>78</v>
      </c>
      <c r="I394" s="4"/>
      <c r="J394" s="4"/>
      <c r="K394" s="4"/>
      <c r="L394" s="4" t="n">
        <v>60</v>
      </c>
      <c r="M394" s="4" t="n">
        <v>60</v>
      </c>
      <c r="N394" s="4" t="n">
        <v>0</v>
      </c>
      <c r="O394" s="4" t="n">
        <v>56</v>
      </c>
      <c r="P394" s="4" t="n">
        <v>4</v>
      </c>
      <c r="Q394" s="4" t="n">
        <v>15</v>
      </c>
      <c r="R394" s="6" t="n">
        <f aca="false">IF(N(L394)=0,0,O394/L394)</f>
        <v>0.933333333333333</v>
      </c>
      <c r="S394" s="4" t="n">
        <f aca="false">IF(R394="","",IF(R394&gt;=0.8,50,IF(R394&gt;=0.5,30,IF(R394&gt;=0.01,10,0))))</f>
        <v>50</v>
      </c>
      <c r="T394" s="4" t="n">
        <f aca="false">IF(TRIM(AI394)="Yes",2.5,0)</f>
        <v>2.5</v>
      </c>
      <c r="U394" s="4" t="n">
        <f aca="false">IF(TRIM(AJ394)="Yes",10,0)</f>
        <v>10</v>
      </c>
      <c r="V394" s="4" t="n">
        <f aca="false">IF(TRIM(AK394)="Yes",5,0)</f>
        <v>5</v>
      </c>
      <c r="W394" s="4" t="n">
        <f aca="false">IF(TRIM(AM394)="Yes",5,0)</f>
        <v>5</v>
      </c>
      <c r="X394" s="4" t="n">
        <f aca="false">IF(OR(TRIM(AN394)="Fully Available",TRIM(AN394)="Not Applicable"),5,IF(TRIM(AN394)="Partially Available",2.5,0))</f>
        <v>5</v>
      </c>
      <c r="Y394" s="4" t="n">
        <f aca="false">IF(TRIM(AO394)="Yes",5,0)</f>
        <v>5</v>
      </c>
      <c r="Z394" s="4" t="n">
        <f aca="false">IF(TRIM(AP394)="Yes",2.5,0)</f>
        <v>2.5</v>
      </c>
      <c r="AA394" s="4" t="n">
        <f aca="false">IF(TRIM(AQ394)="Yes",5,0)</f>
        <v>5</v>
      </c>
      <c r="AB394" s="4" t="n">
        <f aca="false">IF(OR(TRIM(AR394)="Yes",TRIM(AR394)="Not Applicable"),5,0)</f>
        <v>5</v>
      </c>
      <c r="AC394" s="4" t="n">
        <f aca="false">IF(TRIM(AS394)="Excellent",5,IF(TRIM(AS394)="Very Good",4,IF(TRIM(AS394)="Good",3,IF(TRIM(AS394)="Average",2,0))))</f>
        <v>5</v>
      </c>
      <c r="AD394" s="7" t="n">
        <f aca="false">IF(COUNT(S394:AC394)=0,"",SUM(S394:AC394))</f>
        <v>100</v>
      </c>
      <c r="AE394" s="7" t="n">
        <f aca="false">IF(COUNTIF($F$2:F394,F394)=1,IFERROR(AVERAGEIF($F:$F,F394,$AD:$AD),""),"")</f>
        <v>100</v>
      </c>
      <c r="AF394" s="8" t="str">
        <f aca="false">IF(AH394&lt;&gt;"",AH394,IF(AE394="","",IF(AE394&gt;=80,"Excellent",IF(AE394&gt;=70,"Very Good",IF(AE394&gt;=60,"Good",IF(AE394&gt;=50,"Average","Poor"))))))</f>
        <v>Excellent</v>
      </c>
      <c r="AG394" s="5"/>
      <c r="AH394" s="4"/>
      <c r="AI394" s="4" t="s">
        <v>62</v>
      </c>
      <c r="AJ394" s="4" t="s">
        <v>62</v>
      </c>
      <c r="AK394" s="4" t="s">
        <v>62</v>
      </c>
      <c r="AL394" s="4" t="s">
        <v>63</v>
      </c>
      <c r="AM394" s="4" t="s">
        <v>62</v>
      </c>
      <c r="AN394" s="4" t="s">
        <v>64</v>
      </c>
      <c r="AO394" s="4" t="s">
        <v>62</v>
      </c>
      <c r="AP394" s="4" t="s">
        <v>62</v>
      </c>
      <c r="AQ394" s="4" t="s">
        <v>62</v>
      </c>
      <c r="AR394" s="4" t="s">
        <v>73</v>
      </c>
      <c r="AS394" s="4" t="s">
        <v>65</v>
      </c>
      <c r="AT394" s="4" t="n">
        <v>7</v>
      </c>
      <c r="AU394" s="4" t="s">
        <v>66</v>
      </c>
      <c r="AV394" s="4" t="s">
        <v>244</v>
      </c>
      <c r="AW394" s="4" t="s">
        <v>1203</v>
      </c>
      <c r="AX394" s="4" t="s">
        <v>1204</v>
      </c>
      <c r="AY394" s="4" t="n">
        <v>13</v>
      </c>
      <c r="AZ394" s="4" t="s">
        <v>62</v>
      </c>
      <c r="BA394" s="4" t="s">
        <v>1205</v>
      </c>
      <c r="BB394" s="4" t="s">
        <v>760</v>
      </c>
      <c r="BC394" s="6" t="n">
        <v>0.2679</v>
      </c>
      <c r="BD394" s="4" t="n">
        <v>86</v>
      </c>
    </row>
    <row r="395" customFormat="false" ht="242.5" hidden="false" customHeight="false" outlineLevel="0" collapsed="false">
      <c r="A395" s="4"/>
      <c r="B395" s="4" t="s">
        <v>753</v>
      </c>
      <c r="C395" s="4" t="s">
        <v>57</v>
      </c>
      <c r="D395" s="4" t="s">
        <v>754</v>
      </c>
      <c r="E395" s="4" t="s">
        <v>755</v>
      </c>
      <c r="F395" s="4" t="n">
        <v>3594</v>
      </c>
      <c r="G395" s="5" t="s">
        <v>1202</v>
      </c>
      <c r="H395" s="5" t="s">
        <v>177</v>
      </c>
      <c r="I395" s="4"/>
      <c r="J395" s="4"/>
      <c r="K395" s="4"/>
      <c r="L395" s="4" t="n">
        <v>40</v>
      </c>
      <c r="M395" s="4" t="n">
        <v>40</v>
      </c>
      <c r="N395" s="4" t="n">
        <v>0</v>
      </c>
      <c r="O395" s="4" t="n">
        <v>39</v>
      </c>
      <c r="P395" s="4" t="n">
        <v>1</v>
      </c>
      <c r="Q395" s="4" t="n">
        <v>10</v>
      </c>
      <c r="R395" s="6" t="n">
        <f aca="false">IF(N(L395)=0,0,O395/L395)</f>
        <v>0.975</v>
      </c>
      <c r="S395" s="4" t="n">
        <f aca="false">IF(R395="","",IF(R395&gt;=0.8,50,IF(R395&gt;=0.5,30,IF(R395&gt;=0.01,10,0))))</f>
        <v>50</v>
      </c>
      <c r="T395" s="4" t="n">
        <f aca="false">IF(TRIM(AI395)="Yes",2.5,0)</f>
        <v>2.5</v>
      </c>
      <c r="U395" s="4" t="n">
        <f aca="false">IF(TRIM(AJ395)="Yes",10,0)</f>
        <v>10</v>
      </c>
      <c r="V395" s="4" t="n">
        <f aca="false">IF(TRIM(AK395)="Yes",5,0)</f>
        <v>5</v>
      </c>
      <c r="W395" s="4" t="n">
        <f aca="false">IF(TRIM(AM395)="Yes",5,0)</f>
        <v>5</v>
      </c>
      <c r="X395" s="4" t="n">
        <f aca="false">IF(OR(TRIM(AN395)="Fully Available",TRIM(AN395)="Not Applicable"),5,IF(TRIM(AN395)="Partially Available",2.5,0))</f>
        <v>5</v>
      </c>
      <c r="Y395" s="4" t="n">
        <f aca="false">IF(TRIM(AO395)="Yes",5,0)</f>
        <v>5</v>
      </c>
      <c r="Z395" s="4" t="n">
        <f aca="false">IF(TRIM(AP395)="Yes",2.5,0)</f>
        <v>2.5</v>
      </c>
      <c r="AA395" s="4" t="n">
        <f aca="false">IF(TRIM(AQ395)="Yes",5,0)</f>
        <v>5</v>
      </c>
      <c r="AB395" s="4" t="n">
        <f aca="false">IF(OR(TRIM(AR395)="Yes",TRIM(AR395)="Not Applicable"),5,0)</f>
        <v>5</v>
      </c>
      <c r="AC395" s="4" t="n">
        <f aca="false">IF(TRIM(AS395)="Excellent",5,IF(TRIM(AS395)="Very Good",4,IF(TRIM(AS395)="Good",3,IF(TRIM(AS395)="Average",2,0))))</f>
        <v>5</v>
      </c>
      <c r="AD395" s="7" t="n">
        <f aca="false">IF(COUNT(S395:AC395)=0,"",SUM(S395:AC395))</f>
        <v>100</v>
      </c>
      <c r="AE395" s="7"/>
      <c r="AF395" s="8"/>
      <c r="AG395" s="5"/>
      <c r="AH395" s="4"/>
      <c r="AI395" s="4" t="s">
        <v>62</v>
      </c>
      <c r="AJ395" s="4" t="s">
        <v>62</v>
      </c>
      <c r="AK395" s="4" t="s">
        <v>62</v>
      </c>
      <c r="AL395" s="4" t="s">
        <v>63</v>
      </c>
      <c r="AM395" s="4" t="s">
        <v>62</v>
      </c>
      <c r="AN395" s="4" t="s">
        <v>64</v>
      </c>
      <c r="AO395" s="4" t="s">
        <v>62</v>
      </c>
      <c r="AP395" s="4" t="s">
        <v>62</v>
      </c>
      <c r="AQ395" s="4" t="s">
        <v>62</v>
      </c>
      <c r="AR395" s="4" t="s">
        <v>73</v>
      </c>
      <c r="AS395" s="4" t="s">
        <v>65</v>
      </c>
      <c r="AT395" s="4" t="n">
        <v>8</v>
      </c>
      <c r="AU395" s="4" t="s">
        <v>66</v>
      </c>
      <c r="AV395" s="4" t="s">
        <v>244</v>
      </c>
      <c r="AW395" s="4" t="s">
        <v>1206</v>
      </c>
      <c r="AX395" s="4" t="s">
        <v>290</v>
      </c>
      <c r="AY395" s="4" t="n">
        <v>2</v>
      </c>
      <c r="AZ395" s="4" t="s">
        <v>62</v>
      </c>
      <c r="BA395" s="4" t="s">
        <v>1205</v>
      </c>
      <c r="BB395" s="4" t="s">
        <v>760</v>
      </c>
      <c r="BC395" s="6" t="n">
        <v>0.2564</v>
      </c>
      <c r="BD395" s="4" t="n">
        <v>86</v>
      </c>
    </row>
    <row r="396" customFormat="false" ht="29.85" hidden="false" customHeight="false" outlineLevel="0" collapsed="false">
      <c r="A396" s="4" t="n">
        <v>171</v>
      </c>
      <c r="B396" s="4" t="s">
        <v>753</v>
      </c>
      <c r="C396" s="4" t="s">
        <v>57</v>
      </c>
      <c r="D396" s="4" t="s">
        <v>754</v>
      </c>
      <c r="E396" s="4" t="s">
        <v>810</v>
      </c>
      <c r="F396" s="4" t="n">
        <v>6234</v>
      </c>
      <c r="G396" s="5" t="s">
        <v>1207</v>
      </c>
      <c r="H396" s="5" t="s">
        <v>238</v>
      </c>
      <c r="I396" s="4"/>
      <c r="J396" s="4"/>
      <c r="K396" s="4"/>
      <c r="L396" s="4" t="n">
        <v>40</v>
      </c>
      <c r="M396" s="4" t="n">
        <v>40</v>
      </c>
      <c r="N396" s="4" t="n">
        <v>0</v>
      </c>
      <c r="O396" s="4" t="n">
        <v>37</v>
      </c>
      <c r="P396" s="4" t="n">
        <v>3</v>
      </c>
      <c r="Q396" s="4" t="n">
        <v>15</v>
      </c>
      <c r="R396" s="6" t="n">
        <f aca="false">IF(N(L396)=0,0,O396/L396)</f>
        <v>0.925</v>
      </c>
      <c r="S396" s="4" t="n">
        <f aca="false">IF(R396="","",IF(R396&gt;=0.8,50,IF(R396&gt;=0.5,30,IF(R396&gt;=0.01,10,0))))</f>
        <v>50</v>
      </c>
      <c r="T396" s="4" t="n">
        <f aca="false">IF(TRIM(AI396)="Yes",2.5,0)</f>
        <v>0</v>
      </c>
      <c r="U396" s="4" t="n">
        <f aca="false">IF(TRIM(AJ396)="Yes",10,0)</f>
        <v>10</v>
      </c>
      <c r="V396" s="4" t="n">
        <f aca="false">IF(TRIM(AK396)="Yes",5,0)</f>
        <v>5</v>
      </c>
      <c r="W396" s="4" t="n">
        <f aca="false">IF(TRIM(AM396)="Yes",5,0)</f>
        <v>5</v>
      </c>
      <c r="X396" s="4" t="n">
        <f aca="false">IF(OR(TRIM(AN396)="Fully Available",TRIM(AN396)="Not Applicable"),5,IF(TRIM(AN396)="Partially Available",2.5,0))</f>
        <v>5</v>
      </c>
      <c r="Y396" s="4" t="n">
        <f aca="false">IF(TRIM(AO396)="Yes",5,0)</f>
        <v>5</v>
      </c>
      <c r="Z396" s="4" t="n">
        <f aca="false">IF(TRIM(AP396)="Yes",2.5,0)</f>
        <v>2.5</v>
      </c>
      <c r="AA396" s="4" t="n">
        <f aca="false">IF(TRIM(AQ396)="Yes",5,0)</f>
        <v>5</v>
      </c>
      <c r="AB396" s="4" t="n">
        <f aca="false">IF(OR(TRIM(AR396)="Yes",TRIM(AR396)="Not Applicable"),5,0)</f>
        <v>5</v>
      </c>
      <c r="AC396" s="4" t="n">
        <f aca="false">IF(TRIM(AS396)="Excellent",5,IF(TRIM(AS396)="Very Good",4,IF(TRIM(AS396)="Good",3,IF(TRIM(AS396)="Average",2,0))))</f>
        <v>4</v>
      </c>
      <c r="AD396" s="7" t="n">
        <f aca="false">IF(COUNT(S396:AC396)=0,"",SUM(S396:AC396))</f>
        <v>96.5</v>
      </c>
      <c r="AE396" s="7" t="n">
        <f aca="false">IF(COUNTIF($F$2:F396,F396)=1,IFERROR(AVERAGEIF($F:$F,F396,$AD:$AD),""),"")</f>
        <v>96.5</v>
      </c>
      <c r="AF396" s="8" t="str">
        <f aca="false">IF(AH396&lt;&gt;"",AH396,IF(AE396="","",IF(AE396&gt;=80,"Excellent",IF(AE396&gt;=70,"Very Good",IF(AE396&gt;=60,"Good",IF(AE396&gt;=50,"Average","Poor"))))))</f>
        <v>Excellent</v>
      </c>
      <c r="AG396" s="5"/>
      <c r="AH396" s="4"/>
      <c r="AI396" s="4" t="s">
        <v>82</v>
      </c>
      <c r="AJ396" s="4" t="s">
        <v>62</v>
      </c>
      <c r="AK396" s="4" t="s">
        <v>62</v>
      </c>
      <c r="AL396" s="4" t="s">
        <v>63</v>
      </c>
      <c r="AM396" s="4" t="s">
        <v>62</v>
      </c>
      <c r="AN396" s="4" t="s">
        <v>64</v>
      </c>
      <c r="AO396" s="4" t="s">
        <v>62</v>
      </c>
      <c r="AP396" s="4" t="s">
        <v>62</v>
      </c>
      <c r="AQ396" s="4" t="s">
        <v>62</v>
      </c>
      <c r="AR396" s="4" t="s">
        <v>62</v>
      </c>
      <c r="AS396" s="4" t="s">
        <v>74</v>
      </c>
      <c r="AT396" s="4" t="n">
        <v>8</v>
      </c>
      <c r="AU396" s="4" t="s">
        <v>66</v>
      </c>
      <c r="AV396" s="4" t="s">
        <v>208</v>
      </c>
      <c r="AW396" s="4" t="s">
        <v>1208</v>
      </c>
      <c r="AX396" s="4" t="s">
        <v>1054</v>
      </c>
      <c r="AY396" s="4" t="n">
        <v>9</v>
      </c>
      <c r="AZ396" s="4" t="s">
        <v>62</v>
      </c>
      <c r="BA396" s="4" t="s">
        <v>185</v>
      </c>
      <c r="BB396" s="4" t="s">
        <v>760</v>
      </c>
      <c r="BC396" s="6" t="n">
        <v>0.4054</v>
      </c>
      <c r="BD396" s="4" t="n">
        <v>98</v>
      </c>
    </row>
    <row r="397" customFormat="false" ht="86.55" hidden="false" customHeight="false" outlineLevel="0" collapsed="false">
      <c r="A397" s="4" t="n">
        <v>172</v>
      </c>
      <c r="B397" s="4" t="s">
        <v>753</v>
      </c>
      <c r="C397" s="4" t="s">
        <v>57</v>
      </c>
      <c r="D397" s="4" t="s">
        <v>754</v>
      </c>
      <c r="E397" s="4" t="s">
        <v>810</v>
      </c>
      <c r="F397" s="4" t="n">
        <v>1192</v>
      </c>
      <c r="G397" s="5" t="s">
        <v>1209</v>
      </c>
      <c r="H397" s="5" t="s">
        <v>851</v>
      </c>
      <c r="I397" s="4"/>
      <c r="J397" s="4"/>
      <c r="K397" s="4"/>
      <c r="L397" s="4" t="n">
        <v>20</v>
      </c>
      <c r="M397" s="4" t="n">
        <v>20</v>
      </c>
      <c r="N397" s="4" t="n">
        <v>0</v>
      </c>
      <c r="O397" s="4" t="n">
        <v>17</v>
      </c>
      <c r="P397" s="4" t="n">
        <v>3</v>
      </c>
      <c r="Q397" s="4" t="n">
        <v>12</v>
      </c>
      <c r="R397" s="6" t="n">
        <f aca="false">IF(N(L397)=0,0,O397/L397)</f>
        <v>0.85</v>
      </c>
      <c r="S397" s="4" t="n">
        <f aca="false">IF(R397="","",IF(R397&gt;=0.8,50,IF(R397&gt;=0.5,30,IF(R397&gt;=0.01,10,0))))</f>
        <v>50</v>
      </c>
      <c r="T397" s="4" t="n">
        <f aca="false">IF(TRIM(AI397)="Yes",2.5,0)</f>
        <v>2.5</v>
      </c>
      <c r="U397" s="4" t="n">
        <f aca="false">IF(TRIM(AJ397)="Yes",10,0)</f>
        <v>10</v>
      </c>
      <c r="V397" s="4" t="n">
        <f aca="false">IF(TRIM(AK397)="Yes",5,0)</f>
        <v>5</v>
      </c>
      <c r="W397" s="4" t="n">
        <f aca="false">IF(TRIM(AM397)="Yes",5,0)</f>
        <v>5</v>
      </c>
      <c r="X397" s="4" t="n">
        <f aca="false">IF(OR(TRIM(AN397)="Fully Available",TRIM(AN397)="Not Applicable"),5,IF(TRIM(AN397)="Partially Available",2.5,0))</f>
        <v>5</v>
      </c>
      <c r="Y397" s="4" t="n">
        <f aca="false">IF(TRIM(AO397)="Yes",5,0)</f>
        <v>5</v>
      </c>
      <c r="Z397" s="4" t="n">
        <f aca="false">IF(TRIM(AP397)="Yes",2.5,0)</f>
        <v>2.5</v>
      </c>
      <c r="AA397" s="4" t="n">
        <f aca="false">IF(TRIM(AQ397)="Yes",5,0)</f>
        <v>5</v>
      </c>
      <c r="AB397" s="4" t="n">
        <f aca="false">IF(OR(TRIM(AR397)="Yes",TRIM(AR397)="Not Applicable"),5,0)</f>
        <v>5</v>
      </c>
      <c r="AC397" s="4" t="n">
        <f aca="false">IF(TRIM(AS397)="Excellent",5,IF(TRIM(AS397)="Very Good",4,IF(TRIM(AS397)="Good",3,IF(TRIM(AS397)="Average",2,0))))</f>
        <v>4</v>
      </c>
      <c r="AD397" s="7" t="n">
        <f aca="false">IF(COUNT(S397:AC397)=0,"",SUM(S397:AC397))</f>
        <v>99</v>
      </c>
      <c r="AE397" s="7" t="n">
        <f aca="false">IF(COUNTIF($F$2:F397,F397)=1,IFERROR(AVERAGEIF($F:$F,F397,$AD:$AD),""),"")</f>
        <v>99</v>
      </c>
      <c r="AF397" s="8" t="str">
        <f aca="false">IF(AH397&lt;&gt;"",AH397,IF(AE397="","",IF(AE397&gt;=80,"Excellent",IF(AE397&gt;=70,"Very Good",IF(AE397&gt;=60,"Good",IF(AE397&gt;=50,"Average","Poor"))))))</f>
        <v>Excellent</v>
      </c>
      <c r="AG397" s="5"/>
      <c r="AH397" s="4"/>
      <c r="AI397" s="4" t="s">
        <v>62</v>
      </c>
      <c r="AJ397" s="4" t="s">
        <v>62</v>
      </c>
      <c r="AK397" s="4" t="s">
        <v>62</v>
      </c>
      <c r="AL397" s="4" t="s">
        <v>63</v>
      </c>
      <c r="AM397" s="4" t="s">
        <v>62</v>
      </c>
      <c r="AN397" s="4" t="s">
        <v>64</v>
      </c>
      <c r="AO397" s="4" t="s">
        <v>62</v>
      </c>
      <c r="AP397" s="4" t="s">
        <v>62</v>
      </c>
      <c r="AQ397" s="4" t="s">
        <v>62</v>
      </c>
      <c r="AR397" s="4" t="s">
        <v>62</v>
      </c>
      <c r="AS397" s="4" t="s">
        <v>74</v>
      </c>
      <c r="AT397" s="4" t="n">
        <v>3</v>
      </c>
      <c r="AU397" s="4" t="s">
        <v>112</v>
      </c>
      <c r="AV397" s="4" t="s">
        <v>67</v>
      </c>
      <c r="AW397" s="4" t="s">
        <v>599</v>
      </c>
      <c r="AX397" s="4" t="s">
        <v>1210</v>
      </c>
      <c r="AY397" s="4" t="n">
        <v>9</v>
      </c>
      <c r="AZ397" s="4" t="s">
        <v>62</v>
      </c>
      <c r="BA397" s="4" t="s">
        <v>1211</v>
      </c>
      <c r="BB397" s="4" t="s">
        <v>760</v>
      </c>
      <c r="BC397" s="6" t="n">
        <v>0.7059</v>
      </c>
      <c r="BD397" s="4" t="n">
        <v>96</v>
      </c>
    </row>
    <row r="398" customFormat="false" ht="157.45" hidden="false" customHeight="false" outlineLevel="0" collapsed="false">
      <c r="A398" s="4" t="n">
        <v>173</v>
      </c>
      <c r="B398" s="4" t="s">
        <v>753</v>
      </c>
      <c r="C398" s="4" t="s">
        <v>57</v>
      </c>
      <c r="D398" s="4" t="s">
        <v>754</v>
      </c>
      <c r="E398" s="4" t="s">
        <v>964</v>
      </c>
      <c r="F398" s="4" t="n">
        <v>5130</v>
      </c>
      <c r="G398" s="5" t="s">
        <v>1212</v>
      </c>
      <c r="H398" s="5" t="s">
        <v>261</v>
      </c>
      <c r="I398" s="4"/>
      <c r="J398" s="4"/>
      <c r="K398" s="4"/>
      <c r="L398" s="4" t="n">
        <v>20</v>
      </c>
      <c r="M398" s="4" t="n">
        <v>20</v>
      </c>
      <c r="N398" s="4" t="n">
        <v>0</v>
      </c>
      <c r="O398" s="4" t="n">
        <v>19</v>
      </c>
      <c r="P398" s="4" t="n">
        <v>1</v>
      </c>
      <c r="Q398" s="4" t="n">
        <v>8</v>
      </c>
      <c r="R398" s="6" t="n">
        <f aca="false">IF(N(L398)=0,0,O398/L398)</f>
        <v>0.95</v>
      </c>
      <c r="S398" s="4" t="n">
        <f aca="false">IF(R398="","",IF(R398&gt;=0.8,50,IF(R398&gt;=0.5,30,IF(R398&gt;=0.01,10,0))))</f>
        <v>50</v>
      </c>
      <c r="T398" s="4" t="n">
        <f aca="false">IF(TRIM(AI398)="Yes",2.5,0)</f>
        <v>2.5</v>
      </c>
      <c r="U398" s="4" t="n">
        <f aca="false">IF(TRIM(AJ398)="Yes",10,0)</f>
        <v>10</v>
      </c>
      <c r="V398" s="4" t="n">
        <f aca="false">IF(TRIM(AK398)="Yes",5,0)</f>
        <v>5</v>
      </c>
      <c r="W398" s="4" t="n">
        <f aca="false">IF(TRIM(AM398)="Yes",5,0)</f>
        <v>5</v>
      </c>
      <c r="X398" s="4" t="n">
        <f aca="false">IF(OR(TRIM(AN398)="Fully Available",TRIM(AN398)="Not Applicable"),5,IF(TRIM(AN398)="Partially Available",2.5,0))</f>
        <v>5</v>
      </c>
      <c r="Y398" s="4" t="n">
        <f aca="false">IF(TRIM(AO398)="Yes",5,0)</f>
        <v>5</v>
      </c>
      <c r="Z398" s="4" t="n">
        <f aca="false">IF(TRIM(AP398)="Yes",2.5,0)</f>
        <v>2.5</v>
      </c>
      <c r="AA398" s="4" t="n">
        <f aca="false">IF(TRIM(AQ398)="Yes",5,0)</f>
        <v>5</v>
      </c>
      <c r="AB398" s="4" t="n">
        <f aca="false">IF(OR(TRIM(AR398)="Yes",TRIM(AR398)="Not Applicable"),5,0)</f>
        <v>5</v>
      </c>
      <c r="AC398" s="4" t="n">
        <f aca="false">IF(TRIM(AS398)="Excellent",5,IF(TRIM(AS398)="Very Good",4,IF(TRIM(AS398)="Good",3,IF(TRIM(AS398)="Average",2,0))))</f>
        <v>4</v>
      </c>
      <c r="AD398" s="7" t="n">
        <f aca="false">IF(COUNT(S398:AC398)=0,"",SUM(S398:AC398))</f>
        <v>99</v>
      </c>
      <c r="AE398" s="7" t="n">
        <f aca="false">IF(COUNTIF($F$2:F398,F398)=1,IFERROR(AVERAGEIF($F:$F,F398,$AD:$AD),""),"")</f>
        <v>99</v>
      </c>
      <c r="AF398" s="8" t="str">
        <f aca="false">IF(AH398&lt;&gt;"",AH398,IF(AE398="","",IF(AE398&gt;=80,"Excellent",IF(AE398&gt;=70,"Very Good",IF(AE398&gt;=60,"Good",IF(AE398&gt;=50,"Average","Poor"))))))</f>
        <v>Excellent</v>
      </c>
      <c r="AG398" s="5"/>
      <c r="AH398" s="4"/>
      <c r="AI398" s="4" t="s">
        <v>62</v>
      </c>
      <c r="AJ398" s="4" t="s">
        <v>62</v>
      </c>
      <c r="AK398" s="4" t="s">
        <v>62</v>
      </c>
      <c r="AL398" s="4" t="s">
        <v>63</v>
      </c>
      <c r="AM398" s="4" t="s">
        <v>62</v>
      </c>
      <c r="AN398" s="4" t="s">
        <v>64</v>
      </c>
      <c r="AO398" s="4" t="s">
        <v>62</v>
      </c>
      <c r="AP398" s="4" t="s">
        <v>62</v>
      </c>
      <c r="AQ398" s="4" t="s">
        <v>62</v>
      </c>
      <c r="AR398" s="4" t="s">
        <v>73</v>
      </c>
      <c r="AS398" s="4" t="s">
        <v>74</v>
      </c>
      <c r="AT398" s="4" t="n">
        <v>2</v>
      </c>
      <c r="AU398" s="4" t="s">
        <v>66</v>
      </c>
      <c r="AV398" s="4" t="s">
        <v>67</v>
      </c>
      <c r="AW398" s="4" t="s">
        <v>1213</v>
      </c>
      <c r="AX398" s="4" t="s">
        <v>769</v>
      </c>
      <c r="AY398" s="4" t="n">
        <v>4</v>
      </c>
      <c r="AZ398" s="4" t="s">
        <v>62</v>
      </c>
      <c r="BA398" s="4" t="s">
        <v>1214</v>
      </c>
      <c r="BB398" s="4" t="s">
        <v>760</v>
      </c>
      <c r="BC398" s="6" t="n">
        <v>0.4211</v>
      </c>
      <c r="BD398" s="4" t="n">
        <v>89</v>
      </c>
    </row>
    <row r="399" customFormat="false" ht="185.8" hidden="false" customHeight="false" outlineLevel="0" collapsed="false">
      <c r="A399" s="4" t="n">
        <v>174</v>
      </c>
      <c r="B399" s="4" t="s">
        <v>753</v>
      </c>
      <c r="C399" s="4" t="s">
        <v>57</v>
      </c>
      <c r="D399" s="4" t="s">
        <v>754</v>
      </c>
      <c r="E399" s="4" t="s">
        <v>867</v>
      </c>
      <c r="F399" s="4" t="n">
        <v>4848</v>
      </c>
      <c r="G399" s="5" t="s">
        <v>1215</v>
      </c>
      <c r="H399" s="5" t="s">
        <v>238</v>
      </c>
      <c r="I399" s="4"/>
      <c r="J399" s="4"/>
      <c r="K399" s="4"/>
      <c r="L399" s="4" t="n">
        <v>80</v>
      </c>
      <c r="M399" s="4" t="n">
        <v>80</v>
      </c>
      <c r="N399" s="4" t="n">
        <v>0</v>
      </c>
      <c r="O399" s="4" t="n">
        <v>75</v>
      </c>
      <c r="P399" s="4" t="n">
        <v>5</v>
      </c>
      <c r="Q399" s="4" t="n">
        <v>20</v>
      </c>
      <c r="R399" s="6" t="n">
        <f aca="false">IF(N(L399)=0,0,O399/L399)</f>
        <v>0.9375</v>
      </c>
      <c r="S399" s="4" t="n">
        <f aca="false">IF(R399="","",IF(R399&gt;=0.8,50,IF(R399&gt;=0.5,30,IF(R399&gt;=0.01,10,0))))</f>
        <v>50</v>
      </c>
      <c r="T399" s="4" t="n">
        <f aca="false">IF(TRIM(AI399)="Yes",2.5,0)</f>
        <v>2.5</v>
      </c>
      <c r="U399" s="4" t="n">
        <f aca="false">IF(TRIM(AJ399)="Yes",10,0)</f>
        <v>10</v>
      </c>
      <c r="V399" s="4" t="n">
        <f aca="false">IF(TRIM(AK399)="Yes",5,0)</f>
        <v>5</v>
      </c>
      <c r="W399" s="4" t="n">
        <f aca="false">IF(TRIM(AM399)="Yes",5,0)</f>
        <v>5</v>
      </c>
      <c r="X399" s="4" t="n">
        <f aca="false">IF(OR(TRIM(AN399)="Fully Available",TRIM(AN399)="Not Applicable"),5,IF(TRIM(AN399)="Partially Available",2.5,0))</f>
        <v>5</v>
      </c>
      <c r="Y399" s="4" t="n">
        <f aca="false">IF(TRIM(AO399)="Yes",5,0)</f>
        <v>0</v>
      </c>
      <c r="Z399" s="4" t="n">
        <f aca="false">IF(TRIM(AP399)="Yes",2.5,0)</f>
        <v>0</v>
      </c>
      <c r="AA399" s="4" t="n">
        <f aca="false">IF(TRIM(AQ399)="Yes",5,0)</f>
        <v>0</v>
      </c>
      <c r="AB399" s="4" t="n">
        <f aca="false">IF(OR(TRIM(AR399)="Yes",TRIM(AR399)="Not Applicable"),5,0)</f>
        <v>5</v>
      </c>
      <c r="AC399" s="4" t="n">
        <f aca="false">IF(TRIM(AS399)="Excellent",5,IF(TRIM(AS399)="Very Good",4,IF(TRIM(AS399)="Good",3,IF(TRIM(AS399)="Average",2,0))))</f>
        <v>3</v>
      </c>
      <c r="AD399" s="7" t="n">
        <f aca="false">IF(COUNT(S399:AC399)=0,"",SUM(S399:AC399))</f>
        <v>85.5</v>
      </c>
      <c r="AE399" s="7" t="n">
        <f aca="false">IF(COUNTIF($F$2:F399,F399)=1,IFERROR(AVERAGEIF($F:$F,F399,$AD:$AD),""),"")</f>
        <v>85.5</v>
      </c>
      <c r="AF399" s="8" t="str">
        <f aca="false">IF(AH399&lt;&gt;"",AH399,IF(AE399="","",IF(AE399&gt;=80,"Excellent",IF(AE399&gt;=70,"Very Good",IF(AE399&gt;=60,"Good",IF(AE399&gt;=50,"Average","Poor"))))))</f>
        <v>Excellent</v>
      </c>
      <c r="AG399" s="5"/>
      <c r="AH399" s="4"/>
      <c r="AI399" s="4" t="s">
        <v>62</v>
      </c>
      <c r="AJ399" s="4" t="s">
        <v>62</v>
      </c>
      <c r="AK399" s="4" t="s">
        <v>62</v>
      </c>
      <c r="AL399" s="4" t="s">
        <v>63</v>
      </c>
      <c r="AM399" s="4" t="s">
        <v>62</v>
      </c>
      <c r="AN399" s="4" t="s">
        <v>64</v>
      </c>
      <c r="AO399" s="4" t="s">
        <v>82</v>
      </c>
      <c r="AP399" s="4" t="s">
        <v>82</v>
      </c>
      <c r="AQ399" s="4" t="s">
        <v>82</v>
      </c>
      <c r="AR399" s="4" t="s">
        <v>73</v>
      </c>
      <c r="AS399" s="4" t="s">
        <v>185</v>
      </c>
      <c r="AT399" s="4" t="n">
        <v>3</v>
      </c>
      <c r="AU399" s="4" t="s">
        <v>66</v>
      </c>
      <c r="AV399" s="4" t="s">
        <v>208</v>
      </c>
      <c r="AW399" s="4" t="s">
        <v>1216</v>
      </c>
      <c r="AX399" s="4" t="s">
        <v>1217</v>
      </c>
      <c r="AY399" s="4" t="n">
        <v>5</v>
      </c>
      <c r="AZ399" s="4" t="s">
        <v>62</v>
      </c>
      <c r="BA399" s="4" t="s">
        <v>1218</v>
      </c>
      <c r="BB399" s="4" t="s">
        <v>760</v>
      </c>
      <c r="BC399" s="6" t="n">
        <v>0.2667</v>
      </c>
      <c r="BD399" s="4" t="n">
        <v>78</v>
      </c>
    </row>
    <row r="400" customFormat="false" ht="58.2" hidden="false" customHeight="false" outlineLevel="0" collapsed="false">
      <c r="A400" s="4" t="n">
        <v>175</v>
      </c>
      <c r="B400" s="4" t="s">
        <v>753</v>
      </c>
      <c r="C400" s="4" t="s">
        <v>57</v>
      </c>
      <c r="D400" s="4" t="s">
        <v>754</v>
      </c>
      <c r="E400" s="4" t="s">
        <v>755</v>
      </c>
      <c r="F400" s="4" t="n">
        <v>115</v>
      </c>
      <c r="G400" s="5" t="s">
        <v>1219</v>
      </c>
      <c r="H400" s="5" t="s">
        <v>61</v>
      </c>
      <c r="I400" s="4"/>
      <c r="J400" s="4"/>
      <c r="K400" s="4"/>
      <c r="L400" s="4" t="n">
        <v>15</v>
      </c>
      <c r="M400" s="4" t="n">
        <v>15</v>
      </c>
      <c r="N400" s="4" t="n">
        <v>0</v>
      </c>
      <c r="O400" s="4" t="n">
        <v>15</v>
      </c>
      <c r="P400" s="4" t="n">
        <v>0</v>
      </c>
      <c r="Q400" s="4" t="n">
        <v>8</v>
      </c>
      <c r="R400" s="6" t="n">
        <f aca="false">IF(N(L400)=0,0,O400/L400)</f>
        <v>1</v>
      </c>
      <c r="S400" s="4" t="n">
        <f aca="false">IF(R400="","",IF(R400&gt;=0.8,50,IF(R400&gt;=0.5,30,IF(R400&gt;=0.01,10,0))))</f>
        <v>50</v>
      </c>
      <c r="T400" s="4" t="n">
        <f aca="false">IF(TRIM(AI400)="Yes",2.5,0)</f>
        <v>2.5</v>
      </c>
      <c r="U400" s="4" t="n">
        <f aca="false">IF(TRIM(AJ400)="Yes",10,0)</f>
        <v>10</v>
      </c>
      <c r="V400" s="4" t="n">
        <f aca="false">IF(TRIM(AK400)="Yes",5,0)</f>
        <v>5</v>
      </c>
      <c r="W400" s="4" t="n">
        <f aca="false">IF(TRIM(AM400)="Yes",5,0)</f>
        <v>5</v>
      </c>
      <c r="X400" s="4" t="n">
        <f aca="false">IF(OR(TRIM(AN400)="Fully Available",TRIM(AN400)="Not Applicable"),5,IF(TRIM(AN400)="Partially Available",2.5,0))</f>
        <v>5</v>
      </c>
      <c r="Y400" s="4" t="n">
        <f aca="false">IF(TRIM(AO400)="Yes",5,0)</f>
        <v>5</v>
      </c>
      <c r="Z400" s="4" t="n">
        <f aca="false">IF(TRIM(AP400)="Yes",2.5,0)</f>
        <v>2.5</v>
      </c>
      <c r="AA400" s="4" t="n">
        <f aca="false">IF(TRIM(AQ400)="Yes",5,0)</f>
        <v>5</v>
      </c>
      <c r="AB400" s="4" t="n">
        <f aca="false">IF(OR(TRIM(AR400)="Yes",TRIM(AR400)="Not Applicable"),5,0)</f>
        <v>5</v>
      </c>
      <c r="AC400" s="4" t="n">
        <f aca="false">IF(TRIM(AS400)="Excellent",5,IF(TRIM(AS400)="Very Good",4,IF(TRIM(AS400)="Good",3,IF(TRIM(AS400)="Average",2,0))))</f>
        <v>5</v>
      </c>
      <c r="AD400" s="7" t="n">
        <f aca="false">IF(COUNT(S400:AC400)=0,"",SUM(S400:AC400))</f>
        <v>100</v>
      </c>
      <c r="AE400" s="7" t="n">
        <f aca="false">IF(COUNTIF($F$2:F400,F400)=1,IFERROR(AVERAGEIF($F:$F,F400,$AD:$AD),""),"")</f>
        <v>100</v>
      </c>
      <c r="AF400" s="8" t="str">
        <f aca="false">IF(AH400&lt;&gt;"",AH400,IF(AE400="","",IF(AE400&gt;=80,"Excellent",IF(AE400&gt;=70,"Very Good",IF(AE400&gt;=60,"Good",IF(AE400&gt;=50,"Average","Poor"))))))</f>
        <v>Excellent</v>
      </c>
      <c r="AG400" s="5"/>
      <c r="AH400" s="4"/>
      <c r="AI400" s="4" t="s">
        <v>62</v>
      </c>
      <c r="AJ400" s="4" t="s">
        <v>62</v>
      </c>
      <c r="AK400" s="4" t="s">
        <v>62</v>
      </c>
      <c r="AL400" s="4" t="s">
        <v>63</v>
      </c>
      <c r="AM400" s="4" t="s">
        <v>62</v>
      </c>
      <c r="AN400" s="4" t="s">
        <v>64</v>
      </c>
      <c r="AO400" s="4" t="s">
        <v>62</v>
      </c>
      <c r="AP400" s="4" t="s">
        <v>62</v>
      </c>
      <c r="AQ400" s="4" t="s">
        <v>62</v>
      </c>
      <c r="AR400" s="4" t="s">
        <v>62</v>
      </c>
      <c r="AS400" s="4" t="s">
        <v>65</v>
      </c>
      <c r="AT400" s="4" t="n">
        <v>9</v>
      </c>
      <c r="AU400" s="4" t="s">
        <v>66</v>
      </c>
      <c r="AV400" s="4" t="s">
        <v>244</v>
      </c>
      <c r="AW400" s="4" t="s">
        <v>1220</v>
      </c>
      <c r="AX400" s="4" t="s">
        <v>307</v>
      </c>
      <c r="AY400" s="4" t="n">
        <v>13</v>
      </c>
      <c r="AZ400" s="4" t="s">
        <v>62</v>
      </c>
      <c r="BA400" s="4" t="s">
        <v>1221</v>
      </c>
      <c r="BB400" s="4" t="s">
        <v>760</v>
      </c>
      <c r="BC400" s="6" t="n">
        <v>0.5333</v>
      </c>
      <c r="BD400" s="4" t="n">
        <v>96</v>
      </c>
    </row>
    <row r="401" customFormat="false" ht="58.2" hidden="false" customHeight="false" outlineLevel="0" collapsed="false">
      <c r="A401" s="4"/>
      <c r="B401" s="4" t="s">
        <v>753</v>
      </c>
      <c r="C401" s="4" t="s">
        <v>57</v>
      </c>
      <c r="D401" s="4" t="s">
        <v>754</v>
      </c>
      <c r="E401" s="4" t="s">
        <v>755</v>
      </c>
      <c r="F401" s="4" t="n">
        <v>115</v>
      </c>
      <c r="G401" s="5" t="s">
        <v>1219</v>
      </c>
      <c r="H401" s="5" t="s">
        <v>190</v>
      </c>
      <c r="I401" s="4"/>
      <c r="J401" s="4"/>
      <c r="K401" s="4"/>
      <c r="L401" s="4" t="n">
        <v>20</v>
      </c>
      <c r="M401" s="4" t="n">
        <v>20</v>
      </c>
      <c r="N401" s="4" t="n">
        <v>0</v>
      </c>
      <c r="O401" s="4" t="n">
        <v>18</v>
      </c>
      <c r="P401" s="4" t="n">
        <v>2</v>
      </c>
      <c r="Q401" s="4" t="n">
        <v>8</v>
      </c>
      <c r="R401" s="6" t="n">
        <f aca="false">IF(N(L401)=0,0,O401/L401)</f>
        <v>0.9</v>
      </c>
      <c r="S401" s="4" t="n">
        <f aca="false">IF(R401="","",IF(R401&gt;=0.8,50,IF(R401&gt;=0.5,30,IF(R401&gt;=0.01,10,0))))</f>
        <v>50</v>
      </c>
      <c r="T401" s="4" t="n">
        <f aca="false">IF(TRIM(AI401)="Yes",2.5,0)</f>
        <v>2.5</v>
      </c>
      <c r="U401" s="4" t="n">
        <f aca="false">IF(TRIM(AJ401)="Yes",10,0)</f>
        <v>10</v>
      </c>
      <c r="V401" s="4" t="n">
        <f aca="false">IF(TRIM(AK401)="Yes",5,0)</f>
        <v>5</v>
      </c>
      <c r="W401" s="4" t="n">
        <f aca="false">IF(TRIM(AM401)="Yes",5,0)</f>
        <v>5</v>
      </c>
      <c r="X401" s="4" t="n">
        <f aca="false">IF(OR(TRIM(AN401)="Fully Available",TRIM(AN401)="Not Applicable"),5,IF(TRIM(AN401)="Partially Available",2.5,0))</f>
        <v>5</v>
      </c>
      <c r="Y401" s="4" t="n">
        <f aca="false">IF(TRIM(AO401)="Yes",5,0)</f>
        <v>5</v>
      </c>
      <c r="Z401" s="4" t="n">
        <f aca="false">IF(TRIM(AP401)="Yes",2.5,0)</f>
        <v>2.5</v>
      </c>
      <c r="AA401" s="4" t="n">
        <f aca="false">IF(TRIM(AQ401)="Yes",5,0)</f>
        <v>5</v>
      </c>
      <c r="AB401" s="4" t="n">
        <f aca="false">IF(OR(TRIM(AR401)="Yes",TRIM(AR401)="Not Applicable"),5,0)</f>
        <v>5</v>
      </c>
      <c r="AC401" s="4" t="n">
        <f aca="false">IF(TRIM(AS401)="Excellent",5,IF(TRIM(AS401)="Very Good",4,IF(TRIM(AS401)="Good",3,IF(TRIM(AS401)="Average",2,0))))</f>
        <v>5</v>
      </c>
      <c r="AD401" s="7" t="n">
        <f aca="false">IF(COUNT(S401:AC401)=0,"",SUM(S401:AC401))</f>
        <v>100</v>
      </c>
      <c r="AE401" s="7"/>
      <c r="AF401" s="8"/>
      <c r="AG401" s="5"/>
      <c r="AH401" s="4"/>
      <c r="AI401" s="4" t="s">
        <v>62</v>
      </c>
      <c r="AJ401" s="4" t="s">
        <v>62</v>
      </c>
      <c r="AK401" s="4" t="s">
        <v>62</v>
      </c>
      <c r="AL401" s="4" t="s">
        <v>63</v>
      </c>
      <c r="AM401" s="4" t="s">
        <v>62</v>
      </c>
      <c r="AN401" s="4" t="s">
        <v>64</v>
      </c>
      <c r="AO401" s="4" t="s">
        <v>62</v>
      </c>
      <c r="AP401" s="4" t="s">
        <v>62</v>
      </c>
      <c r="AQ401" s="4" t="s">
        <v>62</v>
      </c>
      <c r="AR401" s="4" t="s">
        <v>62</v>
      </c>
      <c r="AS401" s="4" t="s">
        <v>65</v>
      </c>
      <c r="AT401" s="4" t="n">
        <v>8</v>
      </c>
      <c r="AU401" s="4" t="s">
        <v>112</v>
      </c>
      <c r="AV401" s="4" t="s">
        <v>244</v>
      </c>
      <c r="AW401" s="4" t="s">
        <v>1222</v>
      </c>
      <c r="AX401" s="4" t="s">
        <v>392</v>
      </c>
      <c r="AY401" s="4" t="n">
        <v>12</v>
      </c>
      <c r="AZ401" s="4" t="s">
        <v>62</v>
      </c>
      <c r="BA401" s="4" t="s">
        <v>1221</v>
      </c>
      <c r="BB401" s="4" t="s">
        <v>760</v>
      </c>
      <c r="BC401" s="6" t="n">
        <v>0.4444</v>
      </c>
      <c r="BD401" s="4" t="n">
        <v>96</v>
      </c>
    </row>
    <row r="402" customFormat="false" ht="100.7" hidden="false" customHeight="false" outlineLevel="0" collapsed="false">
      <c r="A402" s="4" t="n">
        <v>176</v>
      </c>
      <c r="B402" s="4" t="s">
        <v>753</v>
      </c>
      <c r="C402" s="4" t="s">
        <v>57</v>
      </c>
      <c r="D402" s="4" t="s">
        <v>754</v>
      </c>
      <c r="E402" s="4" t="s">
        <v>823</v>
      </c>
      <c r="F402" s="4" t="n">
        <v>793</v>
      </c>
      <c r="G402" s="5" t="s">
        <v>1223</v>
      </c>
      <c r="H402" s="5" t="s">
        <v>72</v>
      </c>
      <c r="I402" s="4"/>
      <c r="J402" s="4"/>
      <c r="K402" s="4"/>
      <c r="L402" s="4" t="n">
        <v>20</v>
      </c>
      <c r="M402" s="4" t="n">
        <v>20</v>
      </c>
      <c r="N402" s="4" t="n">
        <v>0</v>
      </c>
      <c r="O402" s="4" t="n">
        <v>18</v>
      </c>
      <c r="P402" s="4" t="n">
        <v>2</v>
      </c>
      <c r="Q402" s="4" t="n">
        <v>8</v>
      </c>
      <c r="R402" s="6" t="n">
        <f aca="false">IF(N(L402)=0,0,O402/L402)</f>
        <v>0.9</v>
      </c>
      <c r="S402" s="4" t="n">
        <f aca="false">IF(R402="","",IF(R402&gt;=0.8,50,IF(R402&gt;=0.5,30,IF(R402&gt;=0.01,10,0))))</f>
        <v>50</v>
      </c>
      <c r="T402" s="4" t="n">
        <f aca="false">IF(TRIM(AI402)="Yes",2.5,0)</f>
        <v>2.5</v>
      </c>
      <c r="U402" s="4" t="n">
        <f aca="false">IF(TRIM(AJ402)="Yes",10,0)</f>
        <v>10</v>
      </c>
      <c r="V402" s="4" t="n">
        <f aca="false">IF(TRIM(AK402)="Yes",5,0)</f>
        <v>5</v>
      </c>
      <c r="W402" s="4" t="n">
        <f aca="false">IF(TRIM(AM402)="Yes",5,0)</f>
        <v>5</v>
      </c>
      <c r="X402" s="4" t="n">
        <f aca="false">IF(OR(TRIM(AN402)="Fully Available",TRIM(AN402)="Not Applicable"),5,IF(TRIM(AN402)="Partially Available",2.5,0))</f>
        <v>5</v>
      </c>
      <c r="Y402" s="4" t="n">
        <f aca="false">IF(TRIM(AO402)="Yes",5,0)</f>
        <v>5</v>
      </c>
      <c r="Z402" s="4" t="n">
        <f aca="false">IF(TRIM(AP402)="Yes",2.5,0)</f>
        <v>2.5</v>
      </c>
      <c r="AA402" s="4" t="n">
        <f aca="false">IF(TRIM(AQ402)="Yes",5,0)</f>
        <v>5</v>
      </c>
      <c r="AB402" s="4" t="n">
        <f aca="false">IF(OR(TRIM(AR402)="Yes",TRIM(AR402)="Not Applicable"),5,0)</f>
        <v>0</v>
      </c>
      <c r="AC402" s="4" t="n">
        <f aca="false">IF(TRIM(AS402)="Excellent",5,IF(TRIM(AS402)="Very Good",4,IF(TRIM(AS402)="Good",3,IF(TRIM(AS402)="Average",2,0))))</f>
        <v>4</v>
      </c>
      <c r="AD402" s="7" t="n">
        <f aca="false">IF(COUNT(S402:AC402)=0,"",SUM(S402:AC402))</f>
        <v>94</v>
      </c>
      <c r="AE402" s="7" t="n">
        <f aca="false">IF(COUNTIF($F$2:F402,F402)=1,IFERROR(AVERAGEIF($F:$F,F402,$AD:$AD),""),"")</f>
        <v>94</v>
      </c>
      <c r="AF402" s="8" t="str">
        <f aca="false">IF(AH402&lt;&gt;"",AH402,IF(AE402="","",IF(AE402&gt;=80,"Excellent",IF(AE402&gt;=70,"Very Good",IF(AE402&gt;=60,"Good",IF(AE402&gt;=50,"Average","Poor"))))))</f>
        <v>Excellent</v>
      </c>
      <c r="AG402" s="5"/>
      <c r="AH402" s="4"/>
      <c r="AI402" s="4" t="s">
        <v>62</v>
      </c>
      <c r="AJ402" s="4" t="s">
        <v>62</v>
      </c>
      <c r="AK402" s="4" t="s">
        <v>62</v>
      </c>
      <c r="AL402" s="4" t="s">
        <v>63</v>
      </c>
      <c r="AM402" s="4" t="s">
        <v>62</v>
      </c>
      <c r="AN402" s="4" t="s">
        <v>64</v>
      </c>
      <c r="AO402" s="4" t="s">
        <v>62</v>
      </c>
      <c r="AP402" s="4" t="s">
        <v>62</v>
      </c>
      <c r="AQ402" s="4" t="s">
        <v>62</v>
      </c>
      <c r="AR402" s="4" t="s">
        <v>82</v>
      </c>
      <c r="AS402" s="4" t="s">
        <v>74</v>
      </c>
      <c r="AT402" s="4" t="n">
        <v>8</v>
      </c>
      <c r="AU402" s="4" t="s">
        <v>66</v>
      </c>
      <c r="AV402" s="4" t="s">
        <v>288</v>
      </c>
      <c r="AW402" s="4" t="s">
        <v>1224</v>
      </c>
      <c r="AX402" s="4" t="s">
        <v>769</v>
      </c>
      <c r="AY402" s="4" t="n">
        <v>4</v>
      </c>
      <c r="AZ402" s="4" t="s">
        <v>62</v>
      </c>
      <c r="BA402" s="4" t="s">
        <v>1225</v>
      </c>
      <c r="BB402" s="4" t="s">
        <v>760</v>
      </c>
      <c r="BC402" s="6" t="n">
        <v>0.4444</v>
      </c>
      <c r="BD402" s="4" t="n">
        <v>87</v>
      </c>
    </row>
    <row r="403" customFormat="false" ht="270.85" hidden="false" customHeight="false" outlineLevel="0" collapsed="false">
      <c r="A403" s="4" t="n">
        <v>177</v>
      </c>
      <c r="B403" s="4" t="s">
        <v>753</v>
      </c>
      <c r="C403" s="4" t="s">
        <v>57</v>
      </c>
      <c r="D403" s="4" t="s">
        <v>754</v>
      </c>
      <c r="E403" s="4" t="s">
        <v>867</v>
      </c>
      <c r="F403" s="4" t="n">
        <v>1447</v>
      </c>
      <c r="G403" s="5" t="s">
        <v>1226</v>
      </c>
      <c r="H403" s="5" t="s">
        <v>966</v>
      </c>
      <c r="I403" s="4"/>
      <c r="J403" s="4"/>
      <c r="K403" s="4"/>
      <c r="L403" s="4" t="n">
        <v>0</v>
      </c>
      <c r="M403" s="4" t="n">
        <v>0</v>
      </c>
      <c r="N403" s="4" t="n">
        <v>0</v>
      </c>
      <c r="O403" s="4" t="n">
        <v>0</v>
      </c>
      <c r="P403" s="4" t="n">
        <v>0</v>
      </c>
      <c r="Q403" s="4" t="n">
        <v>0</v>
      </c>
      <c r="R403" s="6" t="n">
        <f aca="false">IF(N(L403)=0,0,O403/L403)</f>
        <v>0</v>
      </c>
      <c r="S403" s="4" t="n">
        <f aca="false">IF(R403="","",IF(R403&gt;=0.8,50,IF(R403&gt;=0.5,30,IF(R403&gt;=0.01,10,0))))</f>
        <v>0</v>
      </c>
      <c r="T403" s="4" t="n">
        <f aca="false">IF(TRIM(AI403)="Yes",2.5,0)</f>
        <v>0</v>
      </c>
      <c r="U403" s="4" t="n">
        <f aca="false">IF(TRIM(AJ403)="Yes",10,0)</f>
        <v>0</v>
      </c>
      <c r="V403" s="4" t="n">
        <f aca="false">IF(TRIM(AK403)="Yes",5,0)</f>
        <v>0</v>
      </c>
      <c r="W403" s="4" t="n">
        <f aca="false">IF(TRIM(AM403)="Yes",5,0)</f>
        <v>0</v>
      </c>
      <c r="X403" s="4" t="n">
        <f aca="false">IF(OR(TRIM(AN403)="Fully Available",TRIM(AN403)="Not Applicable"),5,IF(TRIM(AN403)="Partially Available",2.5,0))</f>
        <v>0</v>
      </c>
      <c r="Y403" s="4" t="n">
        <f aca="false">IF(TRIM(AO403)="Yes",5,0)</f>
        <v>0</v>
      </c>
      <c r="Z403" s="4" t="n">
        <f aca="false">IF(TRIM(AP403)="Yes",2.5,0)</f>
        <v>0</v>
      </c>
      <c r="AA403" s="4" t="n">
        <f aca="false">IF(TRIM(AQ403)="Yes",5,0)</f>
        <v>0</v>
      </c>
      <c r="AB403" s="4" t="n">
        <f aca="false">IF(OR(TRIM(AR403)="Yes",TRIM(AR403)="Not Applicable"),5,0)</f>
        <v>0</v>
      </c>
      <c r="AC403" s="4" t="n">
        <f aca="false">IF(TRIM(AS403)="Excellent",5,IF(TRIM(AS403)="Very Good",4,IF(TRIM(AS403)="Good",3,IF(TRIM(AS403)="Average",2,0))))</f>
        <v>0</v>
      </c>
      <c r="AD403" s="7" t="n">
        <f aca="false">IF(COUNT(S403:AC403)=0,"",SUM(S403:AC403))</f>
        <v>0</v>
      </c>
      <c r="AE403" s="7" t="n">
        <f aca="false">IF(COUNTIF($F$2:F403,F403)=1,IFERROR(AVERAGEIF($F:$F,F403,$AD:$AD),""),"")</f>
        <v>0</v>
      </c>
      <c r="AF403" s="8" t="str">
        <f aca="false">IF(AH403&lt;&gt;"",AH403,IF(AE403="","",IF(AE403&gt;=80,"Excellent",IF(AE403&gt;=70,"Very Good",IF(AE403&gt;=60,"Good",IF(AE403&gt;=50,"Average","Poor"))))))</f>
        <v>Poor</v>
      </c>
      <c r="AG403" s="5" t="s">
        <v>1227</v>
      </c>
      <c r="AH403" s="4" t="s">
        <v>203</v>
      </c>
      <c r="AI403" s="4" t="s">
        <v>82</v>
      </c>
      <c r="AJ403" s="4" t="s">
        <v>82</v>
      </c>
      <c r="AK403" s="4" t="s">
        <v>82</v>
      </c>
      <c r="AL403" s="4" t="s">
        <v>379</v>
      </c>
      <c r="AM403" s="4" t="s">
        <v>82</v>
      </c>
      <c r="AN403" s="4" t="s">
        <v>204</v>
      </c>
      <c r="AO403" s="4" t="s">
        <v>82</v>
      </c>
      <c r="AP403" s="4" t="s">
        <v>82</v>
      </c>
      <c r="AQ403" s="4" t="s">
        <v>82</v>
      </c>
      <c r="AR403" s="4" t="s">
        <v>82</v>
      </c>
      <c r="AS403" s="4" t="s">
        <v>203</v>
      </c>
      <c r="AT403" s="4" t="n">
        <v>0</v>
      </c>
      <c r="AU403" s="4" t="s">
        <v>112</v>
      </c>
      <c r="AV403" s="4" t="s">
        <v>244</v>
      </c>
      <c r="AW403" s="4"/>
      <c r="AX403" s="4"/>
      <c r="AY403" s="4" t="n">
        <v>0</v>
      </c>
      <c r="AZ403" s="4" t="s">
        <v>82</v>
      </c>
      <c r="BA403" s="4" t="s">
        <v>1227</v>
      </c>
      <c r="BB403" s="4" t="s">
        <v>760</v>
      </c>
      <c r="BC403" s="6"/>
      <c r="BD403" s="4" t="n">
        <v>0</v>
      </c>
    </row>
    <row r="404" customFormat="false" ht="143.25" hidden="false" customHeight="false" outlineLevel="0" collapsed="false">
      <c r="A404" s="4" t="n">
        <v>178</v>
      </c>
      <c r="B404" s="4" t="s">
        <v>753</v>
      </c>
      <c r="C404" s="4" t="s">
        <v>57</v>
      </c>
      <c r="D404" s="4" t="s">
        <v>754</v>
      </c>
      <c r="E404" s="4" t="s">
        <v>823</v>
      </c>
      <c r="F404" s="4" t="n">
        <v>787</v>
      </c>
      <c r="G404" s="5" t="s">
        <v>1228</v>
      </c>
      <c r="H404" s="5" t="s">
        <v>61</v>
      </c>
      <c r="I404" s="4"/>
      <c r="J404" s="4"/>
      <c r="K404" s="4"/>
      <c r="L404" s="4" t="n">
        <v>15</v>
      </c>
      <c r="M404" s="4" t="n">
        <v>15</v>
      </c>
      <c r="N404" s="4" t="n">
        <v>0</v>
      </c>
      <c r="O404" s="4" t="n">
        <v>15</v>
      </c>
      <c r="P404" s="4" t="n">
        <v>0</v>
      </c>
      <c r="Q404" s="4" t="n">
        <v>7</v>
      </c>
      <c r="R404" s="6" t="n">
        <f aca="false">IF(N(L404)=0,0,O404/L404)</f>
        <v>1</v>
      </c>
      <c r="S404" s="4" t="n">
        <f aca="false">IF(R404="","",IF(R404&gt;=0.8,50,IF(R404&gt;=0.5,30,IF(R404&gt;=0.01,10,0))))</f>
        <v>50</v>
      </c>
      <c r="T404" s="4" t="n">
        <f aca="false">IF(TRIM(AI404)="Yes",2.5,0)</f>
        <v>2.5</v>
      </c>
      <c r="U404" s="4" t="n">
        <f aca="false">IF(TRIM(AJ404)="Yes",10,0)</f>
        <v>10</v>
      </c>
      <c r="V404" s="4" t="n">
        <f aca="false">IF(TRIM(AK404)="Yes",5,0)</f>
        <v>5</v>
      </c>
      <c r="W404" s="4" t="n">
        <f aca="false">IF(TRIM(AM404)="Yes",5,0)</f>
        <v>5</v>
      </c>
      <c r="X404" s="4" t="n">
        <f aca="false">IF(OR(TRIM(AN404)="Fully Available",TRIM(AN404)="Not Applicable"),5,IF(TRIM(AN404)="Partially Available",2.5,0))</f>
        <v>5</v>
      </c>
      <c r="Y404" s="4" t="n">
        <f aca="false">IF(TRIM(AO404)="Yes",5,0)</f>
        <v>5</v>
      </c>
      <c r="Z404" s="4" t="n">
        <f aca="false">IF(TRIM(AP404)="Yes",2.5,0)</f>
        <v>2.5</v>
      </c>
      <c r="AA404" s="4" t="n">
        <f aca="false">IF(TRIM(AQ404)="Yes",5,0)</f>
        <v>5</v>
      </c>
      <c r="AB404" s="4" t="n">
        <f aca="false">IF(OR(TRIM(AR404)="Yes",TRIM(AR404)="Not Applicable"),5,0)</f>
        <v>5</v>
      </c>
      <c r="AC404" s="4" t="n">
        <f aca="false">IF(TRIM(AS404)="Excellent",5,IF(TRIM(AS404)="Very Good",4,IF(TRIM(AS404)="Good",3,IF(TRIM(AS404)="Average",2,0))))</f>
        <v>4</v>
      </c>
      <c r="AD404" s="7" t="n">
        <f aca="false">IF(COUNT(S404:AC404)=0,"",SUM(S404:AC404))</f>
        <v>99</v>
      </c>
      <c r="AE404" s="7" t="n">
        <f aca="false">IF(COUNTIF($F$2:F404,F404)=1,IFERROR(AVERAGEIF($F:$F,F404,$AD:$AD),""),"")</f>
        <v>99</v>
      </c>
      <c r="AF404" s="8" t="str">
        <f aca="false">IF(AH404&lt;&gt;"",AH404,IF(AE404="","",IF(AE404&gt;=80,"Excellent",IF(AE404&gt;=70,"Very Good",IF(AE404&gt;=60,"Good",IF(AE404&gt;=50,"Average","Poor"))))))</f>
        <v>Excellent</v>
      </c>
      <c r="AG404" s="5"/>
      <c r="AH404" s="4"/>
      <c r="AI404" s="4" t="s">
        <v>62</v>
      </c>
      <c r="AJ404" s="4" t="s">
        <v>62</v>
      </c>
      <c r="AK404" s="4" t="s">
        <v>62</v>
      </c>
      <c r="AL404" s="4" t="s">
        <v>63</v>
      </c>
      <c r="AM404" s="4" t="s">
        <v>62</v>
      </c>
      <c r="AN404" s="4" t="s">
        <v>64</v>
      </c>
      <c r="AO404" s="4" t="s">
        <v>62</v>
      </c>
      <c r="AP404" s="4" t="s">
        <v>62</v>
      </c>
      <c r="AQ404" s="4" t="s">
        <v>62</v>
      </c>
      <c r="AR404" s="4" t="s">
        <v>62</v>
      </c>
      <c r="AS404" s="4" t="s">
        <v>74</v>
      </c>
      <c r="AT404" s="4" t="n">
        <v>7</v>
      </c>
      <c r="AU404" s="4" t="s">
        <v>66</v>
      </c>
      <c r="AV404" s="4" t="s">
        <v>186</v>
      </c>
      <c r="AW404" s="4" t="s">
        <v>1229</v>
      </c>
      <c r="AX404" s="4" t="s">
        <v>1230</v>
      </c>
      <c r="AY404" s="4" t="n">
        <v>10</v>
      </c>
      <c r="AZ404" s="4" t="s">
        <v>62</v>
      </c>
      <c r="BA404" s="4" t="s">
        <v>1231</v>
      </c>
      <c r="BB404" s="4" t="s">
        <v>760</v>
      </c>
      <c r="BC404" s="6" t="n">
        <v>0.4667</v>
      </c>
      <c r="BD404" s="4" t="n">
        <v>100</v>
      </c>
    </row>
    <row r="405" customFormat="false" ht="114.9" hidden="false" customHeight="false" outlineLevel="0" collapsed="false">
      <c r="A405" s="4" t="n">
        <v>179</v>
      </c>
      <c r="B405" s="4" t="s">
        <v>753</v>
      </c>
      <c r="C405" s="4" t="s">
        <v>57</v>
      </c>
      <c r="D405" s="4" t="s">
        <v>754</v>
      </c>
      <c r="E405" s="4" t="s">
        <v>755</v>
      </c>
      <c r="F405" s="4" t="n">
        <v>2714</v>
      </c>
      <c r="G405" s="5" t="s">
        <v>1232</v>
      </c>
      <c r="H405" s="5" t="s">
        <v>693</v>
      </c>
      <c r="I405" s="4"/>
      <c r="J405" s="4"/>
      <c r="K405" s="4"/>
      <c r="L405" s="4" t="n">
        <v>20</v>
      </c>
      <c r="M405" s="4" t="n">
        <v>20</v>
      </c>
      <c r="N405" s="4" t="n">
        <v>0</v>
      </c>
      <c r="O405" s="4" t="n">
        <v>12</v>
      </c>
      <c r="P405" s="4" t="n">
        <v>8</v>
      </c>
      <c r="Q405" s="4" t="n">
        <v>8</v>
      </c>
      <c r="R405" s="6" t="n">
        <f aca="false">IF(N(L405)=0,0,O405/L405)</f>
        <v>0.6</v>
      </c>
      <c r="S405" s="4" t="n">
        <f aca="false">IF(R405="","",IF(R405&gt;=0.8,50,IF(R405&gt;=0.5,30,IF(R405&gt;=0.01,10,0))))</f>
        <v>30</v>
      </c>
      <c r="T405" s="4" t="n">
        <f aca="false">IF(TRIM(AI405)="Yes",2.5,0)</f>
        <v>2.5</v>
      </c>
      <c r="U405" s="4" t="n">
        <f aca="false">IF(TRIM(AJ405)="Yes",10,0)</f>
        <v>10</v>
      </c>
      <c r="V405" s="4" t="n">
        <f aca="false">IF(TRIM(AK405)="Yes",5,0)</f>
        <v>0</v>
      </c>
      <c r="W405" s="4" t="n">
        <f aca="false">IF(TRIM(AM405)="Yes",5,0)</f>
        <v>0</v>
      </c>
      <c r="X405" s="4" t="n">
        <f aca="false">IF(OR(TRIM(AN405)="Fully Available",TRIM(AN405)="Not Applicable"),5,IF(TRIM(AN405)="Partially Available",2.5,0))</f>
        <v>5</v>
      </c>
      <c r="Y405" s="4" t="n">
        <f aca="false">IF(TRIM(AO405)="Yes",5,0)</f>
        <v>5</v>
      </c>
      <c r="Z405" s="4" t="n">
        <f aca="false">IF(TRIM(AP405)="Yes",2.5,0)</f>
        <v>2.5</v>
      </c>
      <c r="AA405" s="4" t="n">
        <f aca="false">IF(TRIM(AQ405)="Yes",5,0)</f>
        <v>0</v>
      </c>
      <c r="AB405" s="4" t="n">
        <f aca="false">IF(OR(TRIM(AR405)="Yes",TRIM(AR405)="Not Applicable"),5,0)</f>
        <v>5</v>
      </c>
      <c r="AC405" s="4" t="n">
        <f aca="false">IF(TRIM(AS405)="Excellent",5,IF(TRIM(AS405)="Very Good",4,IF(TRIM(AS405)="Good",3,IF(TRIM(AS405)="Average",2,0))))</f>
        <v>3</v>
      </c>
      <c r="AD405" s="7" t="n">
        <f aca="false">IF(COUNT(S405:AC405)=0,"",SUM(S405:AC405))</f>
        <v>63</v>
      </c>
      <c r="AE405" s="7" t="n">
        <f aca="false">IF(COUNTIF($F$2:F405,F405)=1,IFERROR(AVERAGEIF($F:$F,F405,$AD:$AD),""),"")</f>
        <v>63</v>
      </c>
      <c r="AF405" s="8" t="str">
        <f aca="false">IF(AH405&lt;&gt;"",AH405,IF(AE405="","",IF(AE405&gt;=80,"Excellent",IF(AE405&gt;=70,"Very Good",IF(AE405&gt;=60,"Good",IF(AE405&gt;=50,"Average","Poor"))))))</f>
        <v>Good</v>
      </c>
      <c r="AG405" s="5"/>
      <c r="AH405" s="4"/>
      <c r="AI405" s="4" t="s">
        <v>62</v>
      </c>
      <c r="AJ405" s="4" t="s">
        <v>62</v>
      </c>
      <c r="AK405" s="4" t="s">
        <v>82</v>
      </c>
      <c r="AL405" s="4" t="s">
        <v>379</v>
      </c>
      <c r="AM405" s="4" t="s">
        <v>82</v>
      </c>
      <c r="AN405" s="4" t="s">
        <v>64</v>
      </c>
      <c r="AO405" s="4" t="s">
        <v>62</v>
      </c>
      <c r="AP405" s="4" t="s">
        <v>62</v>
      </c>
      <c r="AQ405" s="4" t="s">
        <v>82</v>
      </c>
      <c r="AR405" s="4" t="s">
        <v>62</v>
      </c>
      <c r="AS405" s="4" t="s">
        <v>185</v>
      </c>
      <c r="AT405" s="4" t="n">
        <v>5</v>
      </c>
      <c r="AU405" s="4" t="s">
        <v>112</v>
      </c>
      <c r="AV405" s="4" t="s">
        <v>186</v>
      </c>
      <c r="AW405" s="4" t="s">
        <v>1233</v>
      </c>
      <c r="AX405" s="4" t="s">
        <v>667</v>
      </c>
      <c r="AY405" s="4" t="n">
        <v>30</v>
      </c>
      <c r="AZ405" s="4" t="s">
        <v>62</v>
      </c>
      <c r="BA405" s="4" t="s">
        <v>1234</v>
      </c>
      <c r="BB405" s="4" t="s">
        <v>760</v>
      </c>
      <c r="BC405" s="6" t="n">
        <v>0.6667</v>
      </c>
      <c r="BD405" s="4" t="n">
        <v>81</v>
      </c>
    </row>
    <row r="406" customFormat="false" ht="29.85" hidden="false" customHeight="false" outlineLevel="0" collapsed="false">
      <c r="A406" s="4" t="n">
        <v>180</v>
      </c>
      <c r="B406" s="4" t="s">
        <v>753</v>
      </c>
      <c r="C406" s="4" t="s">
        <v>57</v>
      </c>
      <c r="D406" s="4" t="s">
        <v>754</v>
      </c>
      <c r="E406" s="4" t="s">
        <v>823</v>
      </c>
      <c r="F406" s="4" t="n">
        <v>268</v>
      </c>
      <c r="G406" s="5" t="s">
        <v>1235</v>
      </c>
      <c r="H406" s="5" t="s">
        <v>61</v>
      </c>
      <c r="I406" s="4"/>
      <c r="J406" s="4"/>
      <c r="K406" s="4"/>
      <c r="L406" s="4" t="n">
        <v>15</v>
      </c>
      <c r="M406" s="4" t="n">
        <v>15</v>
      </c>
      <c r="N406" s="4" t="n">
        <v>0</v>
      </c>
      <c r="O406" s="4" t="n">
        <v>14</v>
      </c>
      <c r="P406" s="4" t="n">
        <v>1</v>
      </c>
      <c r="Q406" s="4" t="n">
        <v>8</v>
      </c>
      <c r="R406" s="6" t="n">
        <f aca="false">IF(N(L406)=0,0,O406/L406)</f>
        <v>0.933333333333333</v>
      </c>
      <c r="S406" s="4" t="n">
        <f aca="false">IF(R406="","",IF(R406&gt;=0.8,50,IF(R406&gt;=0.5,30,IF(R406&gt;=0.01,10,0))))</f>
        <v>50</v>
      </c>
      <c r="T406" s="4" t="n">
        <f aca="false">IF(TRIM(AI406)="Yes",2.5,0)</f>
        <v>2.5</v>
      </c>
      <c r="U406" s="4" t="n">
        <f aca="false">IF(TRIM(AJ406)="Yes",10,0)</f>
        <v>0</v>
      </c>
      <c r="V406" s="4" t="n">
        <f aca="false">IF(TRIM(AK406)="Yes",5,0)</f>
        <v>5</v>
      </c>
      <c r="W406" s="4" t="n">
        <f aca="false">IF(TRIM(AM406)="Yes",5,0)</f>
        <v>5</v>
      </c>
      <c r="X406" s="4" t="n">
        <f aca="false">IF(OR(TRIM(AN406)="Fully Available",TRIM(AN406)="Not Applicable"),5,IF(TRIM(AN406)="Partially Available",2.5,0))</f>
        <v>5</v>
      </c>
      <c r="Y406" s="4" t="n">
        <f aca="false">IF(TRIM(AO406)="Yes",5,0)</f>
        <v>5</v>
      </c>
      <c r="Z406" s="4" t="n">
        <f aca="false">IF(TRIM(AP406)="Yes",2.5,0)</f>
        <v>2.5</v>
      </c>
      <c r="AA406" s="4" t="n">
        <f aca="false">IF(TRIM(AQ406)="Yes",5,0)</f>
        <v>5</v>
      </c>
      <c r="AB406" s="4" t="n">
        <f aca="false">IF(OR(TRIM(AR406)="Yes",TRIM(AR406)="Not Applicable"),5,0)</f>
        <v>5</v>
      </c>
      <c r="AC406" s="4" t="n">
        <f aca="false">IF(TRIM(AS406)="Excellent",5,IF(TRIM(AS406)="Very Good",4,IF(TRIM(AS406)="Good",3,IF(TRIM(AS406)="Average",2,0))))</f>
        <v>4</v>
      </c>
      <c r="AD406" s="7" t="n">
        <f aca="false">IF(COUNT(S406:AC406)=0,"",SUM(S406:AC406))</f>
        <v>89</v>
      </c>
      <c r="AE406" s="7" t="n">
        <f aca="false">IF(COUNTIF($F$2:F406,F406)=1,IFERROR(AVERAGEIF($F:$F,F406,$AD:$AD),""),"")</f>
        <v>89</v>
      </c>
      <c r="AF406" s="8" t="str">
        <f aca="false">IF(AH406&lt;&gt;"",AH406,IF(AE406="","",IF(AE406&gt;=80,"Excellent",IF(AE406&gt;=70,"Very Good",IF(AE406&gt;=60,"Good",IF(AE406&gt;=50,"Average","Poor"))))))</f>
        <v>Excellent</v>
      </c>
      <c r="AG406" s="5"/>
      <c r="AH406" s="4"/>
      <c r="AI406" s="4" t="s">
        <v>62</v>
      </c>
      <c r="AJ406" s="4" t="s">
        <v>82</v>
      </c>
      <c r="AK406" s="4" t="s">
        <v>62</v>
      </c>
      <c r="AL406" s="4" t="s">
        <v>63</v>
      </c>
      <c r="AM406" s="4" t="s">
        <v>62</v>
      </c>
      <c r="AN406" s="4" t="s">
        <v>64</v>
      </c>
      <c r="AO406" s="4" t="s">
        <v>62</v>
      </c>
      <c r="AP406" s="4" t="s">
        <v>62</v>
      </c>
      <c r="AQ406" s="4" t="s">
        <v>62</v>
      </c>
      <c r="AR406" s="4" t="s">
        <v>62</v>
      </c>
      <c r="AS406" s="4" t="s">
        <v>74</v>
      </c>
      <c r="AT406" s="4" t="n">
        <v>10</v>
      </c>
      <c r="AU406" s="4" t="s">
        <v>66</v>
      </c>
      <c r="AV406" s="4" t="s">
        <v>91</v>
      </c>
      <c r="AW406" s="4" t="s">
        <v>1236</v>
      </c>
      <c r="AX406" s="4" t="s">
        <v>1237</v>
      </c>
      <c r="AY406" s="4" t="n">
        <v>9</v>
      </c>
      <c r="AZ406" s="4" t="s">
        <v>62</v>
      </c>
      <c r="BA406" s="4" t="s">
        <v>1238</v>
      </c>
      <c r="BB406" s="4" t="s">
        <v>760</v>
      </c>
      <c r="BC406" s="6" t="n">
        <v>0.5714</v>
      </c>
      <c r="BD406" s="4" t="n">
        <v>91</v>
      </c>
    </row>
    <row r="407" customFormat="false" ht="270.85" hidden="false" customHeight="false" outlineLevel="0" collapsed="false">
      <c r="A407" s="4" t="n">
        <v>181</v>
      </c>
      <c r="B407" s="4" t="s">
        <v>753</v>
      </c>
      <c r="C407" s="4" t="s">
        <v>57</v>
      </c>
      <c r="D407" s="4" t="s">
        <v>754</v>
      </c>
      <c r="E407" s="4" t="s">
        <v>867</v>
      </c>
      <c r="F407" s="4" t="n">
        <v>418</v>
      </c>
      <c r="G407" s="5" t="s">
        <v>1239</v>
      </c>
      <c r="H407" s="5" t="s">
        <v>279</v>
      </c>
      <c r="I407" s="4"/>
      <c r="J407" s="4"/>
      <c r="K407" s="4"/>
      <c r="L407" s="4" t="n">
        <v>20</v>
      </c>
      <c r="M407" s="4" t="n">
        <v>20</v>
      </c>
      <c r="N407" s="4" t="n">
        <v>0</v>
      </c>
      <c r="O407" s="4" t="n">
        <v>19</v>
      </c>
      <c r="P407" s="4" t="n">
        <v>1</v>
      </c>
      <c r="Q407" s="4" t="n">
        <v>8</v>
      </c>
      <c r="R407" s="6" t="n">
        <f aca="false">IF(N(L407)=0,0,O407/L407)</f>
        <v>0.95</v>
      </c>
      <c r="S407" s="4" t="n">
        <f aca="false">IF(R407="","",IF(R407&gt;=0.8,50,IF(R407&gt;=0.5,30,IF(R407&gt;=0.01,10,0))))</f>
        <v>50</v>
      </c>
      <c r="T407" s="4" t="n">
        <f aca="false">IF(TRIM(AI407)="Yes",2.5,0)</f>
        <v>2.5</v>
      </c>
      <c r="U407" s="4" t="n">
        <f aca="false">IF(TRIM(AJ407)="Yes",10,0)</f>
        <v>10</v>
      </c>
      <c r="V407" s="4" t="n">
        <f aca="false">IF(TRIM(AK407)="Yes",5,0)</f>
        <v>5</v>
      </c>
      <c r="W407" s="4" t="n">
        <f aca="false">IF(TRIM(AM407)="Yes",5,0)</f>
        <v>5</v>
      </c>
      <c r="X407" s="4" t="n">
        <f aca="false">IF(OR(TRIM(AN407)="Fully Available",TRIM(AN407)="Not Applicable"),5,IF(TRIM(AN407)="Partially Available",2.5,0))</f>
        <v>5</v>
      </c>
      <c r="Y407" s="4" t="n">
        <f aca="false">IF(TRIM(AO407)="Yes",5,0)</f>
        <v>5</v>
      </c>
      <c r="Z407" s="4" t="n">
        <f aca="false">IF(TRIM(AP407)="Yes",2.5,0)</f>
        <v>2.5</v>
      </c>
      <c r="AA407" s="4" t="n">
        <f aca="false">IF(TRIM(AQ407)="Yes",5,0)</f>
        <v>5</v>
      </c>
      <c r="AB407" s="4" t="n">
        <f aca="false">IF(OR(TRIM(AR407)="Yes",TRIM(AR407)="Not Applicable"),5,0)</f>
        <v>5</v>
      </c>
      <c r="AC407" s="4" t="n">
        <f aca="false">IF(TRIM(AS407)="Excellent",5,IF(TRIM(AS407)="Very Good",4,IF(TRIM(AS407)="Good",3,IF(TRIM(AS407)="Average",2,0))))</f>
        <v>5</v>
      </c>
      <c r="AD407" s="7" t="n">
        <f aca="false">IF(COUNT(S407:AC407)=0,"",SUM(S407:AC407))</f>
        <v>100</v>
      </c>
      <c r="AE407" s="7" t="n">
        <f aca="false">IF(COUNTIF($F$2:F407,F407)=1,IFERROR(AVERAGEIF($F:$F,F407,$AD:$AD),""),"")</f>
        <v>100</v>
      </c>
      <c r="AF407" s="8" t="str">
        <f aca="false">IF(AH407&lt;&gt;"",AH407,IF(AE407="","",IF(AE407&gt;=80,"Excellent",IF(AE407&gt;=70,"Very Good",IF(AE407&gt;=60,"Good",IF(AE407&gt;=50,"Average","Poor"))))))</f>
        <v>Excellent</v>
      </c>
      <c r="AG407" s="5"/>
      <c r="AH407" s="4"/>
      <c r="AI407" s="4" t="s">
        <v>62</v>
      </c>
      <c r="AJ407" s="4" t="s">
        <v>62</v>
      </c>
      <c r="AK407" s="4" t="s">
        <v>62</v>
      </c>
      <c r="AL407" s="4" t="s">
        <v>63</v>
      </c>
      <c r="AM407" s="4" t="s">
        <v>62</v>
      </c>
      <c r="AN407" s="4" t="s">
        <v>64</v>
      </c>
      <c r="AO407" s="4" t="s">
        <v>62</v>
      </c>
      <c r="AP407" s="4" t="s">
        <v>62</v>
      </c>
      <c r="AQ407" s="4" t="s">
        <v>62</v>
      </c>
      <c r="AR407" s="4" t="s">
        <v>62</v>
      </c>
      <c r="AS407" s="4" t="s">
        <v>65</v>
      </c>
      <c r="AT407" s="4" t="n">
        <v>8</v>
      </c>
      <c r="AU407" s="4" t="s">
        <v>112</v>
      </c>
      <c r="AV407" s="4" t="s">
        <v>151</v>
      </c>
      <c r="AW407" s="4" t="s">
        <v>1240</v>
      </c>
      <c r="AX407" s="4" t="s">
        <v>1241</v>
      </c>
      <c r="AY407" s="4" t="n">
        <v>8</v>
      </c>
      <c r="AZ407" s="4" t="s">
        <v>62</v>
      </c>
      <c r="BA407" s="4" t="s">
        <v>1242</v>
      </c>
      <c r="BB407" s="4" t="s">
        <v>760</v>
      </c>
      <c r="BC407" s="6" t="n">
        <v>0.4211</v>
      </c>
      <c r="BD407" s="4" t="n">
        <v>99</v>
      </c>
    </row>
    <row r="408" customFormat="false" ht="214.15" hidden="false" customHeight="false" outlineLevel="0" collapsed="false">
      <c r="A408" s="4" t="n">
        <v>182</v>
      </c>
      <c r="B408" s="4" t="s">
        <v>753</v>
      </c>
      <c r="C408" s="4" t="s">
        <v>57</v>
      </c>
      <c r="D408" s="4" t="s">
        <v>754</v>
      </c>
      <c r="E408" s="4" t="s">
        <v>810</v>
      </c>
      <c r="F408" s="4" t="n">
        <v>668</v>
      </c>
      <c r="G408" s="5" t="s">
        <v>1243</v>
      </c>
      <c r="H408" s="5" t="s">
        <v>78</v>
      </c>
      <c r="I408" s="4"/>
      <c r="J408" s="4"/>
      <c r="K408" s="4"/>
      <c r="L408" s="4" t="n">
        <v>20</v>
      </c>
      <c r="M408" s="4" t="n">
        <v>20</v>
      </c>
      <c r="N408" s="4" t="n">
        <v>0</v>
      </c>
      <c r="O408" s="4" t="n">
        <v>16</v>
      </c>
      <c r="P408" s="4" t="n">
        <v>4</v>
      </c>
      <c r="Q408" s="4" t="n">
        <v>8</v>
      </c>
      <c r="R408" s="6" t="n">
        <f aca="false">IF(N(L408)=0,0,O408/L408)</f>
        <v>0.8</v>
      </c>
      <c r="S408" s="4" t="n">
        <f aca="false">IF(R408="","",IF(R408&gt;=0.8,50,IF(R408&gt;=0.5,30,IF(R408&gt;=0.01,10,0))))</f>
        <v>50</v>
      </c>
      <c r="T408" s="4" t="n">
        <f aca="false">IF(TRIM(AI408)="Yes",2.5,0)</f>
        <v>2.5</v>
      </c>
      <c r="U408" s="4" t="n">
        <f aca="false">IF(TRIM(AJ408)="Yes",10,0)</f>
        <v>10</v>
      </c>
      <c r="V408" s="4" t="n">
        <f aca="false">IF(TRIM(AK408)="Yes",5,0)</f>
        <v>5</v>
      </c>
      <c r="W408" s="4" t="n">
        <f aca="false">IF(TRIM(AM408)="Yes",5,0)</f>
        <v>5</v>
      </c>
      <c r="X408" s="4" t="n">
        <f aca="false">IF(OR(TRIM(AN408)="Fully Available",TRIM(AN408)="Not Applicable"),5,IF(TRIM(AN408)="Partially Available",2.5,0))</f>
        <v>5</v>
      </c>
      <c r="Y408" s="4" t="n">
        <f aca="false">IF(TRIM(AO408)="Yes",5,0)</f>
        <v>5</v>
      </c>
      <c r="Z408" s="4" t="n">
        <f aca="false">IF(TRIM(AP408)="Yes",2.5,0)</f>
        <v>2.5</v>
      </c>
      <c r="AA408" s="4" t="n">
        <f aca="false">IF(TRIM(AQ408)="Yes",5,0)</f>
        <v>5</v>
      </c>
      <c r="AB408" s="4" t="n">
        <f aca="false">IF(OR(TRIM(AR408)="Yes",TRIM(AR408)="Not Applicable"),5,0)</f>
        <v>5</v>
      </c>
      <c r="AC408" s="4" t="n">
        <f aca="false">IF(TRIM(AS408)="Excellent",5,IF(TRIM(AS408)="Very Good",4,IF(TRIM(AS408)="Good",3,IF(TRIM(AS408)="Average",2,0))))</f>
        <v>4</v>
      </c>
      <c r="AD408" s="7" t="n">
        <f aca="false">IF(COUNT(S408:AC408)=0,"",SUM(S408:AC408))</f>
        <v>99</v>
      </c>
      <c r="AE408" s="7" t="n">
        <f aca="false">IF(COUNTIF($F$2:F408,F408)=1,IFERROR(AVERAGEIF($F:$F,F408,$AD:$AD),""),"")</f>
        <v>99</v>
      </c>
      <c r="AF408" s="8" t="str">
        <f aca="false">IF(AH408&lt;&gt;"",AH408,IF(AE408="","",IF(AE408&gt;=80,"Excellent",IF(AE408&gt;=70,"Very Good",IF(AE408&gt;=60,"Good",IF(AE408&gt;=50,"Average","Poor"))))))</f>
        <v>Excellent</v>
      </c>
      <c r="AG408" s="5"/>
      <c r="AH408" s="4"/>
      <c r="AI408" s="4" t="s">
        <v>62</v>
      </c>
      <c r="AJ408" s="4" t="s">
        <v>62</v>
      </c>
      <c r="AK408" s="4" t="s">
        <v>62</v>
      </c>
      <c r="AL408" s="4" t="s">
        <v>63</v>
      </c>
      <c r="AM408" s="4" t="s">
        <v>62</v>
      </c>
      <c r="AN408" s="4" t="s">
        <v>64</v>
      </c>
      <c r="AO408" s="4" t="s">
        <v>62</v>
      </c>
      <c r="AP408" s="4" t="s">
        <v>62</v>
      </c>
      <c r="AQ408" s="4" t="s">
        <v>62</v>
      </c>
      <c r="AR408" s="4" t="s">
        <v>62</v>
      </c>
      <c r="AS408" s="4" t="s">
        <v>74</v>
      </c>
      <c r="AT408" s="4" t="n">
        <v>8</v>
      </c>
      <c r="AU408" s="4" t="s">
        <v>66</v>
      </c>
      <c r="AV408" s="4" t="s">
        <v>67</v>
      </c>
      <c r="AW408" s="4" t="s">
        <v>1244</v>
      </c>
      <c r="AX408" s="4" t="s">
        <v>102</v>
      </c>
      <c r="AY408" s="4" t="n">
        <v>1</v>
      </c>
      <c r="AZ408" s="4" t="s">
        <v>62</v>
      </c>
      <c r="BA408" s="4" t="s">
        <v>1245</v>
      </c>
      <c r="BB408" s="4" t="s">
        <v>760</v>
      </c>
      <c r="BC408" s="6" t="n">
        <v>0.5</v>
      </c>
      <c r="BD408" s="4" t="n">
        <v>95</v>
      </c>
    </row>
    <row r="409" customFormat="false" ht="214.15" hidden="false" customHeight="false" outlineLevel="0" collapsed="false">
      <c r="A409" s="4"/>
      <c r="B409" s="4" t="s">
        <v>753</v>
      </c>
      <c r="C409" s="4" t="s">
        <v>57</v>
      </c>
      <c r="D409" s="4" t="s">
        <v>754</v>
      </c>
      <c r="E409" s="4" t="s">
        <v>810</v>
      </c>
      <c r="F409" s="4" t="n">
        <v>668</v>
      </c>
      <c r="G409" s="5" t="s">
        <v>1243</v>
      </c>
      <c r="H409" s="5" t="s">
        <v>61</v>
      </c>
      <c r="I409" s="4"/>
      <c r="J409" s="4"/>
      <c r="K409" s="4"/>
      <c r="L409" s="4" t="n">
        <v>15</v>
      </c>
      <c r="M409" s="4" t="n">
        <v>15</v>
      </c>
      <c r="N409" s="4" t="n">
        <v>0</v>
      </c>
      <c r="O409" s="4" t="n">
        <v>13</v>
      </c>
      <c r="P409" s="4" t="n">
        <v>2</v>
      </c>
      <c r="Q409" s="4" t="n">
        <v>8</v>
      </c>
      <c r="R409" s="6" t="n">
        <f aca="false">IF(N(L409)=0,0,O409/L409)</f>
        <v>0.866666666666667</v>
      </c>
      <c r="S409" s="4" t="n">
        <f aca="false">IF(R409="","",IF(R409&gt;=0.8,50,IF(R409&gt;=0.5,30,IF(R409&gt;=0.01,10,0))))</f>
        <v>50</v>
      </c>
      <c r="T409" s="4" t="n">
        <f aca="false">IF(TRIM(AI409)="Yes",2.5,0)</f>
        <v>2.5</v>
      </c>
      <c r="U409" s="4" t="n">
        <f aca="false">IF(TRIM(AJ409)="Yes",10,0)</f>
        <v>10</v>
      </c>
      <c r="V409" s="4" t="n">
        <f aca="false">IF(TRIM(AK409)="Yes",5,0)</f>
        <v>5</v>
      </c>
      <c r="W409" s="4" t="n">
        <f aca="false">IF(TRIM(AM409)="Yes",5,0)</f>
        <v>5</v>
      </c>
      <c r="X409" s="4" t="n">
        <f aca="false">IF(OR(TRIM(AN409)="Fully Available",TRIM(AN409)="Not Applicable"),5,IF(TRIM(AN409)="Partially Available",2.5,0))</f>
        <v>5</v>
      </c>
      <c r="Y409" s="4" t="n">
        <f aca="false">IF(TRIM(AO409)="Yes",5,0)</f>
        <v>5</v>
      </c>
      <c r="Z409" s="4" t="n">
        <f aca="false">IF(TRIM(AP409)="Yes",2.5,0)</f>
        <v>2.5</v>
      </c>
      <c r="AA409" s="4" t="n">
        <f aca="false">IF(TRIM(AQ409)="Yes",5,0)</f>
        <v>5</v>
      </c>
      <c r="AB409" s="4" t="n">
        <f aca="false">IF(OR(TRIM(AR409)="Yes",TRIM(AR409)="Not Applicable"),5,0)</f>
        <v>5</v>
      </c>
      <c r="AC409" s="4" t="n">
        <f aca="false">IF(TRIM(AS409)="Excellent",5,IF(TRIM(AS409)="Very Good",4,IF(TRIM(AS409)="Good",3,IF(TRIM(AS409)="Average",2,0))))</f>
        <v>4</v>
      </c>
      <c r="AD409" s="7" t="n">
        <f aca="false">IF(COUNT(S409:AC409)=0,"",SUM(S409:AC409))</f>
        <v>99</v>
      </c>
      <c r="AE409" s="7"/>
      <c r="AF409" s="8"/>
      <c r="AG409" s="5"/>
      <c r="AH409" s="4"/>
      <c r="AI409" s="4" t="s">
        <v>62</v>
      </c>
      <c r="AJ409" s="4" t="s">
        <v>62</v>
      </c>
      <c r="AK409" s="4" t="s">
        <v>62</v>
      </c>
      <c r="AL409" s="4" t="s">
        <v>63</v>
      </c>
      <c r="AM409" s="4" t="s">
        <v>62</v>
      </c>
      <c r="AN409" s="4" t="s">
        <v>64</v>
      </c>
      <c r="AO409" s="4" t="s">
        <v>62</v>
      </c>
      <c r="AP409" s="4" t="s">
        <v>62</v>
      </c>
      <c r="AQ409" s="4" t="s">
        <v>62</v>
      </c>
      <c r="AR409" s="4" t="s">
        <v>62</v>
      </c>
      <c r="AS409" s="4" t="s">
        <v>74</v>
      </c>
      <c r="AT409" s="4" t="n">
        <v>8</v>
      </c>
      <c r="AU409" s="4" t="s">
        <v>66</v>
      </c>
      <c r="AV409" s="4" t="s">
        <v>67</v>
      </c>
      <c r="AW409" s="4" t="s">
        <v>1246</v>
      </c>
      <c r="AX409" s="4" t="s">
        <v>917</v>
      </c>
      <c r="AY409" s="4" t="n">
        <v>4</v>
      </c>
      <c r="AZ409" s="4" t="s">
        <v>62</v>
      </c>
      <c r="BA409" s="4" t="s">
        <v>1245</v>
      </c>
      <c r="BB409" s="4" t="s">
        <v>760</v>
      </c>
      <c r="BC409" s="6" t="n">
        <v>0.6154</v>
      </c>
      <c r="BD409" s="4" t="n">
        <v>95</v>
      </c>
    </row>
    <row r="410" customFormat="false" ht="44" hidden="false" customHeight="false" outlineLevel="0" collapsed="false">
      <c r="A410" s="4" t="n">
        <v>183</v>
      </c>
      <c r="B410" s="4" t="s">
        <v>753</v>
      </c>
      <c r="C410" s="4" t="s">
        <v>57</v>
      </c>
      <c r="D410" s="4" t="s">
        <v>754</v>
      </c>
      <c r="E410" s="4" t="s">
        <v>867</v>
      </c>
      <c r="F410" s="4" t="n">
        <v>1078</v>
      </c>
      <c r="G410" s="5" t="s">
        <v>1247</v>
      </c>
      <c r="H410" s="5" t="s">
        <v>190</v>
      </c>
      <c r="I410" s="4"/>
      <c r="J410" s="4"/>
      <c r="K410" s="4"/>
      <c r="L410" s="4" t="n">
        <v>25</v>
      </c>
      <c r="M410" s="4" t="n">
        <v>22</v>
      </c>
      <c r="N410" s="4" t="n">
        <v>3</v>
      </c>
      <c r="O410" s="4" t="n">
        <v>19</v>
      </c>
      <c r="P410" s="4" t="n">
        <v>3</v>
      </c>
      <c r="Q410" s="4" t="n">
        <v>6</v>
      </c>
      <c r="R410" s="6" t="n">
        <f aca="false">IF(N(L410)=0,0,O410/L410)</f>
        <v>0.76</v>
      </c>
      <c r="S410" s="4" t="n">
        <f aca="false">IF(R410="","",IF(R410&gt;=0.8,50,IF(R410&gt;=0.5,30,IF(R410&gt;=0.01,10,0))))</f>
        <v>30</v>
      </c>
      <c r="T410" s="4" t="n">
        <f aca="false">IF(TRIM(AI410)="Yes",2.5,0)</f>
        <v>2.5</v>
      </c>
      <c r="U410" s="4" t="n">
        <f aca="false">IF(TRIM(AJ410)="Yes",10,0)</f>
        <v>10</v>
      </c>
      <c r="V410" s="4" t="n">
        <f aca="false">IF(TRIM(AK410)="Yes",5,0)</f>
        <v>5</v>
      </c>
      <c r="W410" s="4" t="n">
        <f aca="false">IF(TRIM(AM410)="Yes",5,0)</f>
        <v>5</v>
      </c>
      <c r="X410" s="4" t="n">
        <f aca="false">IF(OR(TRIM(AN410)="Fully Available",TRIM(AN410)="Not Applicable"),5,IF(TRIM(AN410)="Partially Available",2.5,0))</f>
        <v>5</v>
      </c>
      <c r="Y410" s="4" t="n">
        <f aca="false">IF(TRIM(AO410)="Yes",5,0)</f>
        <v>5</v>
      </c>
      <c r="Z410" s="4" t="n">
        <f aca="false">IF(TRIM(AP410)="Yes",2.5,0)</f>
        <v>2.5</v>
      </c>
      <c r="AA410" s="4" t="n">
        <f aca="false">IF(TRIM(AQ410)="Yes",5,0)</f>
        <v>5</v>
      </c>
      <c r="AB410" s="4" t="n">
        <f aca="false">IF(OR(TRIM(AR410)="Yes",TRIM(AR410)="Not Applicable"),5,0)</f>
        <v>5</v>
      </c>
      <c r="AC410" s="4" t="n">
        <f aca="false">IF(TRIM(AS410)="Excellent",5,IF(TRIM(AS410)="Very Good",4,IF(TRIM(AS410)="Good",3,IF(TRIM(AS410)="Average",2,0))))</f>
        <v>4</v>
      </c>
      <c r="AD410" s="7" t="n">
        <f aca="false">IF(COUNT(S410:AC410)=0,"",SUM(S410:AC410))</f>
        <v>79</v>
      </c>
      <c r="AE410" s="7" t="n">
        <f aca="false">IF(COUNTIF($F$2:F410,F410)=1,IFERROR(AVERAGEIF($F:$F,F410,$AD:$AD),""),"")</f>
        <v>79</v>
      </c>
      <c r="AF410" s="8" t="str">
        <f aca="false">IF(AH410&lt;&gt;"",AH410,IF(AE410="","",IF(AE410&gt;=80,"Excellent",IF(AE410&gt;=70,"Very Good",IF(AE410&gt;=60,"Good",IF(AE410&gt;=50,"Average","Poor"))))))</f>
        <v>Very Good</v>
      </c>
      <c r="AG410" s="5"/>
      <c r="AH410" s="4"/>
      <c r="AI410" s="4" t="s">
        <v>62</v>
      </c>
      <c r="AJ410" s="4" t="s">
        <v>62</v>
      </c>
      <c r="AK410" s="4" t="s">
        <v>62</v>
      </c>
      <c r="AL410" s="4" t="s">
        <v>63</v>
      </c>
      <c r="AM410" s="4" t="s">
        <v>62</v>
      </c>
      <c r="AN410" s="4" t="s">
        <v>64</v>
      </c>
      <c r="AO410" s="4" t="s">
        <v>62</v>
      </c>
      <c r="AP410" s="4" t="s">
        <v>62</v>
      </c>
      <c r="AQ410" s="4" t="s">
        <v>62</v>
      </c>
      <c r="AR410" s="4" t="s">
        <v>62</v>
      </c>
      <c r="AS410" s="4" t="s">
        <v>74</v>
      </c>
      <c r="AT410" s="4" t="n">
        <v>8</v>
      </c>
      <c r="AU410" s="4" t="s">
        <v>112</v>
      </c>
      <c r="AV410" s="4" t="s">
        <v>91</v>
      </c>
      <c r="AW410" s="4" t="s">
        <v>1248</v>
      </c>
      <c r="AX410" s="4" t="s">
        <v>1249</v>
      </c>
      <c r="AY410" s="4" t="n">
        <v>13</v>
      </c>
      <c r="AZ410" s="4" t="s">
        <v>62</v>
      </c>
      <c r="BA410" s="4" t="s">
        <v>1250</v>
      </c>
      <c r="BB410" s="4" t="s">
        <v>760</v>
      </c>
      <c r="BC410" s="6" t="n">
        <v>0.3158</v>
      </c>
      <c r="BD410" s="4" t="n">
        <v>88</v>
      </c>
    </row>
    <row r="411" customFormat="false" ht="44" hidden="false" customHeight="false" outlineLevel="0" collapsed="false">
      <c r="A411" s="4"/>
      <c r="B411" s="4" t="s">
        <v>753</v>
      </c>
      <c r="C411" s="4" t="s">
        <v>57</v>
      </c>
      <c r="D411" s="4" t="s">
        <v>754</v>
      </c>
      <c r="E411" s="4" t="s">
        <v>867</v>
      </c>
      <c r="F411" s="4" t="n">
        <v>1078</v>
      </c>
      <c r="G411" s="5" t="s">
        <v>1247</v>
      </c>
      <c r="H411" s="5" t="s">
        <v>61</v>
      </c>
      <c r="I411" s="4"/>
      <c r="J411" s="4"/>
      <c r="K411" s="4"/>
      <c r="L411" s="4" t="n">
        <v>25</v>
      </c>
      <c r="M411" s="4" t="n">
        <v>24</v>
      </c>
      <c r="N411" s="4" t="n">
        <v>1</v>
      </c>
      <c r="O411" s="4" t="n">
        <v>15</v>
      </c>
      <c r="P411" s="4" t="n">
        <v>9</v>
      </c>
      <c r="Q411" s="4" t="n">
        <v>8</v>
      </c>
      <c r="R411" s="6" t="n">
        <f aca="false">IF(N(L411)=0,0,O411/L411)</f>
        <v>0.6</v>
      </c>
      <c r="S411" s="4" t="n">
        <f aca="false">IF(R411="","",IF(R411&gt;=0.8,50,IF(R411&gt;=0.5,30,IF(R411&gt;=0.01,10,0))))</f>
        <v>30</v>
      </c>
      <c r="T411" s="4" t="n">
        <f aca="false">IF(TRIM(AI411)="Yes",2.5,0)</f>
        <v>2.5</v>
      </c>
      <c r="U411" s="4" t="n">
        <f aca="false">IF(TRIM(AJ411)="Yes",10,0)</f>
        <v>10</v>
      </c>
      <c r="V411" s="4" t="n">
        <f aca="false">IF(TRIM(AK411)="Yes",5,0)</f>
        <v>5</v>
      </c>
      <c r="W411" s="4" t="n">
        <f aca="false">IF(TRIM(AM411)="Yes",5,0)</f>
        <v>5</v>
      </c>
      <c r="X411" s="4" t="n">
        <f aca="false">IF(OR(TRIM(AN411)="Fully Available",TRIM(AN411)="Not Applicable"),5,IF(TRIM(AN411)="Partially Available",2.5,0))</f>
        <v>5</v>
      </c>
      <c r="Y411" s="4" t="n">
        <f aca="false">IF(TRIM(AO411)="Yes",5,0)</f>
        <v>5</v>
      </c>
      <c r="Z411" s="4" t="n">
        <f aca="false">IF(TRIM(AP411)="Yes",2.5,0)</f>
        <v>2.5</v>
      </c>
      <c r="AA411" s="4" t="n">
        <f aca="false">IF(TRIM(AQ411)="Yes",5,0)</f>
        <v>5</v>
      </c>
      <c r="AB411" s="4" t="n">
        <f aca="false">IF(OR(TRIM(AR411)="Yes",TRIM(AR411)="Not Applicable"),5,0)</f>
        <v>5</v>
      </c>
      <c r="AC411" s="4" t="n">
        <f aca="false">IF(TRIM(AS411)="Excellent",5,IF(TRIM(AS411)="Very Good",4,IF(TRIM(AS411)="Good",3,IF(TRIM(AS411)="Average",2,0))))</f>
        <v>4</v>
      </c>
      <c r="AD411" s="7" t="n">
        <f aca="false">IF(COUNT(S411:AC411)=0,"",SUM(S411:AC411))</f>
        <v>79</v>
      </c>
      <c r="AE411" s="7"/>
      <c r="AF411" s="8"/>
      <c r="AG411" s="5"/>
      <c r="AH411" s="4"/>
      <c r="AI411" s="4" t="s">
        <v>62</v>
      </c>
      <c r="AJ411" s="4" t="s">
        <v>62</v>
      </c>
      <c r="AK411" s="4" t="s">
        <v>62</v>
      </c>
      <c r="AL411" s="4" t="s">
        <v>63</v>
      </c>
      <c r="AM411" s="4" t="s">
        <v>62</v>
      </c>
      <c r="AN411" s="4" t="s">
        <v>64</v>
      </c>
      <c r="AO411" s="4" t="s">
        <v>62</v>
      </c>
      <c r="AP411" s="4" t="s">
        <v>62</v>
      </c>
      <c r="AQ411" s="4" t="s">
        <v>62</v>
      </c>
      <c r="AR411" s="4" t="s">
        <v>62</v>
      </c>
      <c r="AS411" s="4" t="s">
        <v>74</v>
      </c>
      <c r="AT411" s="4" t="n">
        <v>10</v>
      </c>
      <c r="AU411" s="4" t="s">
        <v>66</v>
      </c>
      <c r="AV411" s="4" t="s">
        <v>91</v>
      </c>
      <c r="AW411" s="4" t="s">
        <v>1251</v>
      </c>
      <c r="AX411" s="4" t="s">
        <v>1252</v>
      </c>
      <c r="AY411" s="4" t="n">
        <v>7</v>
      </c>
      <c r="AZ411" s="4" t="s">
        <v>62</v>
      </c>
      <c r="BA411" s="4" t="s">
        <v>1253</v>
      </c>
      <c r="BB411" s="4" t="s">
        <v>760</v>
      </c>
      <c r="BC411" s="6" t="n">
        <v>0.5333</v>
      </c>
      <c r="BD411" s="4" t="n">
        <v>88</v>
      </c>
    </row>
    <row r="412" customFormat="false" ht="29.85" hidden="false" customHeight="false" outlineLevel="0" collapsed="false">
      <c r="A412" s="4" t="n">
        <v>184</v>
      </c>
      <c r="B412" s="4" t="s">
        <v>753</v>
      </c>
      <c r="C412" s="4" t="s">
        <v>57</v>
      </c>
      <c r="D412" s="4" t="s">
        <v>754</v>
      </c>
      <c r="E412" s="4" t="s">
        <v>810</v>
      </c>
      <c r="F412" s="4" t="n">
        <v>1158</v>
      </c>
      <c r="G412" s="5" t="s">
        <v>1254</v>
      </c>
      <c r="H412" s="5" t="s">
        <v>190</v>
      </c>
      <c r="I412" s="4"/>
      <c r="J412" s="4"/>
      <c r="K412" s="4"/>
      <c r="L412" s="4" t="n">
        <v>20</v>
      </c>
      <c r="M412" s="4" t="n">
        <v>20</v>
      </c>
      <c r="N412" s="4" t="n">
        <v>0</v>
      </c>
      <c r="O412" s="4" t="n">
        <v>19</v>
      </c>
      <c r="P412" s="4" t="n">
        <v>1</v>
      </c>
      <c r="Q412" s="4" t="n">
        <v>8</v>
      </c>
      <c r="R412" s="6" t="n">
        <f aca="false">IF(N(L412)=0,0,O412/L412)</f>
        <v>0.95</v>
      </c>
      <c r="S412" s="4" t="n">
        <f aca="false">IF(R412="","",IF(R412&gt;=0.8,50,IF(R412&gt;=0.5,30,IF(R412&gt;=0.01,10,0))))</f>
        <v>50</v>
      </c>
      <c r="T412" s="4" t="n">
        <f aca="false">IF(TRIM(AI412)="Yes",2.5,0)</f>
        <v>2.5</v>
      </c>
      <c r="U412" s="4" t="n">
        <f aca="false">IF(TRIM(AJ412)="Yes",10,0)</f>
        <v>10</v>
      </c>
      <c r="V412" s="4" t="n">
        <f aca="false">IF(TRIM(AK412)="Yes",5,0)</f>
        <v>5</v>
      </c>
      <c r="W412" s="4" t="n">
        <f aca="false">IF(TRIM(AM412)="Yes",5,0)</f>
        <v>5</v>
      </c>
      <c r="X412" s="4" t="n">
        <f aca="false">IF(OR(TRIM(AN412)="Fully Available",TRIM(AN412)="Not Applicable"),5,IF(TRIM(AN412)="Partially Available",2.5,0))</f>
        <v>5</v>
      </c>
      <c r="Y412" s="4" t="n">
        <f aca="false">IF(TRIM(AO412)="Yes",5,0)</f>
        <v>5</v>
      </c>
      <c r="Z412" s="4" t="n">
        <f aca="false">IF(TRIM(AP412)="Yes",2.5,0)</f>
        <v>2.5</v>
      </c>
      <c r="AA412" s="4" t="n">
        <f aca="false">IF(TRIM(AQ412)="Yes",5,0)</f>
        <v>5</v>
      </c>
      <c r="AB412" s="4" t="n">
        <f aca="false">IF(OR(TRIM(AR412)="Yes",TRIM(AR412)="Not Applicable"),5,0)</f>
        <v>5</v>
      </c>
      <c r="AC412" s="4" t="n">
        <f aca="false">IF(TRIM(AS412)="Excellent",5,IF(TRIM(AS412)="Very Good",4,IF(TRIM(AS412)="Good",3,IF(TRIM(AS412)="Average",2,0))))</f>
        <v>3</v>
      </c>
      <c r="AD412" s="7" t="n">
        <f aca="false">IF(COUNT(S412:AC412)=0,"",SUM(S412:AC412))</f>
        <v>98</v>
      </c>
      <c r="AE412" s="7" t="n">
        <f aca="false">IF(COUNTIF($F$2:F412,F412)=1,IFERROR(AVERAGEIF($F:$F,F412,$AD:$AD),""),"")</f>
        <v>96.75</v>
      </c>
      <c r="AF412" s="8" t="str">
        <f aca="false">IF(AH412&lt;&gt;"",AH412,IF(AE412="","",IF(AE412&gt;=80,"Excellent",IF(AE412&gt;=70,"Very Good",IF(AE412&gt;=60,"Good",IF(AE412&gt;=50,"Average","Poor"))))))</f>
        <v>Excellent</v>
      </c>
      <c r="AG412" s="5"/>
      <c r="AH412" s="4"/>
      <c r="AI412" s="4" t="s">
        <v>62</v>
      </c>
      <c r="AJ412" s="4" t="s">
        <v>62</v>
      </c>
      <c r="AK412" s="4" t="s">
        <v>62</v>
      </c>
      <c r="AL412" s="4" t="s">
        <v>63</v>
      </c>
      <c r="AM412" s="4" t="s">
        <v>62</v>
      </c>
      <c r="AN412" s="4" t="s">
        <v>64</v>
      </c>
      <c r="AO412" s="4" t="s">
        <v>62</v>
      </c>
      <c r="AP412" s="4" t="s">
        <v>62</v>
      </c>
      <c r="AQ412" s="4" t="s">
        <v>62</v>
      </c>
      <c r="AR412" s="4" t="s">
        <v>62</v>
      </c>
      <c r="AS412" s="4" t="s">
        <v>185</v>
      </c>
      <c r="AT412" s="4" t="n">
        <v>4</v>
      </c>
      <c r="AU412" s="4" t="s">
        <v>112</v>
      </c>
      <c r="AV412" s="4" t="s">
        <v>128</v>
      </c>
      <c r="AW412" s="4" t="s">
        <v>1255</v>
      </c>
      <c r="AX412" s="4" t="s">
        <v>368</v>
      </c>
      <c r="AY412" s="4" t="n">
        <v>3</v>
      </c>
      <c r="AZ412" s="4" t="s">
        <v>62</v>
      </c>
      <c r="BA412" s="4" t="s">
        <v>1256</v>
      </c>
      <c r="BB412" s="4" t="s">
        <v>760</v>
      </c>
      <c r="BC412" s="6" t="n">
        <v>0.4211</v>
      </c>
      <c r="BD412" s="4" t="n">
        <v>90</v>
      </c>
    </row>
    <row r="413" customFormat="false" ht="29.85" hidden="false" customHeight="false" outlineLevel="0" collapsed="false">
      <c r="A413" s="4"/>
      <c r="B413" s="4" t="s">
        <v>753</v>
      </c>
      <c r="C413" s="4" t="s">
        <v>57</v>
      </c>
      <c r="D413" s="4" t="s">
        <v>754</v>
      </c>
      <c r="E413" s="4" t="s">
        <v>810</v>
      </c>
      <c r="F413" s="4" t="n">
        <v>1158</v>
      </c>
      <c r="G413" s="5" t="s">
        <v>1254</v>
      </c>
      <c r="H413" s="5" t="s">
        <v>61</v>
      </c>
      <c r="I413" s="4"/>
      <c r="J413" s="4"/>
      <c r="K413" s="4"/>
      <c r="L413" s="4" t="n">
        <v>15</v>
      </c>
      <c r="M413" s="4" t="n">
        <v>15</v>
      </c>
      <c r="N413" s="4" t="n">
        <v>0</v>
      </c>
      <c r="O413" s="4" t="n">
        <v>13</v>
      </c>
      <c r="P413" s="4" t="n">
        <v>2</v>
      </c>
      <c r="Q413" s="4" t="n">
        <v>8</v>
      </c>
      <c r="R413" s="6" t="n">
        <f aca="false">IF(N(L413)=0,0,O413/L413)</f>
        <v>0.866666666666667</v>
      </c>
      <c r="S413" s="4" t="n">
        <f aca="false">IF(R413="","",IF(R413&gt;=0.8,50,IF(R413&gt;=0.5,30,IF(R413&gt;=0.01,10,0))))</f>
        <v>50</v>
      </c>
      <c r="T413" s="4" t="n">
        <f aca="false">IF(TRIM(AI413)="Yes",2.5,0)</f>
        <v>2.5</v>
      </c>
      <c r="U413" s="4" t="n">
        <f aca="false">IF(TRIM(AJ413)="Yes",10,0)</f>
        <v>10</v>
      </c>
      <c r="V413" s="4" t="n">
        <f aca="false">IF(TRIM(AK413)="Yes",5,0)</f>
        <v>5</v>
      </c>
      <c r="W413" s="4" t="n">
        <f aca="false">IF(TRIM(AM413)="Yes",5,0)</f>
        <v>5</v>
      </c>
      <c r="X413" s="4" t="n">
        <f aca="false">IF(OR(TRIM(AN413)="Fully Available",TRIM(AN413)="Not Applicable"),5,IF(TRIM(AN413)="Partially Available",2.5,0))</f>
        <v>2.5</v>
      </c>
      <c r="Y413" s="4" t="n">
        <f aca="false">IF(TRIM(AO413)="Yes",5,0)</f>
        <v>5</v>
      </c>
      <c r="Z413" s="4" t="n">
        <f aca="false">IF(TRIM(AP413)="Yes",2.5,0)</f>
        <v>2.5</v>
      </c>
      <c r="AA413" s="4" t="n">
        <f aca="false">IF(TRIM(AQ413)="Yes",5,0)</f>
        <v>5</v>
      </c>
      <c r="AB413" s="4" t="n">
        <f aca="false">IF(OR(TRIM(AR413)="Yes",TRIM(AR413)="Not Applicable"),5,0)</f>
        <v>5</v>
      </c>
      <c r="AC413" s="4" t="n">
        <f aca="false">IF(TRIM(AS413)="Excellent",5,IF(TRIM(AS413)="Very Good",4,IF(TRIM(AS413)="Good",3,IF(TRIM(AS413)="Average",2,0))))</f>
        <v>3</v>
      </c>
      <c r="AD413" s="7" t="n">
        <f aca="false">IF(COUNT(S413:AC413)=0,"",SUM(S413:AC413))</f>
        <v>95.5</v>
      </c>
      <c r="AE413" s="7"/>
      <c r="AF413" s="8"/>
      <c r="AG413" s="5"/>
      <c r="AH413" s="4"/>
      <c r="AI413" s="4" t="s">
        <v>62</v>
      </c>
      <c r="AJ413" s="4" t="s">
        <v>62</v>
      </c>
      <c r="AK413" s="4" t="s">
        <v>62</v>
      </c>
      <c r="AL413" s="4" t="s">
        <v>63</v>
      </c>
      <c r="AM413" s="4" t="s">
        <v>62</v>
      </c>
      <c r="AN413" s="4" t="s">
        <v>147</v>
      </c>
      <c r="AO413" s="4" t="s">
        <v>62</v>
      </c>
      <c r="AP413" s="4" t="s">
        <v>62</v>
      </c>
      <c r="AQ413" s="4" t="s">
        <v>62</v>
      </c>
      <c r="AR413" s="4" t="s">
        <v>62</v>
      </c>
      <c r="AS413" s="4" t="s">
        <v>185</v>
      </c>
      <c r="AT413" s="4" t="n">
        <v>4</v>
      </c>
      <c r="AU413" s="4" t="s">
        <v>66</v>
      </c>
      <c r="AV413" s="4" t="s">
        <v>128</v>
      </c>
      <c r="AW413" s="4" t="s">
        <v>1257</v>
      </c>
      <c r="AX413" s="4" t="s">
        <v>1258</v>
      </c>
      <c r="AY413" s="4" t="n">
        <v>7</v>
      </c>
      <c r="AZ413" s="4" t="s">
        <v>62</v>
      </c>
      <c r="BA413" s="4" t="s">
        <v>1256</v>
      </c>
      <c r="BB413" s="4" t="s">
        <v>760</v>
      </c>
      <c r="BC413" s="6" t="n">
        <v>0.6154</v>
      </c>
      <c r="BD413" s="4" t="n">
        <v>90</v>
      </c>
    </row>
    <row r="414" customFormat="false" ht="129.1" hidden="false" customHeight="false" outlineLevel="0" collapsed="false">
      <c r="A414" s="4" t="n">
        <v>185</v>
      </c>
      <c r="B414" s="4" t="s">
        <v>753</v>
      </c>
      <c r="C414" s="4" t="s">
        <v>57</v>
      </c>
      <c r="D414" s="4" t="s">
        <v>754</v>
      </c>
      <c r="E414" s="4" t="s">
        <v>867</v>
      </c>
      <c r="F414" s="4" t="n">
        <v>4135</v>
      </c>
      <c r="G414" s="5" t="s">
        <v>1259</v>
      </c>
      <c r="H414" s="5" t="s">
        <v>261</v>
      </c>
      <c r="I414" s="4"/>
      <c r="J414" s="4"/>
      <c r="K414" s="4"/>
      <c r="L414" s="4" t="n">
        <v>20</v>
      </c>
      <c r="M414" s="4" t="n">
        <v>20</v>
      </c>
      <c r="N414" s="4" t="n">
        <v>0</v>
      </c>
      <c r="O414" s="4" t="n">
        <v>17</v>
      </c>
      <c r="P414" s="4" t="n">
        <v>3</v>
      </c>
      <c r="Q414" s="4" t="n">
        <v>8</v>
      </c>
      <c r="R414" s="6" t="n">
        <f aca="false">IF(N(L414)=0,0,O414/L414)</f>
        <v>0.85</v>
      </c>
      <c r="S414" s="4" t="n">
        <f aca="false">IF(R414="","",IF(R414&gt;=0.8,50,IF(R414&gt;=0.5,30,IF(R414&gt;=0.01,10,0))))</f>
        <v>50</v>
      </c>
      <c r="T414" s="4" t="n">
        <f aca="false">IF(TRIM(AI414)="Yes",2.5,0)</f>
        <v>0</v>
      </c>
      <c r="U414" s="4" t="n">
        <f aca="false">IF(TRIM(AJ414)="Yes",10,0)</f>
        <v>10</v>
      </c>
      <c r="V414" s="4" t="n">
        <f aca="false">IF(TRIM(AK414)="Yes",5,0)</f>
        <v>5</v>
      </c>
      <c r="W414" s="4" t="n">
        <f aca="false">IF(TRIM(AM414)="Yes",5,0)</f>
        <v>0</v>
      </c>
      <c r="X414" s="4" t="n">
        <f aca="false">IF(OR(TRIM(AN414)="Fully Available",TRIM(AN414)="Not Applicable"),5,IF(TRIM(AN414)="Partially Available",2.5,0))</f>
        <v>5</v>
      </c>
      <c r="Y414" s="4" t="n">
        <f aca="false">IF(TRIM(AO414)="Yes",5,0)</f>
        <v>0</v>
      </c>
      <c r="Z414" s="4" t="n">
        <f aca="false">IF(TRIM(AP414)="Yes",2.5,0)</f>
        <v>0</v>
      </c>
      <c r="AA414" s="4" t="n">
        <f aca="false">IF(TRIM(AQ414)="Yes",5,0)</f>
        <v>0</v>
      </c>
      <c r="AB414" s="4" t="n">
        <f aca="false">IF(OR(TRIM(AR414)="Yes",TRIM(AR414)="Not Applicable"),5,0)</f>
        <v>5</v>
      </c>
      <c r="AC414" s="4" t="n">
        <f aca="false">IF(TRIM(AS414)="Excellent",5,IF(TRIM(AS414)="Very Good",4,IF(TRIM(AS414)="Good",3,IF(TRIM(AS414)="Average",2,0))))</f>
        <v>3</v>
      </c>
      <c r="AD414" s="7" t="n">
        <f aca="false">IF(COUNT(S414:AC414)=0,"",SUM(S414:AC414))</f>
        <v>78</v>
      </c>
      <c r="AE414" s="7" t="n">
        <f aca="false">IF(COUNTIF($F$2:F414,F414)=1,IFERROR(AVERAGEIF($F:$F,F414,$AD:$AD),""),"")</f>
        <v>76.75</v>
      </c>
      <c r="AF414" s="8" t="str">
        <f aca="false">IF(AH414&lt;&gt;"",AH414,IF(AE414="","",IF(AE414&gt;=80,"Excellent",IF(AE414&gt;=70,"Very Good",IF(AE414&gt;=60,"Good",IF(AE414&gt;=50,"Average","Poor"))))))</f>
        <v>Very Good</v>
      </c>
      <c r="AG414" s="5"/>
      <c r="AH414" s="4"/>
      <c r="AI414" s="4" t="s">
        <v>82</v>
      </c>
      <c r="AJ414" s="4" t="s">
        <v>62</v>
      </c>
      <c r="AK414" s="4" t="s">
        <v>62</v>
      </c>
      <c r="AL414" s="4" t="s">
        <v>63</v>
      </c>
      <c r="AM414" s="4" t="s">
        <v>82</v>
      </c>
      <c r="AN414" s="4" t="s">
        <v>64</v>
      </c>
      <c r="AO414" s="4" t="s">
        <v>82</v>
      </c>
      <c r="AP414" s="4" t="s">
        <v>82</v>
      </c>
      <c r="AQ414" s="4" t="s">
        <v>82</v>
      </c>
      <c r="AR414" s="4" t="s">
        <v>73</v>
      </c>
      <c r="AS414" s="4" t="s">
        <v>185</v>
      </c>
      <c r="AT414" s="4" t="n">
        <v>6</v>
      </c>
      <c r="AU414" s="4" t="s">
        <v>66</v>
      </c>
      <c r="AV414" s="4" t="s">
        <v>186</v>
      </c>
      <c r="AW414" s="4" t="s">
        <v>1260</v>
      </c>
      <c r="AX414" s="4" t="s">
        <v>1261</v>
      </c>
      <c r="AY414" s="4" t="n">
        <v>4</v>
      </c>
      <c r="AZ414" s="4" t="s">
        <v>62</v>
      </c>
      <c r="BA414" s="4" t="s">
        <v>1262</v>
      </c>
      <c r="BB414" s="4" t="s">
        <v>760</v>
      </c>
      <c r="BC414" s="6" t="n">
        <v>0.4706</v>
      </c>
      <c r="BD414" s="4" t="n">
        <v>77</v>
      </c>
    </row>
    <row r="415" customFormat="false" ht="129.1" hidden="false" customHeight="false" outlineLevel="0" collapsed="false">
      <c r="A415" s="4"/>
      <c r="B415" s="4" t="s">
        <v>753</v>
      </c>
      <c r="C415" s="4" t="s">
        <v>57</v>
      </c>
      <c r="D415" s="4" t="s">
        <v>754</v>
      </c>
      <c r="E415" s="4" t="s">
        <v>867</v>
      </c>
      <c r="F415" s="4" t="n">
        <v>4135</v>
      </c>
      <c r="G415" s="5" t="s">
        <v>1259</v>
      </c>
      <c r="H415" s="5" t="s">
        <v>61</v>
      </c>
      <c r="I415" s="4"/>
      <c r="J415" s="4"/>
      <c r="K415" s="4"/>
      <c r="L415" s="4" t="n">
        <v>15</v>
      </c>
      <c r="M415" s="4" t="n">
        <v>15</v>
      </c>
      <c r="N415" s="4" t="n">
        <v>0</v>
      </c>
      <c r="O415" s="4" t="n">
        <v>14</v>
      </c>
      <c r="P415" s="4" t="n">
        <v>1</v>
      </c>
      <c r="Q415" s="4" t="n">
        <v>8</v>
      </c>
      <c r="R415" s="6" t="n">
        <f aca="false">IF(N(L415)=0,0,O415/L415)</f>
        <v>0.933333333333333</v>
      </c>
      <c r="S415" s="4" t="n">
        <f aca="false">IF(R415="","",IF(R415&gt;=0.8,50,IF(R415&gt;=0.5,30,IF(R415&gt;=0.01,10,0))))</f>
        <v>50</v>
      </c>
      <c r="T415" s="4" t="n">
        <f aca="false">IF(TRIM(AI415)="Yes",2.5,0)</f>
        <v>0</v>
      </c>
      <c r="U415" s="4" t="n">
        <f aca="false">IF(TRIM(AJ415)="Yes",10,0)</f>
        <v>10</v>
      </c>
      <c r="V415" s="4" t="n">
        <f aca="false">IF(TRIM(AK415)="Yes",5,0)</f>
        <v>5</v>
      </c>
      <c r="W415" s="4" t="n">
        <f aca="false">IF(TRIM(AM415)="Yes",5,0)</f>
        <v>0</v>
      </c>
      <c r="X415" s="4" t="n">
        <f aca="false">IF(OR(TRIM(AN415)="Fully Available",TRIM(AN415)="Not Applicable"),5,IF(TRIM(AN415)="Partially Available",2.5,0))</f>
        <v>2.5</v>
      </c>
      <c r="Y415" s="4" t="n">
        <f aca="false">IF(TRIM(AO415)="Yes",5,0)</f>
        <v>0</v>
      </c>
      <c r="Z415" s="4" t="n">
        <f aca="false">IF(TRIM(AP415)="Yes",2.5,0)</f>
        <v>0</v>
      </c>
      <c r="AA415" s="4" t="n">
        <f aca="false">IF(TRIM(AQ415)="Yes",5,0)</f>
        <v>0</v>
      </c>
      <c r="AB415" s="4" t="n">
        <f aca="false">IF(OR(TRIM(AR415)="Yes",TRIM(AR415)="Not Applicable"),5,0)</f>
        <v>5</v>
      </c>
      <c r="AC415" s="4" t="n">
        <f aca="false">IF(TRIM(AS415)="Excellent",5,IF(TRIM(AS415)="Very Good",4,IF(TRIM(AS415)="Good",3,IF(TRIM(AS415)="Average",2,0))))</f>
        <v>3</v>
      </c>
      <c r="AD415" s="7" t="n">
        <f aca="false">IF(COUNT(S415:AC415)=0,"",SUM(S415:AC415))</f>
        <v>75.5</v>
      </c>
      <c r="AE415" s="7"/>
      <c r="AF415" s="8"/>
      <c r="AG415" s="5"/>
      <c r="AH415" s="4"/>
      <c r="AI415" s="4" t="s">
        <v>82</v>
      </c>
      <c r="AJ415" s="4" t="s">
        <v>62</v>
      </c>
      <c r="AK415" s="4" t="s">
        <v>62</v>
      </c>
      <c r="AL415" s="4" t="s">
        <v>63</v>
      </c>
      <c r="AM415" s="4" t="s">
        <v>82</v>
      </c>
      <c r="AN415" s="4" t="s">
        <v>147</v>
      </c>
      <c r="AO415" s="4" t="s">
        <v>82</v>
      </c>
      <c r="AP415" s="4" t="s">
        <v>82</v>
      </c>
      <c r="AQ415" s="4" t="s">
        <v>82</v>
      </c>
      <c r="AR415" s="4" t="s">
        <v>62</v>
      </c>
      <c r="AS415" s="4" t="s">
        <v>185</v>
      </c>
      <c r="AT415" s="4" t="n">
        <v>4</v>
      </c>
      <c r="AU415" s="4" t="s">
        <v>66</v>
      </c>
      <c r="AV415" s="4" t="s">
        <v>186</v>
      </c>
      <c r="AW415" s="4" t="s">
        <v>1263</v>
      </c>
      <c r="AX415" s="4" t="s">
        <v>392</v>
      </c>
      <c r="AY415" s="4" t="n">
        <v>1</v>
      </c>
      <c r="AZ415" s="4" t="s">
        <v>62</v>
      </c>
      <c r="BA415" s="4" t="s">
        <v>1262</v>
      </c>
      <c r="BB415" s="4" t="s">
        <v>760</v>
      </c>
      <c r="BC415" s="6" t="n">
        <v>0.5714</v>
      </c>
      <c r="BD415" s="4" t="n">
        <v>77</v>
      </c>
    </row>
    <row r="416" customFormat="false" ht="44" hidden="false" customHeight="false" outlineLevel="0" collapsed="false">
      <c r="A416" s="4" t="n">
        <v>186</v>
      </c>
      <c r="B416" s="4" t="s">
        <v>753</v>
      </c>
      <c r="C416" s="4" t="s">
        <v>57</v>
      </c>
      <c r="D416" s="4" t="s">
        <v>754</v>
      </c>
      <c r="E416" s="4" t="s">
        <v>810</v>
      </c>
      <c r="F416" s="4" t="n">
        <v>5751</v>
      </c>
      <c r="G416" s="5" t="s">
        <v>1264</v>
      </c>
      <c r="H416" s="5" t="s">
        <v>1265</v>
      </c>
      <c r="I416" s="4"/>
      <c r="J416" s="4"/>
      <c r="K416" s="4"/>
      <c r="L416" s="4" t="n">
        <v>20</v>
      </c>
      <c r="M416" s="4" t="n">
        <v>20</v>
      </c>
      <c r="N416" s="4" t="n">
        <v>0</v>
      </c>
      <c r="O416" s="4" t="n">
        <v>15</v>
      </c>
      <c r="P416" s="4" t="n">
        <v>5</v>
      </c>
      <c r="Q416" s="4" t="n">
        <v>8</v>
      </c>
      <c r="R416" s="6" t="n">
        <f aca="false">IF(N(L416)=0,0,O416/L416)</f>
        <v>0.75</v>
      </c>
      <c r="S416" s="4" t="n">
        <f aca="false">IF(R416="","",IF(R416&gt;=0.8,50,IF(R416&gt;=0.5,30,IF(R416&gt;=0.01,10,0))))</f>
        <v>30</v>
      </c>
      <c r="T416" s="4" t="n">
        <f aca="false">IF(TRIM(AI416)="Yes",2.5,0)</f>
        <v>2.5</v>
      </c>
      <c r="U416" s="4" t="n">
        <f aca="false">IF(TRIM(AJ416)="Yes",10,0)</f>
        <v>10</v>
      </c>
      <c r="V416" s="4" t="n">
        <f aca="false">IF(TRIM(AK416)="Yes",5,0)</f>
        <v>5</v>
      </c>
      <c r="W416" s="4" t="n">
        <f aca="false">IF(TRIM(AM416)="Yes",5,0)</f>
        <v>5</v>
      </c>
      <c r="X416" s="4" t="n">
        <f aca="false">IF(OR(TRIM(AN416)="Fully Available",TRIM(AN416)="Not Applicable"),5,IF(TRIM(AN416)="Partially Available",2.5,0))</f>
        <v>5</v>
      </c>
      <c r="Y416" s="4" t="n">
        <f aca="false">IF(TRIM(AO416)="Yes",5,0)</f>
        <v>5</v>
      </c>
      <c r="Z416" s="4" t="n">
        <f aca="false">IF(TRIM(AP416)="Yes",2.5,0)</f>
        <v>2.5</v>
      </c>
      <c r="AA416" s="4" t="n">
        <f aca="false">IF(TRIM(AQ416)="Yes",5,0)</f>
        <v>5</v>
      </c>
      <c r="AB416" s="4" t="n">
        <f aca="false">IF(OR(TRIM(AR416)="Yes",TRIM(AR416)="Not Applicable"),5,0)</f>
        <v>5</v>
      </c>
      <c r="AC416" s="4" t="n">
        <f aca="false">IF(TRIM(AS416)="Excellent",5,IF(TRIM(AS416)="Very Good",4,IF(TRIM(AS416)="Good",3,IF(TRIM(AS416)="Average",2,0))))</f>
        <v>3</v>
      </c>
      <c r="AD416" s="7" t="n">
        <f aca="false">IF(COUNT(S416:AC416)=0,"",SUM(S416:AC416))</f>
        <v>78</v>
      </c>
      <c r="AE416" s="7" t="n">
        <f aca="false">IF(COUNTIF($F$2:F416,F416)=1,IFERROR(AVERAGEIF($F:$F,F416,$AD:$AD),""),"")</f>
        <v>78</v>
      </c>
      <c r="AF416" s="8" t="str">
        <f aca="false">IF(AH416&lt;&gt;"",AH416,IF(AE416="","",IF(AE416&gt;=80,"Excellent",IF(AE416&gt;=70,"Very Good",IF(AE416&gt;=60,"Good",IF(AE416&gt;=50,"Average","Poor"))))))</f>
        <v>Very Good</v>
      </c>
      <c r="AG416" s="5"/>
      <c r="AH416" s="4"/>
      <c r="AI416" s="4" t="s">
        <v>62</v>
      </c>
      <c r="AJ416" s="4" t="s">
        <v>62</v>
      </c>
      <c r="AK416" s="4" t="s">
        <v>62</v>
      </c>
      <c r="AL416" s="4" t="s">
        <v>63</v>
      </c>
      <c r="AM416" s="4" t="s">
        <v>62</v>
      </c>
      <c r="AN416" s="4" t="s">
        <v>64</v>
      </c>
      <c r="AO416" s="4" t="s">
        <v>62</v>
      </c>
      <c r="AP416" s="4" t="s">
        <v>62</v>
      </c>
      <c r="AQ416" s="4" t="s">
        <v>62</v>
      </c>
      <c r="AR416" s="4" t="s">
        <v>62</v>
      </c>
      <c r="AS416" s="4" t="s">
        <v>185</v>
      </c>
      <c r="AT416" s="4" t="n">
        <v>5</v>
      </c>
      <c r="AU416" s="4" t="s">
        <v>112</v>
      </c>
      <c r="AV416" s="4" t="s">
        <v>151</v>
      </c>
      <c r="AW416" s="4" t="s">
        <v>1266</v>
      </c>
      <c r="AX416" s="4" t="s">
        <v>1267</v>
      </c>
      <c r="AY416" s="4" t="n">
        <v>5</v>
      </c>
      <c r="AZ416" s="4" t="s">
        <v>62</v>
      </c>
      <c r="BA416" s="4" t="s">
        <v>185</v>
      </c>
      <c r="BB416" s="4" t="s">
        <v>760</v>
      </c>
      <c r="BC416" s="6" t="n">
        <v>0.5333</v>
      </c>
      <c r="BD416" s="4" t="n">
        <v>91</v>
      </c>
    </row>
    <row r="417" customFormat="false" ht="29.85" hidden="false" customHeight="false" outlineLevel="0" collapsed="false">
      <c r="A417" s="4"/>
      <c r="B417" s="4" t="s">
        <v>753</v>
      </c>
      <c r="C417" s="4" t="s">
        <v>57</v>
      </c>
      <c r="D417" s="4" t="s">
        <v>754</v>
      </c>
      <c r="E417" s="4" t="s">
        <v>810</v>
      </c>
      <c r="F417" s="4" t="n">
        <v>5751</v>
      </c>
      <c r="G417" s="5" t="s">
        <v>1264</v>
      </c>
      <c r="H417" s="5" t="s">
        <v>693</v>
      </c>
      <c r="I417" s="4"/>
      <c r="J417" s="4"/>
      <c r="K417" s="4"/>
      <c r="L417" s="4" t="n">
        <v>20</v>
      </c>
      <c r="M417" s="4" t="n">
        <v>20</v>
      </c>
      <c r="N417" s="4" t="n">
        <v>0</v>
      </c>
      <c r="O417" s="4" t="n">
        <v>13</v>
      </c>
      <c r="P417" s="4" t="n">
        <v>7</v>
      </c>
      <c r="Q417" s="4" t="n">
        <v>8</v>
      </c>
      <c r="R417" s="6" t="n">
        <f aca="false">IF(N(L417)=0,0,O417/L417)</f>
        <v>0.65</v>
      </c>
      <c r="S417" s="4" t="n">
        <f aca="false">IF(R417="","",IF(R417&gt;=0.8,50,IF(R417&gt;=0.5,30,IF(R417&gt;=0.01,10,0))))</f>
        <v>30</v>
      </c>
      <c r="T417" s="4" t="n">
        <f aca="false">IF(TRIM(AI417)="Yes",2.5,0)</f>
        <v>2.5</v>
      </c>
      <c r="U417" s="4" t="n">
        <f aca="false">IF(TRIM(AJ417)="Yes",10,0)</f>
        <v>10</v>
      </c>
      <c r="V417" s="4" t="n">
        <f aca="false">IF(TRIM(AK417)="Yes",5,0)</f>
        <v>5</v>
      </c>
      <c r="W417" s="4" t="n">
        <f aca="false">IF(TRIM(AM417)="Yes",5,0)</f>
        <v>5</v>
      </c>
      <c r="X417" s="4" t="n">
        <f aca="false">IF(OR(TRIM(AN417)="Fully Available",TRIM(AN417)="Not Applicable"),5,IF(TRIM(AN417)="Partially Available",2.5,0))</f>
        <v>5</v>
      </c>
      <c r="Y417" s="4" t="n">
        <f aca="false">IF(TRIM(AO417)="Yes",5,0)</f>
        <v>5</v>
      </c>
      <c r="Z417" s="4" t="n">
        <f aca="false">IF(TRIM(AP417)="Yes",2.5,0)</f>
        <v>2.5</v>
      </c>
      <c r="AA417" s="4" t="n">
        <f aca="false">IF(TRIM(AQ417)="Yes",5,0)</f>
        <v>5</v>
      </c>
      <c r="AB417" s="4" t="n">
        <f aca="false">IF(OR(TRIM(AR417)="Yes",TRIM(AR417)="Not Applicable"),5,0)</f>
        <v>5</v>
      </c>
      <c r="AC417" s="4" t="n">
        <f aca="false">IF(TRIM(AS417)="Excellent",5,IF(TRIM(AS417)="Very Good",4,IF(TRIM(AS417)="Good",3,IF(TRIM(AS417)="Average",2,0))))</f>
        <v>3</v>
      </c>
      <c r="AD417" s="7" t="n">
        <f aca="false">IF(COUNT(S417:AC417)=0,"",SUM(S417:AC417))</f>
        <v>78</v>
      </c>
      <c r="AE417" s="7"/>
      <c r="AF417" s="8"/>
      <c r="AG417" s="5"/>
      <c r="AH417" s="4"/>
      <c r="AI417" s="4" t="s">
        <v>62</v>
      </c>
      <c r="AJ417" s="4" t="s">
        <v>62</v>
      </c>
      <c r="AK417" s="4" t="s">
        <v>62</v>
      </c>
      <c r="AL417" s="4" t="s">
        <v>63</v>
      </c>
      <c r="AM417" s="4" t="s">
        <v>62</v>
      </c>
      <c r="AN417" s="4" t="s">
        <v>64</v>
      </c>
      <c r="AO417" s="4" t="s">
        <v>62</v>
      </c>
      <c r="AP417" s="4" t="s">
        <v>62</v>
      </c>
      <c r="AQ417" s="4" t="s">
        <v>62</v>
      </c>
      <c r="AR417" s="4" t="s">
        <v>62</v>
      </c>
      <c r="AS417" s="4" t="s">
        <v>185</v>
      </c>
      <c r="AT417" s="4" t="n">
        <v>6</v>
      </c>
      <c r="AU417" s="4" t="s">
        <v>112</v>
      </c>
      <c r="AV417" s="4" t="s">
        <v>151</v>
      </c>
      <c r="AW417" s="4" t="s">
        <v>1268</v>
      </c>
      <c r="AX417" s="4" t="s">
        <v>320</v>
      </c>
      <c r="AY417" s="4" t="n">
        <v>3</v>
      </c>
      <c r="AZ417" s="4" t="s">
        <v>62</v>
      </c>
      <c r="BA417" s="4" t="s">
        <v>185</v>
      </c>
      <c r="BB417" s="4" t="s">
        <v>760</v>
      </c>
      <c r="BC417" s="6" t="n">
        <v>0.6154</v>
      </c>
      <c r="BD417" s="4" t="n">
        <v>91</v>
      </c>
    </row>
    <row r="418" customFormat="false" ht="228.35" hidden="false" customHeight="false" outlineLevel="0" collapsed="false">
      <c r="A418" s="4" t="n">
        <v>187</v>
      </c>
      <c r="B418" s="4" t="s">
        <v>753</v>
      </c>
      <c r="C418" s="4" t="s">
        <v>57</v>
      </c>
      <c r="D418" s="4" t="s">
        <v>754</v>
      </c>
      <c r="E418" s="4" t="s">
        <v>828</v>
      </c>
      <c r="F418" s="4" t="n">
        <v>521</v>
      </c>
      <c r="G418" s="5" t="s">
        <v>1269</v>
      </c>
      <c r="H418" s="5" t="s">
        <v>919</v>
      </c>
      <c r="I418" s="4"/>
      <c r="J418" s="4"/>
      <c r="K418" s="4"/>
      <c r="L418" s="4" t="n">
        <v>20</v>
      </c>
      <c r="M418" s="4" t="n">
        <v>20</v>
      </c>
      <c r="N418" s="4" t="n">
        <v>0</v>
      </c>
      <c r="O418" s="4" t="n">
        <v>19</v>
      </c>
      <c r="P418" s="4" t="n">
        <v>1</v>
      </c>
      <c r="Q418" s="4" t="n">
        <v>8</v>
      </c>
      <c r="R418" s="6" t="n">
        <f aca="false">IF(N(L418)=0,0,O418/L418)</f>
        <v>0.95</v>
      </c>
      <c r="S418" s="4" t="n">
        <f aca="false">IF(R418="","",IF(R418&gt;=0.8,50,IF(R418&gt;=0.5,30,IF(R418&gt;=0.01,10,0))))</f>
        <v>50</v>
      </c>
      <c r="T418" s="4" t="n">
        <f aca="false">IF(TRIM(AI418)="Yes",2.5,0)</f>
        <v>2.5</v>
      </c>
      <c r="U418" s="4" t="n">
        <f aca="false">IF(TRIM(AJ418)="Yes",10,0)</f>
        <v>10</v>
      </c>
      <c r="V418" s="4" t="n">
        <f aca="false">IF(TRIM(AK418)="Yes",5,0)</f>
        <v>5</v>
      </c>
      <c r="W418" s="4" t="n">
        <f aca="false">IF(TRIM(AM418)="Yes",5,0)</f>
        <v>5</v>
      </c>
      <c r="X418" s="4" t="n">
        <f aca="false">IF(OR(TRIM(AN418)="Fully Available",TRIM(AN418)="Not Applicable"),5,IF(TRIM(AN418)="Partially Available",2.5,0))</f>
        <v>5</v>
      </c>
      <c r="Y418" s="4" t="n">
        <f aca="false">IF(TRIM(AO418)="Yes",5,0)</f>
        <v>5</v>
      </c>
      <c r="Z418" s="4" t="n">
        <f aca="false">IF(TRIM(AP418)="Yes",2.5,0)</f>
        <v>2.5</v>
      </c>
      <c r="AA418" s="4" t="n">
        <f aca="false">IF(TRIM(AQ418)="Yes",5,0)</f>
        <v>5</v>
      </c>
      <c r="AB418" s="4" t="n">
        <f aca="false">IF(OR(TRIM(AR418)="Yes",TRIM(AR418)="Not Applicable"),5,0)</f>
        <v>5</v>
      </c>
      <c r="AC418" s="4" t="n">
        <f aca="false">IF(TRIM(AS418)="Excellent",5,IF(TRIM(AS418)="Very Good",4,IF(TRIM(AS418)="Good",3,IF(TRIM(AS418)="Average",2,0))))</f>
        <v>5</v>
      </c>
      <c r="AD418" s="7" t="n">
        <f aca="false">IF(COUNT(S418:AC418)=0,"",SUM(S418:AC418))</f>
        <v>100</v>
      </c>
      <c r="AE418" s="7" t="n">
        <f aca="false">IF(COUNTIF($F$2:F418,F418)=1,IFERROR(AVERAGEIF($F:$F,F418,$AD:$AD),""),"")</f>
        <v>100</v>
      </c>
      <c r="AF418" s="8" t="str">
        <f aca="false">IF(AH418&lt;&gt;"",AH418,IF(AE418="","",IF(AE418&gt;=80,"Excellent",IF(AE418&gt;=70,"Very Good",IF(AE418&gt;=60,"Good",IF(AE418&gt;=50,"Average","Poor"))))))</f>
        <v>Excellent</v>
      </c>
      <c r="AG418" s="5"/>
      <c r="AH418" s="4"/>
      <c r="AI418" s="4" t="s">
        <v>62</v>
      </c>
      <c r="AJ418" s="4" t="s">
        <v>62</v>
      </c>
      <c r="AK418" s="4" t="s">
        <v>62</v>
      </c>
      <c r="AL418" s="4" t="s">
        <v>63</v>
      </c>
      <c r="AM418" s="4" t="s">
        <v>62</v>
      </c>
      <c r="AN418" s="4" t="s">
        <v>64</v>
      </c>
      <c r="AO418" s="4" t="s">
        <v>62</v>
      </c>
      <c r="AP418" s="4" t="s">
        <v>62</v>
      </c>
      <c r="AQ418" s="4" t="s">
        <v>62</v>
      </c>
      <c r="AR418" s="4" t="s">
        <v>62</v>
      </c>
      <c r="AS418" s="4" t="s">
        <v>65</v>
      </c>
      <c r="AT418" s="4" t="n">
        <v>22</v>
      </c>
      <c r="AU418" s="4" t="s">
        <v>66</v>
      </c>
      <c r="AV418" s="4" t="s">
        <v>288</v>
      </c>
      <c r="AW418" s="4" t="s">
        <v>1270</v>
      </c>
      <c r="AX418" s="4" t="s">
        <v>1271</v>
      </c>
      <c r="AY418" s="4" t="n">
        <v>10</v>
      </c>
      <c r="AZ418" s="4" t="s">
        <v>62</v>
      </c>
      <c r="BA418" s="4" t="s">
        <v>1272</v>
      </c>
      <c r="BB418" s="4" t="s">
        <v>760</v>
      </c>
      <c r="BC418" s="6" t="n">
        <v>0.4211</v>
      </c>
      <c r="BD418" s="4" t="n">
        <v>95</v>
      </c>
    </row>
    <row r="419" customFormat="false" ht="228.35" hidden="false" customHeight="false" outlineLevel="0" collapsed="false">
      <c r="A419" s="4"/>
      <c r="B419" s="4" t="s">
        <v>753</v>
      </c>
      <c r="C419" s="4" t="s">
        <v>57</v>
      </c>
      <c r="D419" s="4" t="s">
        <v>754</v>
      </c>
      <c r="E419" s="4" t="s">
        <v>828</v>
      </c>
      <c r="F419" s="4" t="n">
        <v>521</v>
      </c>
      <c r="G419" s="5" t="s">
        <v>1269</v>
      </c>
      <c r="H419" s="5" t="s">
        <v>127</v>
      </c>
      <c r="I419" s="4"/>
      <c r="J419" s="4"/>
      <c r="K419" s="4"/>
      <c r="L419" s="4" t="n">
        <v>20</v>
      </c>
      <c r="M419" s="4" t="n">
        <v>20</v>
      </c>
      <c r="N419" s="4" t="n">
        <v>0</v>
      </c>
      <c r="O419" s="4" t="n">
        <v>18</v>
      </c>
      <c r="P419" s="4" t="n">
        <v>2</v>
      </c>
      <c r="Q419" s="4" t="n">
        <v>8</v>
      </c>
      <c r="R419" s="6" t="n">
        <f aca="false">IF(N(L419)=0,0,O419/L419)</f>
        <v>0.9</v>
      </c>
      <c r="S419" s="4" t="n">
        <f aca="false">IF(R419="","",IF(R419&gt;=0.8,50,IF(R419&gt;=0.5,30,IF(R419&gt;=0.01,10,0))))</f>
        <v>50</v>
      </c>
      <c r="T419" s="4" t="n">
        <f aca="false">IF(TRIM(AI419)="Yes",2.5,0)</f>
        <v>2.5</v>
      </c>
      <c r="U419" s="4" t="n">
        <f aca="false">IF(TRIM(AJ419)="Yes",10,0)</f>
        <v>10</v>
      </c>
      <c r="V419" s="4" t="n">
        <f aca="false">IF(TRIM(AK419)="Yes",5,0)</f>
        <v>5</v>
      </c>
      <c r="W419" s="4" t="n">
        <f aca="false">IF(TRIM(AM419)="Yes",5,0)</f>
        <v>5</v>
      </c>
      <c r="X419" s="4" t="n">
        <f aca="false">IF(OR(TRIM(AN419)="Fully Available",TRIM(AN419)="Not Applicable"),5,IF(TRIM(AN419)="Partially Available",2.5,0))</f>
        <v>5</v>
      </c>
      <c r="Y419" s="4" t="n">
        <f aca="false">IF(TRIM(AO419)="Yes",5,0)</f>
        <v>5</v>
      </c>
      <c r="Z419" s="4" t="n">
        <f aca="false">IF(TRIM(AP419)="Yes",2.5,0)</f>
        <v>2.5</v>
      </c>
      <c r="AA419" s="4" t="n">
        <f aca="false">IF(TRIM(AQ419)="Yes",5,0)</f>
        <v>5</v>
      </c>
      <c r="AB419" s="4" t="n">
        <f aca="false">IF(OR(TRIM(AR419)="Yes",TRIM(AR419)="Not Applicable"),5,0)</f>
        <v>5</v>
      </c>
      <c r="AC419" s="4" t="n">
        <f aca="false">IF(TRIM(AS419)="Excellent",5,IF(TRIM(AS419)="Very Good",4,IF(TRIM(AS419)="Good",3,IF(TRIM(AS419)="Average",2,0))))</f>
        <v>5</v>
      </c>
      <c r="AD419" s="7" t="n">
        <f aca="false">IF(COUNT(S419:AC419)=0,"",SUM(S419:AC419))</f>
        <v>100</v>
      </c>
      <c r="AE419" s="7"/>
      <c r="AF419" s="8"/>
      <c r="AG419" s="5"/>
      <c r="AH419" s="4"/>
      <c r="AI419" s="4" t="s">
        <v>62</v>
      </c>
      <c r="AJ419" s="4" t="s">
        <v>62</v>
      </c>
      <c r="AK419" s="4" t="s">
        <v>62</v>
      </c>
      <c r="AL419" s="4" t="s">
        <v>63</v>
      </c>
      <c r="AM419" s="4" t="s">
        <v>62</v>
      </c>
      <c r="AN419" s="4" t="s">
        <v>64</v>
      </c>
      <c r="AO419" s="4" t="s">
        <v>62</v>
      </c>
      <c r="AP419" s="4" t="s">
        <v>62</v>
      </c>
      <c r="AQ419" s="4" t="s">
        <v>62</v>
      </c>
      <c r="AR419" s="4" t="s">
        <v>62</v>
      </c>
      <c r="AS419" s="4" t="s">
        <v>65</v>
      </c>
      <c r="AT419" s="4" t="n">
        <v>18</v>
      </c>
      <c r="AU419" s="4" t="s">
        <v>66</v>
      </c>
      <c r="AV419" s="4" t="s">
        <v>288</v>
      </c>
      <c r="AW419" s="4" t="s">
        <v>1270</v>
      </c>
      <c r="AX419" s="4" t="s">
        <v>1271</v>
      </c>
      <c r="AY419" s="4" t="n">
        <v>10</v>
      </c>
      <c r="AZ419" s="4" t="s">
        <v>62</v>
      </c>
      <c r="BA419" s="4" t="s">
        <v>1272</v>
      </c>
      <c r="BB419" s="4" t="s">
        <v>760</v>
      </c>
      <c r="BC419" s="6" t="n">
        <v>0.4444</v>
      </c>
      <c r="BD419" s="4" t="n">
        <v>95</v>
      </c>
    </row>
    <row r="420" customFormat="false" ht="157.45" hidden="false" customHeight="false" outlineLevel="0" collapsed="false">
      <c r="A420" s="4" t="n">
        <v>188</v>
      </c>
      <c r="B420" s="4" t="s">
        <v>753</v>
      </c>
      <c r="C420" s="4" t="s">
        <v>57</v>
      </c>
      <c r="D420" s="4" t="s">
        <v>754</v>
      </c>
      <c r="E420" s="4" t="s">
        <v>779</v>
      </c>
      <c r="F420" s="4" t="n">
        <v>876</v>
      </c>
      <c r="G420" s="5" t="s">
        <v>1273</v>
      </c>
      <c r="H420" s="5" t="s">
        <v>61</v>
      </c>
      <c r="I420" s="4"/>
      <c r="J420" s="4"/>
      <c r="K420" s="4"/>
      <c r="L420" s="4" t="n">
        <v>15</v>
      </c>
      <c r="M420" s="4" t="n">
        <v>15</v>
      </c>
      <c r="N420" s="4" t="n">
        <v>0</v>
      </c>
      <c r="O420" s="4" t="n">
        <v>15</v>
      </c>
      <c r="P420" s="4" t="n">
        <v>0</v>
      </c>
      <c r="Q420" s="4" t="n">
        <v>8</v>
      </c>
      <c r="R420" s="6" t="n">
        <f aca="false">IF(N(L420)=0,0,O420/L420)</f>
        <v>1</v>
      </c>
      <c r="S420" s="4" t="n">
        <f aca="false">IF(R420="","",IF(R420&gt;=0.8,50,IF(R420&gt;=0.5,30,IF(R420&gt;=0.01,10,0))))</f>
        <v>50</v>
      </c>
      <c r="T420" s="4" t="n">
        <f aca="false">IF(TRIM(AI420)="Yes",2.5,0)</f>
        <v>2.5</v>
      </c>
      <c r="U420" s="4" t="n">
        <f aca="false">IF(TRIM(AJ420)="Yes",10,0)</f>
        <v>0</v>
      </c>
      <c r="V420" s="4" t="n">
        <f aca="false">IF(TRIM(AK420)="Yes",5,0)</f>
        <v>0</v>
      </c>
      <c r="W420" s="4" t="n">
        <f aca="false">IF(TRIM(AM420)="Yes",5,0)</f>
        <v>5</v>
      </c>
      <c r="X420" s="4" t="n">
        <f aca="false">IF(OR(TRIM(AN420)="Fully Available",TRIM(AN420)="Not Applicable"),5,IF(TRIM(AN420)="Partially Available",2.5,0))</f>
        <v>5</v>
      </c>
      <c r="Y420" s="4" t="n">
        <f aca="false">IF(TRIM(AO420)="Yes",5,0)</f>
        <v>5</v>
      </c>
      <c r="Z420" s="4" t="n">
        <f aca="false">IF(TRIM(AP420)="Yes",2.5,0)</f>
        <v>2.5</v>
      </c>
      <c r="AA420" s="4" t="n">
        <f aca="false">IF(TRIM(AQ420)="Yes",5,0)</f>
        <v>5</v>
      </c>
      <c r="AB420" s="4" t="n">
        <f aca="false">IF(OR(TRIM(AR420)="Yes",TRIM(AR420)="Not Applicable"),5,0)</f>
        <v>5</v>
      </c>
      <c r="AC420" s="4" t="n">
        <f aca="false">IF(TRIM(AS420)="Excellent",5,IF(TRIM(AS420)="Very Good",4,IF(TRIM(AS420)="Good",3,IF(TRIM(AS420)="Average",2,0))))</f>
        <v>4</v>
      </c>
      <c r="AD420" s="7" t="n">
        <f aca="false">IF(COUNT(S420:AC420)=0,"",SUM(S420:AC420))</f>
        <v>84</v>
      </c>
      <c r="AE420" s="7" t="n">
        <f aca="false">IF(COUNTIF($F$2:F420,F420)=1,IFERROR(AVERAGEIF($F:$F,F420,$AD:$AD),""),"")</f>
        <v>84</v>
      </c>
      <c r="AF420" s="8" t="str">
        <f aca="false">IF(AH420&lt;&gt;"",AH420,IF(AE420="","",IF(AE420&gt;=80,"Excellent",IF(AE420&gt;=70,"Very Good",IF(AE420&gt;=60,"Good",IF(AE420&gt;=50,"Average","Poor"))))))</f>
        <v>Excellent</v>
      </c>
      <c r="AG420" s="5"/>
      <c r="AH420" s="4"/>
      <c r="AI420" s="4" t="s">
        <v>62</v>
      </c>
      <c r="AJ420" s="4" t="s">
        <v>82</v>
      </c>
      <c r="AK420" s="4" t="s">
        <v>82</v>
      </c>
      <c r="AL420" s="4" t="s">
        <v>379</v>
      </c>
      <c r="AM420" s="4" t="s">
        <v>62</v>
      </c>
      <c r="AN420" s="4" t="s">
        <v>64</v>
      </c>
      <c r="AO420" s="4" t="s">
        <v>62</v>
      </c>
      <c r="AP420" s="4" t="s">
        <v>62</v>
      </c>
      <c r="AQ420" s="4" t="s">
        <v>62</v>
      </c>
      <c r="AR420" s="4" t="s">
        <v>62</v>
      </c>
      <c r="AS420" s="4" t="s">
        <v>74</v>
      </c>
      <c r="AT420" s="4" t="n">
        <v>6</v>
      </c>
      <c r="AU420" s="4" t="s">
        <v>66</v>
      </c>
      <c r="AV420" s="4" t="s">
        <v>151</v>
      </c>
      <c r="AW420" s="4" t="s">
        <v>1274</v>
      </c>
      <c r="AX420" s="4" t="s">
        <v>1036</v>
      </c>
      <c r="AY420" s="4" t="n">
        <v>7</v>
      </c>
      <c r="AZ420" s="4" t="s">
        <v>62</v>
      </c>
      <c r="BA420" s="4" t="s">
        <v>1275</v>
      </c>
      <c r="BB420" s="4" t="s">
        <v>760</v>
      </c>
      <c r="BC420" s="6" t="n">
        <v>0.5333</v>
      </c>
      <c r="BD420" s="4" t="n">
        <v>85</v>
      </c>
    </row>
    <row r="421" customFormat="false" ht="228.35" hidden="false" customHeight="false" outlineLevel="0" collapsed="false">
      <c r="A421" s="4" t="n">
        <v>189</v>
      </c>
      <c r="B421" s="4" t="s">
        <v>753</v>
      </c>
      <c r="C421" s="4" t="s">
        <v>57</v>
      </c>
      <c r="D421" s="4" t="s">
        <v>754</v>
      </c>
      <c r="E421" s="4" t="s">
        <v>964</v>
      </c>
      <c r="F421" s="4" t="n">
        <v>978</v>
      </c>
      <c r="G421" s="5" t="s">
        <v>1276</v>
      </c>
      <c r="H421" s="5" t="s">
        <v>265</v>
      </c>
      <c r="I421" s="4"/>
      <c r="J421" s="4"/>
      <c r="K421" s="4"/>
      <c r="L421" s="4" t="n">
        <v>20</v>
      </c>
      <c r="M421" s="4" t="n">
        <v>20</v>
      </c>
      <c r="N421" s="4" t="n">
        <v>0</v>
      </c>
      <c r="O421" s="4" t="n">
        <v>20</v>
      </c>
      <c r="P421" s="4" t="n">
        <v>0</v>
      </c>
      <c r="Q421" s="4" t="n">
        <v>8</v>
      </c>
      <c r="R421" s="6" t="n">
        <f aca="false">IF(N(L421)=0,0,O421/L421)</f>
        <v>1</v>
      </c>
      <c r="S421" s="4" t="n">
        <f aca="false">IF(R421="","",IF(R421&gt;=0.8,50,IF(R421&gt;=0.5,30,IF(R421&gt;=0.01,10,0))))</f>
        <v>50</v>
      </c>
      <c r="T421" s="4" t="n">
        <f aca="false">IF(TRIM(AI421)="Yes",2.5,0)</f>
        <v>2.5</v>
      </c>
      <c r="U421" s="4" t="n">
        <f aca="false">IF(TRIM(AJ421)="Yes",10,0)</f>
        <v>10</v>
      </c>
      <c r="V421" s="4" t="n">
        <f aca="false">IF(TRIM(AK421)="Yes",5,0)</f>
        <v>5</v>
      </c>
      <c r="W421" s="4" t="n">
        <f aca="false">IF(TRIM(AM421)="Yes",5,0)</f>
        <v>5</v>
      </c>
      <c r="X421" s="4" t="n">
        <f aca="false">IF(OR(TRIM(AN421)="Fully Available",TRIM(AN421)="Not Applicable"),5,IF(TRIM(AN421)="Partially Available",2.5,0))</f>
        <v>5</v>
      </c>
      <c r="Y421" s="4" t="n">
        <f aca="false">IF(TRIM(AO421)="Yes",5,0)</f>
        <v>5</v>
      </c>
      <c r="Z421" s="4" t="n">
        <f aca="false">IF(TRIM(AP421)="Yes",2.5,0)</f>
        <v>2.5</v>
      </c>
      <c r="AA421" s="4" t="n">
        <f aca="false">IF(TRIM(AQ421)="Yes",5,0)</f>
        <v>5</v>
      </c>
      <c r="AB421" s="4" t="n">
        <f aca="false">IF(OR(TRIM(AR421)="Yes",TRIM(AR421)="Not Applicable"),5,0)</f>
        <v>5</v>
      </c>
      <c r="AC421" s="4" t="n">
        <f aca="false">IF(TRIM(AS421)="Excellent",5,IF(TRIM(AS421)="Very Good",4,IF(TRIM(AS421)="Good",3,IF(TRIM(AS421)="Average",2,0))))</f>
        <v>4</v>
      </c>
      <c r="AD421" s="7" t="n">
        <f aca="false">IF(COUNT(S421:AC421)=0,"",SUM(S421:AC421))</f>
        <v>99</v>
      </c>
      <c r="AE421" s="7" t="n">
        <f aca="false">IF(COUNTIF($F$2:F421,F421)=1,IFERROR(AVERAGEIF($F:$F,F421,$AD:$AD),""),"")</f>
        <v>99</v>
      </c>
      <c r="AF421" s="8" t="str">
        <f aca="false">IF(AH421&lt;&gt;"",AH421,IF(AE421="","",IF(AE421&gt;=80,"Excellent",IF(AE421&gt;=70,"Very Good",IF(AE421&gt;=60,"Good",IF(AE421&gt;=50,"Average","Poor"))))))</f>
        <v>Excellent</v>
      </c>
      <c r="AG421" s="5"/>
      <c r="AH421" s="4"/>
      <c r="AI421" s="4" t="s">
        <v>62</v>
      </c>
      <c r="AJ421" s="4" t="s">
        <v>62</v>
      </c>
      <c r="AK421" s="4" t="s">
        <v>62</v>
      </c>
      <c r="AL421" s="4" t="s">
        <v>63</v>
      </c>
      <c r="AM421" s="4" t="s">
        <v>62</v>
      </c>
      <c r="AN421" s="4" t="s">
        <v>64</v>
      </c>
      <c r="AO421" s="4" t="s">
        <v>62</v>
      </c>
      <c r="AP421" s="4" t="s">
        <v>62</v>
      </c>
      <c r="AQ421" s="4" t="s">
        <v>62</v>
      </c>
      <c r="AR421" s="4" t="s">
        <v>73</v>
      </c>
      <c r="AS421" s="4" t="s">
        <v>74</v>
      </c>
      <c r="AT421" s="4" t="n">
        <v>7</v>
      </c>
      <c r="AU421" s="4" t="s">
        <v>66</v>
      </c>
      <c r="AV421" s="4" t="s">
        <v>208</v>
      </c>
      <c r="AW421" s="4" t="s">
        <v>1277</v>
      </c>
      <c r="AX421" s="4" t="s">
        <v>195</v>
      </c>
      <c r="AY421" s="4" t="n">
        <v>8</v>
      </c>
      <c r="AZ421" s="4" t="s">
        <v>62</v>
      </c>
      <c r="BA421" s="4" t="s">
        <v>1278</v>
      </c>
      <c r="BB421" s="4" t="s">
        <v>760</v>
      </c>
      <c r="BC421" s="6" t="n">
        <v>0.4</v>
      </c>
      <c r="BD421" s="4" t="n">
        <v>93</v>
      </c>
    </row>
    <row r="422" customFormat="false" ht="228.35" hidden="false" customHeight="false" outlineLevel="0" collapsed="false">
      <c r="A422" s="4"/>
      <c r="B422" s="4" t="s">
        <v>753</v>
      </c>
      <c r="C422" s="4" t="s">
        <v>57</v>
      </c>
      <c r="D422" s="4" t="s">
        <v>754</v>
      </c>
      <c r="E422" s="4" t="s">
        <v>964</v>
      </c>
      <c r="F422" s="4" t="n">
        <v>978</v>
      </c>
      <c r="G422" s="5" t="s">
        <v>1276</v>
      </c>
      <c r="H422" s="5" t="s">
        <v>61</v>
      </c>
      <c r="I422" s="4"/>
      <c r="J422" s="4"/>
      <c r="K422" s="4"/>
      <c r="L422" s="4" t="n">
        <v>15</v>
      </c>
      <c r="M422" s="4" t="n">
        <v>15</v>
      </c>
      <c r="N422" s="4" t="n">
        <v>0</v>
      </c>
      <c r="O422" s="4" t="n">
        <v>13</v>
      </c>
      <c r="P422" s="4" t="n">
        <v>2</v>
      </c>
      <c r="Q422" s="4" t="n">
        <v>8</v>
      </c>
      <c r="R422" s="6" t="n">
        <f aca="false">IF(N(L422)=0,0,O422/L422)</f>
        <v>0.866666666666667</v>
      </c>
      <c r="S422" s="4" t="n">
        <f aca="false">IF(R422="","",IF(R422&gt;=0.8,50,IF(R422&gt;=0.5,30,IF(R422&gt;=0.01,10,0))))</f>
        <v>50</v>
      </c>
      <c r="T422" s="4" t="n">
        <f aca="false">IF(TRIM(AI422)="Yes",2.5,0)</f>
        <v>2.5</v>
      </c>
      <c r="U422" s="4" t="n">
        <f aca="false">IF(TRIM(AJ422)="Yes",10,0)</f>
        <v>10</v>
      </c>
      <c r="V422" s="4" t="n">
        <f aca="false">IF(TRIM(AK422)="Yes",5,0)</f>
        <v>5</v>
      </c>
      <c r="W422" s="4" t="n">
        <f aca="false">IF(TRIM(AM422)="Yes",5,0)</f>
        <v>5</v>
      </c>
      <c r="X422" s="4" t="n">
        <f aca="false">IF(OR(TRIM(AN422)="Fully Available",TRIM(AN422)="Not Applicable"),5,IF(TRIM(AN422)="Partially Available",2.5,0))</f>
        <v>5</v>
      </c>
      <c r="Y422" s="4" t="n">
        <f aca="false">IF(TRIM(AO422)="Yes",5,0)</f>
        <v>5</v>
      </c>
      <c r="Z422" s="4" t="n">
        <f aca="false">IF(TRIM(AP422)="Yes",2.5,0)</f>
        <v>2.5</v>
      </c>
      <c r="AA422" s="4" t="n">
        <f aca="false">IF(TRIM(AQ422)="Yes",5,0)</f>
        <v>5</v>
      </c>
      <c r="AB422" s="4" t="n">
        <f aca="false">IF(OR(TRIM(AR422)="Yes",TRIM(AR422)="Not Applicable"),5,0)</f>
        <v>5</v>
      </c>
      <c r="AC422" s="4" t="n">
        <f aca="false">IF(TRIM(AS422)="Excellent",5,IF(TRIM(AS422)="Very Good",4,IF(TRIM(AS422)="Good",3,IF(TRIM(AS422)="Average",2,0))))</f>
        <v>4</v>
      </c>
      <c r="AD422" s="7" t="n">
        <f aca="false">IF(COUNT(S422:AC422)=0,"",SUM(S422:AC422))</f>
        <v>99</v>
      </c>
      <c r="AE422" s="7"/>
      <c r="AF422" s="8"/>
      <c r="AG422" s="5"/>
      <c r="AH422" s="4"/>
      <c r="AI422" s="4" t="s">
        <v>62</v>
      </c>
      <c r="AJ422" s="4" t="s">
        <v>62</v>
      </c>
      <c r="AK422" s="4" t="s">
        <v>62</v>
      </c>
      <c r="AL422" s="4" t="s">
        <v>63</v>
      </c>
      <c r="AM422" s="4" t="s">
        <v>62</v>
      </c>
      <c r="AN422" s="4" t="s">
        <v>64</v>
      </c>
      <c r="AO422" s="4" t="s">
        <v>62</v>
      </c>
      <c r="AP422" s="4" t="s">
        <v>62</v>
      </c>
      <c r="AQ422" s="4" t="s">
        <v>62</v>
      </c>
      <c r="AR422" s="4" t="s">
        <v>62</v>
      </c>
      <c r="AS422" s="4" t="s">
        <v>74</v>
      </c>
      <c r="AT422" s="4" t="n">
        <v>7</v>
      </c>
      <c r="AU422" s="4" t="s">
        <v>66</v>
      </c>
      <c r="AV422" s="4" t="s">
        <v>208</v>
      </c>
      <c r="AW422" s="4" t="s">
        <v>1279</v>
      </c>
      <c r="AX422" s="4" t="s">
        <v>192</v>
      </c>
      <c r="AY422" s="4" t="n">
        <v>1</v>
      </c>
      <c r="AZ422" s="4" t="s">
        <v>62</v>
      </c>
      <c r="BA422" s="4" t="s">
        <v>1278</v>
      </c>
      <c r="BB422" s="4" t="s">
        <v>760</v>
      </c>
      <c r="BC422" s="6" t="n">
        <v>0.6154</v>
      </c>
      <c r="BD422" s="4" t="n">
        <v>93</v>
      </c>
    </row>
    <row r="423" customFormat="false" ht="270.85" hidden="false" customHeight="false" outlineLevel="0" collapsed="false">
      <c r="A423" s="4" t="n">
        <v>190</v>
      </c>
      <c r="B423" s="4" t="s">
        <v>753</v>
      </c>
      <c r="C423" s="4" t="s">
        <v>57</v>
      </c>
      <c r="D423" s="4" t="s">
        <v>754</v>
      </c>
      <c r="E423" s="4" t="s">
        <v>828</v>
      </c>
      <c r="F423" s="4" t="n">
        <v>1514</v>
      </c>
      <c r="G423" s="5" t="s">
        <v>1280</v>
      </c>
      <c r="H423" s="5" t="s">
        <v>844</v>
      </c>
      <c r="I423" s="4"/>
      <c r="J423" s="4"/>
      <c r="K423" s="4"/>
      <c r="L423" s="4" t="n">
        <v>20</v>
      </c>
      <c r="M423" s="4" t="n">
        <v>20</v>
      </c>
      <c r="N423" s="4" t="n">
        <v>0</v>
      </c>
      <c r="O423" s="4" t="n">
        <v>18</v>
      </c>
      <c r="P423" s="4" t="n">
        <v>2</v>
      </c>
      <c r="Q423" s="4" t="n">
        <v>8</v>
      </c>
      <c r="R423" s="6" t="n">
        <f aca="false">IF(N(L423)=0,0,O423/L423)</f>
        <v>0.9</v>
      </c>
      <c r="S423" s="4" t="n">
        <f aca="false">IF(R423="","",IF(R423&gt;=0.8,50,IF(R423&gt;=0.5,30,IF(R423&gt;=0.01,10,0))))</f>
        <v>50</v>
      </c>
      <c r="T423" s="4" t="n">
        <f aca="false">IF(TRIM(AI423)="Yes",2.5,0)</f>
        <v>2.5</v>
      </c>
      <c r="U423" s="4" t="n">
        <f aca="false">IF(TRIM(AJ423)="Yes",10,0)</f>
        <v>10</v>
      </c>
      <c r="V423" s="4" t="n">
        <f aca="false">IF(TRIM(AK423)="Yes",5,0)</f>
        <v>5</v>
      </c>
      <c r="W423" s="4" t="n">
        <f aca="false">IF(TRIM(AM423)="Yes",5,0)</f>
        <v>5</v>
      </c>
      <c r="X423" s="4" t="n">
        <f aca="false">IF(OR(TRIM(AN423)="Fully Available",TRIM(AN423)="Not Applicable"),5,IF(TRIM(AN423)="Partially Available",2.5,0))</f>
        <v>5</v>
      </c>
      <c r="Y423" s="4" t="n">
        <f aca="false">IF(TRIM(AO423)="Yes",5,0)</f>
        <v>5</v>
      </c>
      <c r="Z423" s="4" t="n">
        <f aca="false">IF(TRIM(AP423)="Yes",2.5,0)</f>
        <v>2.5</v>
      </c>
      <c r="AA423" s="4" t="n">
        <f aca="false">IF(TRIM(AQ423)="Yes",5,0)</f>
        <v>5</v>
      </c>
      <c r="AB423" s="4" t="n">
        <f aca="false">IF(OR(TRIM(AR423)="Yes",TRIM(AR423)="Not Applicable"),5,0)</f>
        <v>5</v>
      </c>
      <c r="AC423" s="4" t="n">
        <f aca="false">IF(TRIM(AS423)="Excellent",5,IF(TRIM(AS423)="Very Good",4,IF(TRIM(AS423)="Good",3,IF(TRIM(AS423)="Average",2,0))))</f>
        <v>4</v>
      </c>
      <c r="AD423" s="7" t="n">
        <f aca="false">IF(COUNT(S423:AC423)=0,"",SUM(S423:AC423))</f>
        <v>99</v>
      </c>
      <c r="AE423" s="7" t="n">
        <f aca="false">IF(COUNTIF($F$2:F423,F423)=1,IFERROR(AVERAGEIF($F:$F,F423,$AD:$AD),""),"")</f>
        <v>99</v>
      </c>
      <c r="AF423" s="8" t="str">
        <f aca="false">IF(AH423&lt;&gt;"",AH423,IF(AE423="","",IF(AE423&gt;=80,"Excellent",IF(AE423&gt;=70,"Very Good",IF(AE423&gt;=60,"Good",IF(AE423&gt;=50,"Average","Poor"))))))</f>
        <v>Excellent</v>
      </c>
      <c r="AG423" s="5"/>
      <c r="AH423" s="4"/>
      <c r="AI423" s="4" t="s">
        <v>62</v>
      </c>
      <c r="AJ423" s="4" t="s">
        <v>62</v>
      </c>
      <c r="AK423" s="4" t="s">
        <v>62</v>
      </c>
      <c r="AL423" s="4" t="s">
        <v>63</v>
      </c>
      <c r="AM423" s="4" t="s">
        <v>62</v>
      </c>
      <c r="AN423" s="4" t="s">
        <v>64</v>
      </c>
      <c r="AO423" s="4" t="s">
        <v>62</v>
      </c>
      <c r="AP423" s="4" t="s">
        <v>62</v>
      </c>
      <c r="AQ423" s="4" t="s">
        <v>62</v>
      </c>
      <c r="AR423" s="4" t="s">
        <v>62</v>
      </c>
      <c r="AS423" s="4" t="s">
        <v>74</v>
      </c>
      <c r="AT423" s="4" t="n">
        <v>8</v>
      </c>
      <c r="AU423" s="4" t="s">
        <v>112</v>
      </c>
      <c r="AV423" s="4" t="s">
        <v>186</v>
      </c>
      <c r="AW423" s="4" t="s">
        <v>1281</v>
      </c>
      <c r="AX423" s="4" t="s">
        <v>1282</v>
      </c>
      <c r="AY423" s="4" t="n">
        <v>8</v>
      </c>
      <c r="AZ423" s="4" t="s">
        <v>62</v>
      </c>
      <c r="BA423" s="4" t="s">
        <v>1283</v>
      </c>
      <c r="BB423" s="4" t="s">
        <v>760</v>
      </c>
      <c r="BC423" s="6" t="n">
        <v>0.4444</v>
      </c>
      <c r="BD423" s="4" t="n">
        <v>96</v>
      </c>
    </row>
    <row r="424" customFormat="false" ht="270.85" hidden="false" customHeight="false" outlineLevel="0" collapsed="false">
      <c r="A424" s="4"/>
      <c r="B424" s="4" t="s">
        <v>753</v>
      </c>
      <c r="C424" s="4" t="s">
        <v>57</v>
      </c>
      <c r="D424" s="4" t="s">
        <v>754</v>
      </c>
      <c r="E424" s="4" t="s">
        <v>828</v>
      </c>
      <c r="F424" s="4" t="n">
        <v>1514</v>
      </c>
      <c r="G424" s="5" t="s">
        <v>1280</v>
      </c>
      <c r="H424" s="5" t="s">
        <v>425</v>
      </c>
      <c r="I424" s="4"/>
      <c r="J424" s="4"/>
      <c r="K424" s="4"/>
      <c r="L424" s="4" t="n">
        <v>20</v>
      </c>
      <c r="M424" s="4" t="n">
        <v>20</v>
      </c>
      <c r="N424" s="4" t="n">
        <v>0</v>
      </c>
      <c r="O424" s="4" t="n">
        <v>17</v>
      </c>
      <c r="P424" s="4" t="n">
        <v>3</v>
      </c>
      <c r="Q424" s="4" t="n">
        <v>8</v>
      </c>
      <c r="R424" s="6" t="n">
        <f aca="false">IF(N(L424)=0,0,O424/L424)</f>
        <v>0.85</v>
      </c>
      <c r="S424" s="4" t="n">
        <f aca="false">IF(R424="","",IF(R424&gt;=0.8,50,IF(R424&gt;=0.5,30,IF(R424&gt;=0.01,10,0))))</f>
        <v>50</v>
      </c>
      <c r="T424" s="4" t="n">
        <f aca="false">IF(TRIM(AI424)="Yes",2.5,0)</f>
        <v>2.5</v>
      </c>
      <c r="U424" s="4" t="n">
        <f aca="false">IF(TRIM(AJ424)="Yes",10,0)</f>
        <v>10</v>
      </c>
      <c r="V424" s="4" t="n">
        <f aca="false">IF(TRIM(AK424)="Yes",5,0)</f>
        <v>5</v>
      </c>
      <c r="W424" s="4" t="n">
        <f aca="false">IF(TRIM(AM424)="Yes",5,0)</f>
        <v>5</v>
      </c>
      <c r="X424" s="4" t="n">
        <f aca="false">IF(OR(TRIM(AN424)="Fully Available",TRIM(AN424)="Not Applicable"),5,IF(TRIM(AN424)="Partially Available",2.5,0))</f>
        <v>5</v>
      </c>
      <c r="Y424" s="4" t="n">
        <f aca="false">IF(TRIM(AO424)="Yes",5,0)</f>
        <v>5</v>
      </c>
      <c r="Z424" s="4" t="n">
        <f aca="false">IF(TRIM(AP424)="Yes",2.5,0)</f>
        <v>2.5</v>
      </c>
      <c r="AA424" s="4" t="n">
        <f aca="false">IF(TRIM(AQ424)="Yes",5,0)</f>
        <v>5</v>
      </c>
      <c r="AB424" s="4" t="n">
        <f aca="false">IF(OR(TRIM(AR424)="Yes",TRIM(AR424)="Not Applicable"),5,0)</f>
        <v>5</v>
      </c>
      <c r="AC424" s="4" t="n">
        <f aca="false">IF(TRIM(AS424)="Excellent",5,IF(TRIM(AS424)="Very Good",4,IF(TRIM(AS424)="Good",3,IF(TRIM(AS424)="Average",2,0))))</f>
        <v>4</v>
      </c>
      <c r="AD424" s="7" t="n">
        <f aca="false">IF(COUNT(S424:AC424)=0,"",SUM(S424:AC424))</f>
        <v>99</v>
      </c>
      <c r="AE424" s="7"/>
      <c r="AF424" s="8"/>
      <c r="AG424" s="5"/>
      <c r="AH424" s="4"/>
      <c r="AI424" s="4" t="s">
        <v>62</v>
      </c>
      <c r="AJ424" s="4" t="s">
        <v>62</v>
      </c>
      <c r="AK424" s="4" t="s">
        <v>62</v>
      </c>
      <c r="AL424" s="4" t="s">
        <v>63</v>
      </c>
      <c r="AM424" s="4" t="s">
        <v>62</v>
      </c>
      <c r="AN424" s="4" t="s">
        <v>64</v>
      </c>
      <c r="AO424" s="4" t="s">
        <v>62</v>
      </c>
      <c r="AP424" s="4" t="s">
        <v>62</v>
      </c>
      <c r="AQ424" s="4" t="s">
        <v>62</v>
      </c>
      <c r="AR424" s="4" t="s">
        <v>62</v>
      </c>
      <c r="AS424" s="4" t="s">
        <v>74</v>
      </c>
      <c r="AT424" s="4" t="n">
        <v>6</v>
      </c>
      <c r="AU424" s="4" t="s">
        <v>112</v>
      </c>
      <c r="AV424" s="4" t="s">
        <v>186</v>
      </c>
      <c r="AW424" s="4" t="s">
        <v>1284</v>
      </c>
      <c r="AX424" s="4" t="s">
        <v>1285</v>
      </c>
      <c r="AY424" s="4" t="n">
        <v>5</v>
      </c>
      <c r="AZ424" s="4" t="s">
        <v>62</v>
      </c>
      <c r="BA424" s="4" t="s">
        <v>1283</v>
      </c>
      <c r="BB424" s="4" t="s">
        <v>760</v>
      </c>
      <c r="BC424" s="6" t="n">
        <v>0.4706</v>
      </c>
      <c r="BD424" s="4" t="n">
        <v>96</v>
      </c>
    </row>
    <row r="425" customFormat="false" ht="270.85" hidden="false" customHeight="false" outlineLevel="0" collapsed="false">
      <c r="A425" s="4" t="n">
        <v>191</v>
      </c>
      <c r="B425" s="4" t="s">
        <v>753</v>
      </c>
      <c r="C425" s="4" t="s">
        <v>57</v>
      </c>
      <c r="D425" s="4" t="s">
        <v>754</v>
      </c>
      <c r="E425" s="4" t="s">
        <v>755</v>
      </c>
      <c r="F425" s="4" t="n">
        <v>5762</v>
      </c>
      <c r="G425" s="5" t="s">
        <v>1286</v>
      </c>
      <c r="H425" s="5" t="s">
        <v>61</v>
      </c>
      <c r="I425" s="4"/>
      <c r="J425" s="4"/>
      <c r="K425" s="4"/>
      <c r="L425" s="4" t="n">
        <v>15</v>
      </c>
      <c r="M425" s="4" t="n">
        <v>15</v>
      </c>
      <c r="N425" s="4" t="n">
        <v>0</v>
      </c>
      <c r="O425" s="4" t="n">
        <v>14</v>
      </c>
      <c r="P425" s="4" t="n">
        <v>6</v>
      </c>
      <c r="Q425" s="4" t="n">
        <v>12</v>
      </c>
      <c r="R425" s="6" t="n">
        <f aca="false">IF(N(L425)=0,0,O425/L425)</f>
        <v>0.933333333333333</v>
      </c>
      <c r="S425" s="4" t="n">
        <f aca="false">IF(R425="","",IF(R425&gt;=0.8,50,IF(R425&gt;=0.5,30,IF(R425&gt;=0.01,10,0))))</f>
        <v>50</v>
      </c>
      <c r="T425" s="4" t="n">
        <f aca="false">IF(TRIM(AI425)="Yes",2.5,0)</f>
        <v>2.5</v>
      </c>
      <c r="U425" s="4" t="n">
        <f aca="false">IF(TRIM(AJ425)="Yes",10,0)</f>
        <v>10</v>
      </c>
      <c r="V425" s="4" t="n">
        <f aca="false">IF(TRIM(AK425)="Yes",5,0)</f>
        <v>5</v>
      </c>
      <c r="W425" s="4" t="n">
        <f aca="false">IF(TRIM(AM425)="Yes",5,0)</f>
        <v>5</v>
      </c>
      <c r="X425" s="4" t="n">
        <f aca="false">IF(OR(TRIM(AN425)="Fully Available",TRIM(AN425)="Not Applicable"),5,IF(TRIM(AN425)="Partially Available",2.5,0))</f>
        <v>2.5</v>
      </c>
      <c r="Y425" s="4" t="n">
        <f aca="false">IF(TRIM(AO425)="Yes",5,0)</f>
        <v>5</v>
      </c>
      <c r="Z425" s="4" t="n">
        <f aca="false">IF(TRIM(AP425)="Yes",2.5,0)</f>
        <v>2.5</v>
      </c>
      <c r="AA425" s="4" t="n">
        <f aca="false">IF(TRIM(AQ425)="Yes",5,0)</f>
        <v>5</v>
      </c>
      <c r="AB425" s="4" t="n">
        <f aca="false">IF(OR(TRIM(AR425)="Yes",TRIM(AR425)="Not Applicable"),5,0)</f>
        <v>5</v>
      </c>
      <c r="AC425" s="4" t="n">
        <f aca="false">IF(TRIM(AS425)="Excellent",5,IF(TRIM(AS425)="Very Good",4,IF(TRIM(AS425)="Good",3,IF(TRIM(AS425)="Average",2,0))))</f>
        <v>3</v>
      </c>
      <c r="AD425" s="7" t="n">
        <f aca="false">IF(COUNT(S425:AC425)=0,"",SUM(S425:AC425))</f>
        <v>95.5</v>
      </c>
      <c r="AE425" s="7" t="n">
        <f aca="false">IF(COUNTIF($F$2:F425,F425)=1,IFERROR(AVERAGEIF($F:$F,F425,$AD:$AD),""),"")</f>
        <v>95.5</v>
      </c>
      <c r="AF425" s="8" t="str">
        <f aca="false">IF(AH425&lt;&gt;"",AH425,IF(AE425="","",IF(AE425&gt;=80,"Excellent",IF(AE425&gt;=70,"Very Good",IF(AE425&gt;=60,"Good",IF(AE425&gt;=50,"Average","Poor"))))))</f>
        <v>Excellent</v>
      </c>
      <c r="AG425" s="5"/>
      <c r="AH425" s="4"/>
      <c r="AI425" s="4" t="s">
        <v>62</v>
      </c>
      <c r="AJ425" s="4" t="s">
        <v>62</v>
      </c>
      <c r="AK425" s="4" t="s">
        <v>62</v>
      </c>
      <c r="AL425" s="4" t="s">
        <v>63</v>
      </c>
      <c r="AM425" s="4" t="s">
        <v>62</v>
      </c>
      <c r="AN425" s="4" t="s">
        <v>147</v>
      </c>
      <c r="AO425" s="4" t="s">
        <v>62</v>
      </c>
      <c r="AP425" s="4" t="s">
        <v>62</v>
      </c>
      <c r="AQ425" s="4" t="s">
        <v>62</v>
      </c>
      <c r="AR425" s="4" t="s">
        <v>62</v>
      </c>
      <c r="AS425" s="4" t="s">
        <v>185</v>
      </c>
      <c r="AT425" s="4" t="n">
        <v>6</v>
      </c>
      <c r="AU425" s="4" t="s">
        <v>66</v>
      </c>
      <c r="AV425" s="4" t="s">
        <v>91</v>
      </c>
      <c r="AW425" s="4" t="s">
        <v>1287</v>
      </c>
      <c r="AX425" s="4" t="s">
        <v>917</v>
      </c>
      <c r="AY425" s="4" t="n">
        <v>7</v>
      </c>
      <c r="AZ425" s="4" t="s">
        <v>62</v>
      </c>
      <c r="BA425" s="4" t="s">
        <v>1288</v>
      </c>
      <c r="BB425" s="4" t="s">
        <v>760</v>
      </c>
      <c r="BC425" s="6" t="n">
        <v>0.8571</v>
      </c>
      <c r="BD425" s="4" t="n">
        <v>88</v>
      </c>
    </row>
    <row r="426" customFormat="false" ht="100.7" hidden="false" customHeight="false" outlineLevel="0" collapsed="false">
      <c r="A426" s="4" t="n">
        <v>192</v>
      </c>
      <c r="B426" s="4" t="s">
        <v>753</v>
      </c>
      <c r="C426" s="4" t="s">
        <v>57</v>
      </c>
      <c r="D426" s="4" t="s">
        <v>754</v>
      </c>
      <c r="E426" s="4" t="s">
        <v>993</v>
      </c>
      <c r="F426" s="4" t="n">
        <v>1891</v>
      </c>
      <c r="G426" s="5" t="s">
        <v>1289</v>
      </c>
      <c r="H426" s="5" t="s">
        <v>1181</v>
      </c>
      <c r="I426" s="4"/>
      <c r="J426" s="4"/>
      <c r="K426" s="4"/>
      <c r="L426" s="4" t="n">
        <v>40</v>
      </c>
      <c r="M426" s="4" t="n">
        <v>40</v>
      </c>
      <c r="N426" s="4" t="n">
        <v>0</v>
      </c>
      <c r="O426" s="4" t="n">
        <v>36</v>
      </c>
      <c r="P426" s="4" t="n">
        <v>4</v>
      </c>
      <c r="Q426" s="4" t="n">
        <v>10</v>
      </c>
      <c r="R426" s="6" t="n">
        <f aca="false">IF(N(L426)=0,0,O426/L426)</f>
        <v>0.9</v>
      </c>
      <c r="S426" s="4" t="n">
        <f aca="false">IF(R426="","",IF(R426&gt;=0.8,50,IF(R426&gt;=0.5,30,IF(R426&gt;=0.01,10,0))))</f>
        <v>50</v>
      </c>
      <c r="T426" s="4" t="n">
        <f aca="false">IF(TRIM(AI426)="Yes",2.5,0)</f>
        <v>2.5</v>
      </c>
      <c r="U426" s="4" t="n">
        <f aca="false">IF(TRIM(AJ426)="Yes",10,0)</f>
        <v>10</v>
      </c>
      <c r="V426" s="4" t="n">
        <f aca="false">IF(TRIM(AK426)="Yes",5,0)</f>
        <v>5</v>
      </c>
      <c r="W426" s="4" t="n">
        <f aca="false">IF(TRIM(AM426)="Yes",5,0)</f>
        <v>5</v>
      </c>
      <c r="X426" s="4" t="n">
        <f aca="false">IF(OR(TRIM(AN426)="Fully Available",TRIM(AN426)="Not Applicable"),5,IF(TRIM(AN426)="Partially Available",2.5,0))</f>
        <v>5</v>
      </c>
      <c r="Y426" s="4" t="n">
        <f aca="false">IF(TRIM(AO426)="Yes",5,0)</f>
        <v>5</v>
      </c>
      <c r="Z426" s="4" t="n">
        <f aca="false">IF(TRIM(AP426)="Yes",2.5,0)</f>
        <v>2.5</v>
      </c>
      <c r="AA426" s="4" t="n">
        <f aca="false">IF(TRIM(AQ426)="Yes",5,0)</f>
        <v>5</v>
      </c>
      <c r="AB426" s="4" t="n">
        <f aca="false">IF(OR(TRIM(AR426)="Yes",TRIM(AR426)="Not Applicable"),5,0)</f>
        <v>5</v>
      </c>
      <c r="AC426" s="4" t="n">
        <f aca="false">IF(TRIM(AS426)="Excellent",5,IF(TRIM(AS426)="Very Good",4,IF(TRIM(AS426)="Good",3,IF(TRIM(AS426)="Average",2,0))))</f>
        <v>4</v>
      </c>
      <c r="AD426" s="7" t="n">
        <f aca="false">IF(COUNT(S426:AC426)=0,"",SUM(S426:AC426))</f>
        <v>99</v>
      </c>
      <c r="AE426" s="7" t="n">
        <f aca="false">IF(COUNTIF($F$2:F426,F426)=1,IFERROR(AVERAGEIF($F:$F,F426,$AD:$AD),""),"")</f>
        <v>99</v>
      </c>
      <c r="AF426" s="8" t="str">
        <f aca="false">IF(AH426&lt;&gt;"",AH426,IF(AE426="","",IF(AE426&gt;=80,"Excellent",IF(AE426&gt;=70,"Very Good",IF(AE426&gt;=60,"Good",IF(AE426&gt;=50,"Average","Poor"))))))</f>
        <v>Excellent</v>
      </c>
      <c r="AG426" s="5"/>
      <c r="AH426" s="4"/>
      <c r="AI426" s="4" t="s">
        <v>62</v>
      </c>
      <c r="AJ426" s="4" t="s">
        <v>62</v>
      </c>
      <c r="AK426" s="4" t="s">
        <v>62</v>
      </c>
      <c r="AL426" s="4" t="s">
        <v>63</v>
      </c>
      <c r="AM426" s="4" t="s">
        <v>62</v>
      </c>
      <c r="AN426" s="4" t="s">
        <v>64</v>
      </c>
      <c r="AO426" s="4" t="s">
        <v>62</v>
      </c>
      <c r="AP426" s="4" t="s">
        <v>62</v>
      </c>
      <c r="AQ426" s="4" t="s">
        <v>62</v>
      </c>
      <c r="AR426" s="4" t="s">
        <v>62</v>
      </c>
      <c r="AS426" s="4" t="s">
        <v>74</v>
      </c>
      <c r="AT426" s="4" t="n">
        <v>4</v>
      </c>
      <c r="AU426" s="4" t="s">
        <v>112</v>
      </c>
      <c r="AV426" s="4" t="s">
        <v>380</v>
      </c>
      <c r="AW426" s="4" t="s">
        <v>1290</v>
      </c>
      <c r="AX426" s="4" t="s">
        <v>1291</v>
      </c>
      <c r="AY426" s="4" t="n">
        <v>12</v>
      </c>
      <c r="AZ426" s="4" t="s">
        <v>62</v>
      </c>
      <c r="BA426" s="4" t="s">
        <v>1292</v>
      </c>
      <c r="BB426" s="4" t="s">
        <v>760</v>
      </c>
      <c r="BC426" s="6" t="n">
        <v>0.2778</v>
      </c>
      <c r="BD426" s="4" t="n">
        <v>92</v>
      </c>
    </row>
    <row r="427" customFormat="false" ht="29.85" hidden="false" customHeight="false" outlineLevel="0" collapsed="false">
      <c r="A427" s="4" t="n">
        <v>193</v>
      </c>
      <c r="B427" s="4" t="s">
        <v>753</v>
      </c>
      <c r="C427" s="4" t="s">
        <v>57</v>
      </c>
      <c r="D427" s="4" t="s">
        <v>754</v>
      </c>
      <c r="E427" s="4" t="s">
        <v>964</v>
      </c>
      <c r="F427" s="4" t="n">
        <v>1384</v>
      </c>
      <c r="G427" s="5" t="s">
        <v>1293</v>
      </c>
      <c r="H427" s="5" t="s">
        <v>61</v>
      </c>
      <c r="I427" s="4"/>
      <c r="J427" s="4"/>
      <c r="K427" s="4"/>
      <c r="L427" s="4" t="n">
        <v>15</v>
      </c>
      <c r="M427" s="4" t="n">
        <v>15</v>
      </c>
      <c r="N427" s="4" t="n">
        <v>0</v>
      </c>
      <c r="O427" s="4" t="n">
        <v>14</v>
      </c>
      <c r="P427" s="4" t="n">
        <v>1</v>
      </c>
      <c r="Q427" s="4" t="n">
        <v>8</v>
      </c>
      <c r="R427" s="6" t="n">
        <f aca="false">IF(N(L427)=0,0,O427/L427)</f>
        <v>0.933333333333333</v>
      </c>
      <c r="S427" s="4" t="n">
        <f aca="false">IF(R427="","",IF(R427&gt;=0.8,50,IF(R427&gt;=0.5,30,IF(R427&gt;=0.01,10,0))))</f>
        <v>50</v>
      </c>
      <c r="T427" s="4" t="n">
        <f aca="false">IF(TRIM(AI427)="Yes",2.5,0)</f>
        <v>2.5</v>
      </c>
      <c r="U427" s="4" t="n">
        <f aca="false">IF(TRIM(AJ427)="Yes",10,0)</f>
        <v>10</v>
      </c>
      <c r="V427" s="4" t="n">
        <f aca="false">IF(TRIM(AK427)="Yes",5,0)</f>
        <v>5</v>
      </c>
      <c r="W427" s="4" t="n">
        <f aca="false">IF(TRIM(AM427)="Yes",5,0)</f>
        <v>5</v>
      </c>
      <c r="X427" s="4" t="n">
        <f aca="false">IF(OR(TRIM(AN427)="Fully Available",TRIM(AN427)="Not Applicable"),5,IF(TRIM(AN427)="Partially Available",2.5,0))</f>
        <v>5</v>
      </c>
      <c r="Y427" s="4" t="n">
        <f aca="false">IF(TRIM(AO427)="Yes",5,0)</f>
        <v>5</v>
      </c>
      <c r="Z427" s="4" t="n">
        <f aca="false">IF(TRIM(AP427)="Yes",2.5,0)</f>
        <v>2.5</v>
      </c>
      <c r="AA427" s="4" t="n">
        <f aca="false">IF(TRIM(AQ427)="Yes",5,0)</f>
        <v>5</v>
      </c>
      <c r="AB427" s="4" t="n">
        <f aca="false">IF(OR(TRIM(AR427)="Yes",TRIM(AR427)="Not Applicable"),5,0)</f>
        <v>5</v>
      </c>
      <c r="AC427" s="4" t="n">
        <f aca="false">IF(TRIM(AS427)="Excellent",5,IF(TRIM(AS427)="Very Good",4,IF(TRIM(AS427)="Good",3,IF(TRIM(AS427)="Average",2,0))))</f>
        <v>3</v>
      </c>
      <c r="AD427" s="7" t="n">
        <f aca="false">IF(COUNT(S427:AC427)=0,"",SUM(S427:AC427))</f>
        <v>98</v>
      </c>
      <c r="AE427" s="7" t="n">
        <f aca="false">IF(COUNTIF($F$2:F427,F427)=1,IFERROR(AVERAGEIF($F:$F,F427,$AD:$AD),""),"")</f>
        <v>98</v>
      </c>
      <c r="AF427" s="8" t="str">
        <f aca="false">IF(AH427&lt;&gt;"",AH427,IF(AE427="","",IF(AE427&gt;=80,"Excellent",IF(AE427&gt;=70,"Very Good",IF(AE427&gt;=60,"Good",IF(AE427&gt;=50,"Average","Poor"))))))</f>
        <v>Excellent</v>
      </c>
      <c r="AG427" s="5"/>
      <c r="AH427" s="4"/>
      <c r="AI427" s="4" t="s">
        <v>62</v>
      </c>
      <c r="AJ427" s="4" t="s">
        <v>62</v>
      </c>
      <c r="AK427" s="4" t="s">
        <v>62</v>
      </c>
      <c r="AL427" s="4" t="s">
        <v>63</v>
      </c>
      <c r="AM427" s="4" t="s">
        <v>62</v>
      </c>
      <c r="AN427" s="4" t="s">
        <v>64</v>
      </c>
      <c r="AO427" s="4" t="s">
        <v>62</v>
      </c>
      <c r="AP427" s="4" t="s">
        <v>62</v>
      </c>
      <c r="AQ427" s="4" t="s">
        <v>62</v>
      </c>
      <c r="AR427" s="4" t="s">
        <v>62</v>
      </c>
      <c r="AS427" s="4" t="s">
        <v>185</v>
      </c>
      <c r="AT427" s="4" t="n">
        <v>5</v>
      </c>
      <c r="AU427" s="4" t="s">
        <v>66</v>
      </c>
      <c r="AV427" s="4" t="s">
        <v>151</v>
      </c>
      <c r="AW427" s="4" t="s">
        <v>1294</v>
      </c>
      <c r="AX427" s="4" t="s">
        <v>1295</v>
      </c>
      <c r="AY427" s="4" t="n">
        <v>3</v>
      </c>
      <c r="AZ427" s="4" t="s">
        <v>62</v>
      </c>
      <c r="BA427" s="4" t="s">
        <v>1296</v>
      </c>
      <c r="BB427" s="4" t="s">
        <v>760</v>
      </c>
      <c r="BC427" s="6" t="n">
        <v>0.5714</v>
      </c>
      <c r="BD427" s="4" t="n">
        <v>96</v>
      </c>
    </row>
    <row r="428" customFormat="false" ht="44" hidden="false" customHeight="false" outlineLevel="0" collapsed="false">
      <c r="A428" s="4"/>
      <c r="B428" s="4" t="s">
        <v>753</v>
      </c>
      <c r="C428" s="4" t="s">
        <v>57</v>
      </c>
      <c r="D428" s="4" t="s">
        <v>754</v>
      </c>
      <c r="E428" s="4" t="s">
        <v>964</v>
      </c>
      <c r="F428" s="4" t="n">
        <v>1384</v>
      </c>
      <c r="G428" s="5" t="s">
        <v>1293</v>
      </c>
      <c r="H428" s="5" t="s">
        <v>190</v>
      </c>
      <c r="I428" s="4"/>
      <c r="J428" s="4"/>
      <c r="K428" s="4"/>
      <c r="L428" s="4" t="n">
        <v>20</v>
      </c>
      <c r="M428" s="4" t="n">
        <v>20</v>
      </c>
      <c r="N428" s="4" t="n">
        <v>0</v>
      </c>
      <c r="O428" s="4" t="n">
        <v>19</v>
      </c>
      <c r="P428" s="4" t="n">
        <v>1</v>
      </c>
      <c r="Q428" s="4" t="n">
        <v>6</v>
      </c>
      <c r="R428" s="6" t="n">
        <f aca="false">IF(N(L428)=0,0,O428/L428)</f>
        <v>0.95</v>
      </c>
      <c r="S428" s="4" t="n">
        <f aca="false">IF(R428="","",IF(R428&gt;=0.8,50,IF(R428&gt;=0.5,30,IF(R428&gt;=0.01,10,0))))</f>
        <v>50</v>
      </c>
      <c r="T428" s="4" t="n">
        <f aca="false">IF(TRIM(AI428)="Yes",2.5,0)</f>
        <v>2.5</v>
      </c>
      <c r="U428" s="4" t="n">
        <f aca="false">IF(TRIM(AJ428)="Yes",10,0)</f>
        <v>10</v>
      </c>
      <c r="V428" s="4" t="n">
        <f aca="false">IF(TRIM(AK428)="Yes",5,0)</f>
        <v>5</v>
      </c>
      <c r="W428" s="4" t="n">
        <f aca="false">IF(TRIM(AM428)="Yes",5,0)</f>
        <v>5</v>
      </c>
      <c r="X428" s="4" t="n">
        <f aca="false">IF(OR(TRIM(AN428)="Fully Available",TRIM(AN428)="Not Applicable"),5,IF(TRIM(AN428)="Partially Available",2.5,0))</f>
        <v>5</v>
      </c>
      <c r="Y428" s="4" t="n">
        <f aca="false">IF(TRIM(AO428)="Yes",5,0)</f>
        <v>5</v>
      </c>
      <c r="Z428" s="4" t="n">
        <f aca="false">IF(TRIM(AP428)="Yes",2.5,0)</f>
        <v>2.5</v>
      </c>
      <c r="AA428" s="4" t="n">
        <f aca="false">IF(TRIM(AQ428)="Yes",5,0)</f>
        <v>5</v>
      </c>
      <c r="AB428" s="4" t="n">
        <f aca="false">IF(OR(TRIM(AR428)="Yes",TRIM(AR428)="Not Applicable"),5,0)</f>
        <v>5</v>
      </c>
      <c r="AC428" s="4" t="n">
        <f aca="false">IF(TRIM(AS428)="Excellent",5,IF(TRIM(AS428)="Very Good",4,IF(TRIM(AS428)="Good",3,IF(TRIM(AS428)="Average",2,0))))</f>
        <v>3</v>
      </c>
      <c r="AD428" s="7" t="n">
        <f aca="false">IF(COUNT(S428:AC428)=0,"",SUM(S428:AC428))</f>
        <v>98</v>
      </c>
      <c r="AE428" s="7"/>
      <c r="AF428" s="8"/>
      <c r="AG428" s="5"/>
      <c r="AH428" s="4"/>
      <c r="AI428" s="4" t="s">
        <v>62</v>
      </c>
      <c r="AJ428" s="4" t="s">
        <v>62</v>
      </c>
      <c r="AK428" s="4" t="s">
        <v>62</v>
      </c>
      <c r="AL428" s="4" t="s">
        <v>63</v>
      </c>
      <c r="AM428" s="4" t="s">
        <v>62</v>
      </c>
      <c r="AN428" s="4" t="s">
        <v>64</v>
      </c>
      <c r="AO428" s="4" t="s">
        <v>62</v>
      </c>
      <c r="AP428" s="4" t="s">
        <v>62</v>
      </c>
      <c r="AQ428" s="4" t="s">
        <v>62</v>
      </c>
      <c r="AR428" s="4" t="s">
        <v>62</v>
      </c>
      <c r="AS428" s="4" t="s">
        <v>185</v>
      </c>
      <c r="AT428" s="4" t="n">
        <v>5</v>
      </c>
      <c r="AU428" s="4" t="s">
        <v>112</v>
      </c>
      <c r="AV428" s="4" t="s">
        <v>151</v>
      </c>
      <c r="AW428" s="4" t="s">
        <v>1297</v>
      </c>
      <c r="AX428" s="4" t="s">
        <v>1298</v>
      </c>
      <c r="AY428" s="4" t="n">
        <v>3</v>
      </c>
      <c r="AZ428" s="4" t="s">
        <v>62</v>
      </c>
      <c r="BA428" s="4" t="s">
        <v>1296</v>
      </c>
      <c r="BB428" s="4" t="s">
        <v>760</v>
      </c>
      <c r="BC428" s="6" t="n">
        <v>0.3158</v>
      </c>
      <c r="BD428" s="4" t="n">
        <v>96</v>
      </c>
    </row>
    <row r="429" customFormat="false" ht="185.8" hidden="false" customHeight="false" outlineLevel="0" collapsed="false">
      <c r="A429" s="4" t="n">
        <v>194</v>
      </c>
      <c r="B429" s="4" t="s">
        <v>753</v>
      </c>
      <c r="C429" s="4" t="s">
        <v>57</v>
      </c>
      <c r="D429" s="4" t="s">
        <v>754</v>
      </c>
      <c r="E429" s="4" t="s">
        <v>823</v>
      </c>
      <c r="F429" s="4" t="n">
        <v>470</v>
      </c>
      <c r="G429" s="5" t="s">
        <v>1299</v>
      </c>
      <c r="H429" s="5" t="s">
        <v>190</v>
      </c>
      <c r="I429" s="4"/>
      <c r="J429" s="4"/>
      <c r="K429" s="4"/>
      <c r="L429" s="4" t="n">
        <v>20</v>
      </c>
      <c r="M429" s="4" t="n">
        <v>20</v>
      </c>
      <c r="N429" s="4" t="n">
        <v>0</v>
      </c>
      <c r="O429" s="4" t="n">
        <v>17</v>
      </c>
      <c r="P429" s="4" t="n">
        <v>3</v>
      </c>
      <c r="Q429" s="4" t="n">
        <v>8</v>
      </c>
      <c r="R429" s="6" t="n">
        <f aca="false">IF(N(L429)=0,0,O429/L429)</f>
        <v>0.85</v>
      </c>
      <c r="S429" s="4" t="n">
        <f aca="false">IF(R429="","",IF(R429&gt;=0.8,50,IF(R429&gt;=0.5,30,IF(R429&gt;=0.01,10,0))))</f>
        <v>50</v>
      </c>
      <c r="T429" s="4" t="n">
        <f aca="false">IF(TRIM(AI429)="Yes",2.5,0)</f>
        <v>2.5</v>
      </c>
      <c r="U429" s="4" t="n">
        <f aca="false">IF(TRIM(AJ429)="Yes",10,0)</f>
        <v>10</v>
      </c>
      <c r="V429" s="4" t="n">
        <f aca="false">IF(TRIM(AK429)="Yes",5,0)</f>
        <v>5</v>
      </c>
      <c r="W429" s="4" t="n">
        <f aca="false">IF(TRIM(AM429)="Yes",5,0)</f>
        <v>5</v>
      </c>
      <c r="X429" s="4" t="n">
        <f aca="false">IF(OR(TRIM(AN429)="Fully Available",TRIM(AN429)="Not Applicable"),5,IF(TRIM(AN429)="Partially Available",2.5,0))</f>
        <v>5</v>
      </c>
      <c r="Y429" s="4" t="n">
        <f aca="false">IF(TRIM(AO429)="Yes",5,0)</f>
        <v>5</v>
      </c>
      <c r="Z429" s="4" t="n">
        <f aca="false">IF(TRIM(AP429)="Yes",2.5,0)</f>
        <v>2.5</v>
      </c>
      <c r="AA429" s="4" t="n">
        <f aca="false">IF(TRIM(AQ429)="Yes",5,0)</f>
        <v>5</v>
      </c>
      <c r="AB429" s="4" t="n">
        <f aca="false">IF(OR(TRIM(AR429)="Yes",TRIM(AR429)="Not Applicable"),5,0)</f>
        <v>5</v>
      </c>
      <c r="AC429" s="4" t="n">
        <f aca="false">IF(TRIM(AS429)="Excellent",5,IF(TRIM(AS429)="Very Good",4,IF(TRIM(AS429)="Good",3,IF(TRIM(AS429)="Average",2,0))))</f>
        <v>4</v>
      </c>
      <c r="AD429" s="7" t="n">
        <f aca="false">IF(COUNT(S429:AC429)=0,"",SUM(S429:AC429))</f>
        <v>99</v>
      </c>
      <c r="AE429" s="7" t="n">
        <f aca="false">IF(COUNTIF($F$2:F429,F429)=1,IFERROR(AVERAGEIF($F:$F,F429,$AD:$AD),""),"")</f>
        <v>99</v>
      </c>
      <c r="AF429" s="8" t="str">
        <f aca="false">IF(AH429&lt;&gt;"",AH429,IF(AE429="","",IF(AE429&gt;=80,"Excellent",IF(AE429&gt;=70,"Very Good",IF(AE429&gt;=60,"Good",IF(AE429&gt;=50,"Average","Poor"))))))</f>
        <v>Excellent</v>
      </c>
      <c r="AG429" s="5"/>
      <c r="AH429" s="4"/>
      <c r="AI429" s="4" t="s">
        <v>62</v>
      </c>
      <c r="AJ429" s="4" t="s">
        <v>62</v>
      </c>
      <c r="AK429" s="4" t="s">
        <v>62</v>
      </c>
      <c r="AL429" s="4" t="s">
        <v>63</v>
      </c>
      <c r="AM429" s="4" t="s">
        <v>62</v>
      </c>
      <c r="AN429" s="4" t="s">
        <v>64</v>
      </c>
      <c r="AO429" s="4" t="s">
        <v>62</v>
      </c>
      <c r="AP429" s="4" t="s">
        <v>62</v>
      </c>
      <c r="AQ429" s="4" t="s">
        <v>62</v>
      </c>
      <c r="AR429" s="4" t="s">
        <v>62</v>
      </c>
      <c r="AS429" s="4" t="s">
        <v>74</v>
      </c>
      <c r="AT429" s="4" t="n">
        <v>3</v>
      </c>
      <c r="AU429" s="4" t="s">
        <v>112</v>
      </c>
      <c r="AV429" s="4" t="s">
        <v>350</v>
      </c>
      <c r="AW429" s="4" t="s">
        <v>1300</v>
      </c>
      <c r="AX429" s="4" t="s">
        <v>368</v>
      </c>
      <c r="AY429" s="4" t="n">
        <v>16</v>
      </c>
      <c r="AZ429" s="4" t="s">
        <v>62</v>
      </c>
      <c r="BA429" s="4" t="s">
        <v>1301</v>
      </c>
      <c r="BB429" s="4" t="s">
        <v>760</v>
      </c>
      <c r="BC429" s="6" t="n">
        <v>0.4706</v>
      </c>
      <c r="BD429" s="4" t="n">
        <v>96</v>
      </c>
    </row>
    <row r="430" customFormat="false" ht="185.8" hidden="false" customHeight="false" outlineLevel="0" collapsed="false">
      <c r="A430" s="4"/>
      <c r="B430" s="4" t="s">
        <v>753</v>
      </c>
      <c r="C430" s="4" t="s">
        <v>57</v>
      </c>
      <c r="D430" s="4" t="s">
        <v>754</v>
      </c>
      <c r="E430" s="4" t="s">
        <v>823</v>
      </c>
      <c r="F430" s="4" t="n">
        <v>470</v>
      </c>
      <c r="G430" s="5" t="s">
        <v>1299</v>
      </c>
      <c r="H430" s="5" t="s">
        <v>197</v>
      </c>
      <c r="I430" s="4"/>
      <c r="J430" s="4"/>
      <c r="K430" s="4"/>
      <c r="L430" s="4" t="n">
        <v>20</v>
      </c>
      <c r="M430" s="4" t="n">
        <v>20</v>
      </c>
      <c r="N430" s="4" t="n">
        <v>0</v>
      </c>
      <c r="O430" s="4" t="n">
        <v>17</v>
      </c>
      <c r="P430" s="4" t="n">
        <v>3</v>
      </c>
      <c r="Q430" s="4" t="n">
        <v>8</v>
      </c>
      <c r="R430" s="6" t="n">
        <f aca="false">IF(N(L430)=0,0,O430/L430)</f>
        <v>0.85</v>
      </c>
      <c r="S430" s="4" t="n">
        <f aca="false">IF(R430="","",IF(R430&gt;=0.8,50,IF(R430&gt;=0.5,30,IF(R430&gt;=0.01,10,0))))</f>
        <v>50</v>
      </c>
      <c r="T430" s="4" t="n">
        <f aca="false">IF(TRIM(AI430)="Yes",2.5,0)</f>
        <v>2.5</v>
      </c>
      <c r="U430" s="4" t="n">
        <f aca="false">IF(TRIM(AJ430)="Yes",10,0)</f>
        <v>10</v>
      </c>
      <c r="V430" s="4" t="n">
        <f aca="false">IF(TRIM(AK430)="Yes",5,0)</f>
        <v>5</v>
      </c>
      <c r="W430" s="4" t="n">
        <f aca="false">IF(TRIM(AM430)="Yes",5,0)</f>
        <v>5</v>
      </c>
      <c r="X430" s="4" t="n">
        <f aca="false">IF(OR(TRIM(AN430)="Fully Available",TRIM(AN430)="Not Applicable"),5,IF(TRIM(AN430)="Partially Available",2.5,0))</f>
        <v>5</v>
      </c>
      <c r="Y430" s="4" t="n">
        <f aca="false">IF(TRIM(AO430)="Yes",5,0)</f>
        <v>5</v>
      </c>
      <c r="Z430" s="4" t="n">
        <f aca="false">IF(TRIM(AP430)="Yes",2.5,0)</f>
        <v>2.5</v>
      </c>
      <c r="AA430" s="4" t="n">
        <f aca="false">IF(TRIM(AQ430)="Yes",5,0)</f>
        <v>5</v>
      </c>
      <c r="AB430" s="4" t="n">
        <f aca="false">IF(OR(TRIM(AR430)="Yes",TRIM(AR430)="Not Applicable"),5,0)</f>
        <v>5</v>
      </c>
      <c r="AC430" s="4" t="n">
        <f aca="false">IF(TRIM(AS430)="Excellent",5,IF(TRIM(AS430)="Very Good",4,IF(TRIM(AS430)="Good",3,IF(TRIM(AS430)="Average",2,0))))</f>
        <v>4</v>
      </c>
      <c r="AD430" s="7" t="n">
        <f aca="false">IF(COUNT(S430:AC430)=0,"",SUM(S430:AC430))</f>
        <v>99</v>
      </c>
      <c r="AE430" s="7"/>
      <c r="AF430" s="8"/>
      <c r="AG430" s="5"/>
      <c r="AH430" s="4"/>
      <c r="AI430" s="4" t="s">
        <v>62</v>
      </c>
      <c r="AJ430" s="4" t="s">
        <v>62</v>
      </c>
      <c r="AK430" s="4" t="s">
        <v>62</v>
      </c>
      <c r="AL430" s="4" t="s">
        <v>63</v>
      </c>
      <c r="AM430" s="4" t="s">
        <v>62</v>
      </c>
      <c r="AN430" s="4" t="s">
        <v>64</v>
      </c>
      <c r="AO430" s="4" t="s">
        <v>62</v>
      </c>
      <c r="AP430" s="4" t="s">
        <v>62</v>
      </c>
      <c r="AQ430" s="4" t="s">
        <v>62</v>
      </c>
      <c r="AR430" s="4" t="s">
        <v>62</v>
      </c>
      <c r="AS430" s="4" t="s">
        <v>74</v>
      </c>
      <c r="AT430" s="4" t="n">
        <v>15</v>
      </c>
      <c r="AU430" s="4" t="s">
        <v>66</v>
      </c>
      <c r="AV430" s="4" t="s">
        <v>350</v>
      </c>
      <c r="AW430" s="4" t="s">
        <v>1302</v>
      </c>
      <c r="AX430" s="4" t="s">
        <v>1303</v>
      </c>
      <c r="AY430" s="4" t="n">
        <v>4</v>
      </c>
      <c r="AZ430" s="4" t="s">
        <v>62</v>
      </c>
      <c r="BA430" s="4" t="s">
        <v>1301</v>
      </c>
      <c r="BB430" s="4" t="s">
        <v>760</v>
      </c>
      <c r="BC430" s="6" t="n">
        <v>0.4706</v>
      </c>
      <c r="BD430" s="4" t="n">
        <v>96</v>
      </c>
    </row>
    <row r="431" customFormat="false" ht="100.7" hidden="false" customHeight="false" outlineLevel="0" collapsed="false">
      <c r="A431" s="4" t="n">
        <v>195</v>
      </c>
      <c r="B431" s="4" t="s">
        <v>753</v>
      </c>
      <c r="C431" s="4" t="s">
        <v>57</v>
      </c>
      <c r="D431" s="4" t="s">
        <v>754</v>
      </c>
      <c r="E431" s="4" t="s">
        <v>755</v>
      </c>
      <c r="F431" s="4" t="n">
        <v>2229</v>
      </c>
      <c r="G431" s="5" t="s">
        <v>1304</v>
      </c>
      <c r="H431" s="5" t="s">
        <v>72</v>
      </c>
      <c r="I431" s="4"/>
      <c r="J431" s="4"/>
      <c r="K431" s="4"/>
      <c r="L431" s="4" t="n">
        <v>20</v>
      </c>
      <c r="M431" s="4" t="n">
        <v>20</v>
      </c>
      <c r="N431" s="4" t="n">
        <v>0</v>
      </c>
      <c r="O431" s="4" t="n">
        <v>18</v>
      </c>
      <c r="P431" s="4" t="n">
        <v>2</v>
      </c>
      <c r="Q431" s="4" t="n">
        <v>8</v>
      </c>
      <c r="R431" s="6" t="n">
        <f aca="false">IF(N(L431)=0,0,O431/L431)</f>
        <v>0.9</v>
      </c>
      <c r="S431" s="4" t="n">
        <f aca="false">IF(R431="","",IF(R431&gt;=0.8,50,IF(R431&gt;=0.5,30,IF(R431&gt;=0.01,10,0))))</f>
        <v>50</v>
      </c>
      <c r="T431" s="4" t="n">
        <f aca="false">IF(TRIM(AI431)="Yes",2.5,0)</f>
        <v>0</v>
      </c>
      <c r="U431" s="4" t="n">
        <f aca="false">IF(TRIM(AJ431)="Yes",10,0)</f>
        <v>10</v>
      </c>
      <c r="V431" s="4" t="n">
        <f aca="false">IF(TRIM(AK431)="Yes",5,0)</f>
        <v>5</v>
      </c>
      <c r="W431" s="4" t="n">
        <f aca="false">IF(TRIM(AM431)="Yes",5,0)</f>
        <v>5</v>
      </c>
      <c r="X431" s="4" t="n">
        <f aca="false">IF(OR(TRIM(AN431)="Fully Available",TRIM(AN431)="Not Applicable"),5,IF(TRIM(AN431)="Partially Available",2.5,0))</f>
        <v>5</v>
      </c>
      <c r="Y431" s="4" t="n">
        <f aca="false">IF(TRIM(AO431)="Yes",5,0)</f>
        <v>5</v>
      </c>
      <c r="Z431" s="4" t="n">
        <f aca="false">IF(TRIM(AP431)="Yes",2.5,0)</f>
        <v>2.5</v>
      </c>
      <c r="AA431" s="4" t="n">
        <f aca="false">IF(TRIM(AQ431)="Yes",5,0)</f>
        <v>5</v>
      </c>
      <c r="AB431" s="4" t="n">
        <f aca="false">IF(OR(TRIM(AR431)="Yes",TRIM(AR431)="Not Applicable"),5,0)</f>
        <v>5</v>
      </c>
      <c r="AC431" s="4" t="n">
        <f aca="false">IF(TRIM(AS431)="Excellent",5,IF(TRIM(AS431)="Very Good",4,IF(TRIM(AS431)="Good",3,IF(TRIM(AS431)="Average",2,0))))</f>
        <v>3</v>
      </c>
      <c r="AD431" s="7" t="n">
        <f aca="false">IF(COUNT(S431:AC431)=0,"",SUM(S431:AC431))</f>
        <v>95.5</v>
      </c>
      <c r="AE431" s="7" t="n">
        <f aca="false">IF(COUNTIF($F$2:F431,F431)=1,IFERROR(AVERAGEIF($F:$F,F431,$AD:$AD),""),"")</f>
        <v>95.5</v>
      </c>
      <c r="AF431" s="8" t="str">
        <f aca="false">IF(AH431&lt;&gt;"",AH431,IF(AE431="","",IF(AE431&gt;=80,"Excellent",IF(AE431&gt;=70,"Very Good",IF(AE431&gt;=60,"Good",IF(AE431&gt;=50,"Average","Poor"))))))</f>
        <v>Excellent</v>
      </c>
      <c r="AG431" s="5"/>
      <c r="AH431" s="4"/>
      <c r="AI431" s="4" t="s">
        <v>82</v>
      </c>
      <c r="AJ431" s="4" t="s">
        <v>62</v>
      </c>
      <c r="AK431" s="4" t="s">
        <v>62</v>
      </c>
      <c r="AL431" s="4" t="s">
        <v>63</v>
      </c>
      <c r="AM431" s="4" t="s">
        <v>62</v>
      </c>
      <c r="AN431" s="4" t="s">
        <v>64</v>
      </c>
      <c r="AO431" s="4" t="s">
        <v>62</v>
      </c>
      <c r="AP431" s="4" t="s">
        <v>62</v>
      </c>
      <c r="AQ431" s="4" t="s">
        <v>62</v>
      </c>
      <c r="AR431" s="4" t="s">
        <v>73</v>
      </c>
      <c r="AS431" s="4" t="s">
        <v>185</v>
      </c>
      <c r="AT431" s="4" t="n">
        <v>7</v>
      </c>
      <c r="AU431" s="4" t="s">
        <v>66</v>
      </c>
      <c r="AV431" s="4" t="s">
        <v>151</v>
      </c>
      <c r="AW431" s="4" t="s">
        <v>1305</v>
      </c>
      <c r="AX431" s="4" t="s">
        <v>199</v>
      </c>
      <c r="AY431" s="4" t="n">
        <v>3</v>
      </c>
      <c r="AZ431" s="4" t="s">
        <v>62</v>
      </c>
      <c r="BA431" s="4" t="s">
        <v>1306</v>
      </c>
      <c r="BB431" s="4" t="s">
        <v>760</v>
      </c>
      <c r="BC431" s="6" t="n">
        <v>0.4444</v>
      </c>
      <c r="BD431" s="4" t="n">
        <v>87</v>
      </c>
    </row>
    <row r="432" customFormat="false" ht="143.25" hidden="false" customHeight="false" outlineLevel="0" collapsed="false">
      <c r="A432" s="4" t="n">
        <v>196</v>
      </c>
      <c r="B432" s="4" t="s">
        <v>753</v>
      </c>
      <c r="C432" s="4" t="s">
        <v>57</v>
      </c>
      <c r="D432" s="4" t="s">
        <v>754</v>
      </c>
      <c r="E432" s="4" t="s">
        <v>993</v>
      </c>
      <c r="F432" s="4" t="n">
        <v>239</v>
      </c>
      <c r="G432" s="5" t="s">
        <v>1307</v>
      </c>
      <c r="H432" s="5" t="s">
        <v>190</v>
      </c>
      <c r="I432" s="4"/>
      <c r="J432" s="4"/>
      <c r="K432" s="4"/>
      <c r="L432" s="4" t="n">
        <v>20</v>
      </c>
      <c r="M432" s="4" t="n">
        <v>20</v>
      </c>
      <c r="N432" s="4" t="n">
        <v>0</v>
      </c>
      <c r="O432" s="4" t="n">
        <v>17</v>
      </c>
      <c r="P432" s="4" t="n">
        <v>3</v>
      </c>
      <c r="Q432" s="4" t="n">
        <v>8</v>
      </c>
      <c r="R432" s="6" t="n">
        <f aca="false">IF(N(L432)=0,0,O432/L432)</f>
        <v>0.85</v>
      </c>
      <c r="S432" s="4" t="n">
        <f aca="false">IF(R432="","",IF(R432&gt;=0.8,50,IF(R432&gt;=0.5,30,IF(R432&gt;=0.01,10,0))))</f>
        <v>50</v>
      </c>
      <c r="T432" s="4" t="n">
        <f aca="false">IF(TRIM(AI432)="Yes",2.5,0)</f>
        <v>2.5</v>
      </c>
      <c r="U432" s="4" t="n">
        <f aca="false">IF(TRIM(AJ432)="Yes",10,0)</f>
        <v>10</v>
      </c>
      <c r="V432" s="4" t="n">
        <f aca="false">IF(TRIM(AK432)="Yes",5,0)</f>
        <v>5</v>
      </c>
      <c r="W432" s="4" t="n">
        <f aca="false">IF(TRIM(AM432)="Yes",5,0)</f>
        <v>5</v>
      </c>
      <c r="X432" s="4" t="n">
        <f aca="false">IF(OR(TRIM(AN432)="Fully Available",TRIM(AN432)="Not Applicable"),5,IF(TRIM(AN432)="Partially Available",2.5,0))</f>
        <v>5</v>
      </c>
      <c r="Y432" s="4" t="n">
        <f aca="false">IF(TRIM(AO432)="Yes",5,0)</f>
        <v>5</v>
      </c>
      <c r="Z432" s="4" t="n">
        <f aca="false">IF(TRIM(AP432)="Yes",2.5,0)</f>
        <v>2.5</v>
      </c>
      <c r="AA432" s="4" t="n">
        <f aca="false">IF(TRIM(AQ432)="Yes",5,0)</f>
        <v>5</v>
      </c>
      <c r="AB432" s="4" t="n">
        <f aca="false">IF(OR(TRIM(AR432)="Yes",TRIM(AR432)="Not Applicable"),5,0)</f>
        <v>5</v>
      </c>
      <c r="AC432" s="4" t="n">
        <f aca="false">IF(TRIM(AS432)="Excellent",5,IF(TRIM(AS432)="Very Good",4,IF(TRIM(AS432)="Good",3,IF(TRIM(AS432)="Average",2,0))))</f>
        <v>4</v>
      </c>
      <c r="AD432" s="7" t="n">
        <f aca="false">IF(COUNT(S432:AC432)=0,"",SUM(S432:AC432))</f>
        <v>99</v>
      </c>
      <c r="AE432" s="7" t="n">
        <f aca="false">IF(COUNTIF($F$2:F432,F432)=1,IFERROR(AVERAGEIF($F:$F,F432,$AD:$AD),""),"")</f>
        <v>89</v>
      </c>
      <c r="AF432" s="8" t="str">
        <f aca="false">IF(AH432&lt;&gt;"",AH432,IF(AE432="","",IF(AE432&gt;=80,"Excellent",IF(AE432&gt;=70,"Very Good",IF(AE432&gt;=60,"Good",IF(AE432&gt;=50,"Average","Poor"))))))</f>
        <v>Excellent</v>
      </c>
      <c r="AG432" s="5"/>
      <c r="AH432" s="4"/>
      <c r="AI432" s="4" t="s">
        <v>62</v>
      </c>
      <c r="AJ432" s="4" t="s">
        <v>62</v>
      </c>
      <c r="AK432" s="4" t="s">
        <v>62</v>
      </c>
      <c r="AL432" s="4" t="s">
        <v>63</v>
      </c>
      <c r="AM432" s="4" t="s">
        <v>62</v>
      </c>
      <c r="AN432" s="4" t="s">
        <v>64</v>
      </c>
      <c r="AO432" s="4" t="s">
        <v>62</v>
      </c>
      <c r="AP432" s="4" t="s">
        <v>62</v>
      </c>
      <c r="AQ432" s="4" t="s">
        <v>62</v>
      </c>
      <c r="AR432" s="4" t="s">
        <v>62</v>
      </c>
      <c r="AS432" s="4" t="s">
        <v>74</v>
      </c>
      <c r="AT432" s="4" t="n">
        <v>4</v>
      </c>
      <c r="AU432" s="4" t="s">
        <v>112</v>
      </c>
      <c r="AV432" s="4" t="s">
        <v>380</v>
      </c>
      <c r="AW432" s="4" t="s">
        <v>1308</v>
      </c>
      <c r="AX432" s="4" t="s">
        <v>368</v>
      </c>
      <c r="AY432" s="4" t="n">
        <v>20</v>
      </c>
      <c r="AZ432" s="4" t="s">
        <v>62</v>
      </c>
      <c r="BA432" s="4" t="s">
        <v>1309</v>
      </c>
      <c r="BB432" s="4" t="s">
        <v>760</v>
      </c>
      <c r="BC432" s="6" t="n">
        <v>0.4706</v>
      </c>
      <c r="BD432" s="4" t="n">
        <v>94</v>
      </c>
    </row>
    <row r="433" customFormat="false" ht="143.25" hidden="false" customHeight="false" outlineLevel="0" collapsed="false">
      <c r="A433" s="4"/>
      <c r="B433" s="4" t="s">
        <v>753</v>
      </c>
      <c r="C433" s="4" t="s">
        <v>57</v>
      </c>
      <c r="D433" s="4" t="s">
        <v>754</v>
      </c>
      <c r="E433" s="4" t="s">
        <v>993</v>
      </c>
      <c r="F433" s="4" t="n">
        <v>239</v>
      </c>
      <c r="G433" s="5" t="s">
        <v>1307</v>
      </c>
      <c r="H433" s="5" t="s">
        <v>118</v>
      </c>
      <c r="I433" s="4"/>
      <c r="J433" s="4"/>
      <c r="K433" s="4"/>
      <c r="L433" s="4" t="n">
        <v>20</v>
      </c>
      <c r="M433" s="4" t="n">
        <v>20</v>
      </c>
      <c r="N433" s="4" t="n">
        <v>0</v>
      </c>
      <c r="O433" s="4" t="n">
        <v>15</v>
      </c>
      <c r="P433" s="4" t="n">
        <v>5</v>
      </c>
      <c r="Q433" s="4" t="n">
        <v>8</v>
      </c>
      <c r="R433" s="6" t="n">
        <f aca="false">IF(N(L433)=0,0,O433/L433)</f>
        <v>0.75</v>
      </c>
      <c r="S433" s="4" t="n">
        <f aca="false">IF(R433="","",IF(R433&gt;=0.8,50,IF(R433&gt;=0.5,30,IF(R433&gt;=0.01,10,0))))</f>
        <v>30</v>
      </c>
      <c r="T433" s="4" t="n">
        <f aca="false">IF(TRIM(AI433)="Yes",2.5,0)</f>
        <v>2.5</v>
      </c>
      <c r="U433" s="4" t="n">
        <f aca="false">IF(TRIM(AJ433)="Yes",10,0)</f>
        <v>10</v>
      </c>
      <c r="V433" s="4" t="n">
        <f aca="false">IF(TRIM(AK433)="Yes",5,0)</f>
        <v>5</v>
      </c>
      <c r="W433" s="4" t="n">
        <f aca="false">IF(TRIM(AM433)="Yes",5,0)</f>
        <v>5</v>
      </c>
      <c r="X433" s="4" t="n">
        <f aca="false">IF(OR(TRIM(AN433)="Fully Available",TRIM(AN433)="Not Applicable"),5,IF(TRIM(AN433)="Partially Available",2.5,0))</f>
        <v>5</v>
      </c>
      <c r="Y433" s="4" t="n">
        <f aca="false">IF(TRIM(AO433)="Yes",5,0)</f>
        <v>5</v>
      </c>
      <c r="Z433" s="4" t="n">
        <f aca="false">IF(TRIM(AP433)="Yes",2.5,0)</f>
        <v>2.5</v>
      </c>
      <c r="AA433" s="4" t="n">
        <f aca="false">IF(TRIM(AQ433)="Yes",5,0)</f>
        <v>5</v>
      </c>
      <c r="AB433" s="4" t="n">
        <f aca="false">IF(OR(TRIM(AR433)="Yes",TRIM(AR433)="Not Applicable"),5,0)</f>
        <v>5</v>
      </c>
      <c r="AC433" s="4" t="n">
        <f aca="false">IF(TRIM(AS433)="Excellent",5,IF(TRIM(AS433)="Very Good",4,IF(TRIM(AS433)="Good",3,IF(TRIM(AS433)="Average",2,0))))</f>
        <v>4</v>
      </c>
      <c r="AD433" s="7" t="n">
        <f aca="false">IF(COUNT(S433:AC433)=0,"",SUM(S433:AC433))</f>
        <v>79</v>
      </c>
      <c r="AE433" s="7"/>
      <c r="AF433" s="8"/>
      <c r="AG433" s="5"/>
      <c r="AH433" s="4"/>
      <c r="AI433" s="4" t="s">
        <v>62</v>
      </c>
      <c r="AJ433" s="4" t="s">
        <v>62</v>
      </c>
      <c r="AK433" s="4" t="s">
        <v>62</v>
      </c>
      <c r="AL433" s="4" t="s">
        <v>63</v>
      </c>
      <c r="AM433" s="4" t="s">
        <v>62</v>
      </c>
      <c r="AN433" s="4" t="s">
        <v>64</v>
      </c>
      <c r="AO433" s="4" t="s">
        <v>62</v>
      </c>
      <c r="AP433" s="4" t="s">
        <v>62</v>
      </c>
      <c r="AQ433" s="4" t="s">
        <v>62</v>
      </c>
      <c r="AR433" s="4" t="s">
        <v>62</v>
      </c>
      <c r="AS433" s="4" t="s">
        <v>74</v>
      </c>
      <c r="AT433" s="4" t="n">
        <v>11</v>
      </c>
      <c r="AU433" s="4" t="s">
        <v>112</v>
      </c>
      <c r="AV433" s="4" t="s">
        <v>380</v>
      </c>
      <c r="AW433" s="4" t="s">
        <v>1310</v>
      </c>
      <c r="AX433" s="4" t="s">
        <v>1311</v>
      </c>
      <c r="AY433" s="4" t="n">
        <v>34</v>
      </c>
      <c r="AZ433" s="4" t="s">
        <v>62</v>
      </c>
      <c r="BA433" s="4" t="s">
        <v>1309</v>
      </c>
      <c r="BB433" s="4" t="s">
        <v>760</v>
      </c>
      <c r="BC433" s="6" t="n">
        <v>0.5333</v>
      </c>
      <c r="BD433" s="4" t="n">
        <v>94</v>
      </c>
    </row>
    <row r="434" customFormat="false" ht="171.6" hidden="false" customHeight="false" outlineLevel="0" collapsed="false">
      <c r="A434" s="4" t="n">
        <v>197</v>
      </c>
      <c r="B434" s="4" t="s">
        <v>753</v>
      </c>
      <c r="C434" s="4" t="s">
        <v>57</v>
      </c>
      <c r="D434" s="4" t="s">
        <v>754</v>
      </c>
      <c r="E434" s="4" t="s">
        <v>828</v>
      </c>
      <c r="F434" s="4" t="n">
        <v>2488</v>
      </c>
      <c r="G434" s="5" t="s">
        <v>1312</v>
      </c>
      <c r="H434" s="5" t="s">
        <v>1181</v>
      </c>
      <c r="I434" s="4"/>
      <c r="J434" s="4"/>
      <c r="K434" s="4"/>
      <c r="L434" s="4" t="n">
        <v>20</v>
      </c>
      <c r="M434" s="4" t="n">
        <v>20</v>
      </c>
      <c r="N434" s="4" t="n">
        <v>0</v>
      </c>
      <c r="O434" s="4" t="n">
        <v>18</v>
      </c>
      <c r="P434" s="4" t="n">
        <v>2</v>
      </c>
      <c r="Q434" s="4" t="n">
        <v>8</v>
      </c>
      <c r="R434" s="6" t="n">
        <f aca="false">IF(N(L434)=0,0,O434/L434)</f>
        <v>0.9</v>
      </c>
      <c r="S434" s="4" t="n">
        <f aca="false">IF(R434="","",IF(R434&gt;=0.8,50,IF(R434&gt;=0.5,30,IF(R434&gt;=0.01,10,0))))</f>
        <v>50</v>
      </c>
      <c r="T434" s="4" t="n">
        <f aca="false">IF(TRIM(AI434)="Yes",2.5,0)</f>
        <v>2.5</v>
      </c>
      <c r="U434" s="4" t="n">
        <f aca="false">IF(TRIM(AJ434)="Yes",10,0)</f>
        <v>10</v>
      </c>
      <c r="V434" s="4" t="n">
        <f aca="false">IF(TRIM(AK434)="Yes",5,0)</f>
        <v>5</v>
      </c>
      <c r="W434" s="4" t="n">
        <f aca="false">IF(TRIM(AM434)="Yes",5,0)</f>
        <v>0</v>
      </c>
      <c r="X434" s="4" t="n">
        <f aca="false">IF(OR(TRIM(AN434)="Fully Available",TRIM(AN434)="Not Applicable"),5,IF(TRIM(AN434)="Partially Available",2.5,0))</f>
        <v>5</v>
      </c>
      <c r="Y434" s="4" t="n">
        <f aca="false">IF(TRIM(AO434)="Yes",5,0)</f>
        <v>5</v>
      </c>
      <c r="Z434" s="4" t="n">
        <f aca="false">IF(TRIM(AP434)="Yes",2.5,0)</f>
        <v>2.5</v>
      </c>
      <c r="AA434" s="4" t="n">
        <f aca="false">IF(TRIM(AQ434)="Yes",5,0)</f>
        <v>5</v>
      </c>
      <c r="AB434" s="4" t="n">
        <f aca="false">IF(OR(TRIM(AR434)="Yes",TRIM(AR434)="Not Applicable"),5,0)</f>
        <v>5</v>
      </c>
      <c r="AC434" s="4" t="n">
        <f aca="false">IF(TRIM(AS434)="Excellent",5,IF(TRIM(AS434)="Very Good",4,IF(TRIM(AS434)="Good",3,IF(TRIM(AS434)="Average",2,0))))</f>
        <v>5</v>
      </c>
      <c r="AD434" s="7" t="n">
        <f aca="false">IF(COUNT(S434:AC434)=0,"",SUM(S434:AC434))</f>
        <v>95</v>
      </c>
      <c r="AE434" s="7" t="n">
        <f aca="false">IF(COUNTIF($F$2:F434,F434)=1,IFERROR(AVERAGEIF($F:$F,F434,$AD:$AD),""),"")</f>
        <v>95</v>
      </c>
      <c r="AF434" s="8" t="str">
        <f aca="false">IF(AH434&lt;&gt;"",AH434,IF(AE434="","",IF(AE434&gt;=80,"Excellent",IF(AE434&gt;=70,"Very Good",IF(AE434&gt;=60,"Good",IF(AE434&gt;=50,"Average","Poor"))))))</f>
        <v>Excellent</v>
      </c>
      <c r="AG434" s="5"/>
      <c r="AH434" s="4"/>
      <c r="AI434" s="4" t="s">
        <v>62</v>
      </c>
      <c r="AJ434" s="4" t="s">
        <v>62</v>
      </c>
      <c r="AK434" s="4" t="s">
        <v>62</v>
      </c>
      <c r="AL434" s="4" t="s">
        <v>63</v>
      </c>
      <c r="AM434" s="4" t="s">
        <v>82</v>
      </c>
      <c r="AN434" s="4" t="s">
        <v>64</v>
      </c>
      <c r="AO434" s="4" t="s">
        <v>62</v>
      </c>
      <c r="AP434" s="4" t="s">
        <v>62</v>
      </c>
      <c r="AQ434" s="4" t="s">
        <v>62</v>
      </c>
      <c r="AR434" s="4" t="s">
        <v>62</v>
      </c>
      <c r="AS434" s="4" t="s">
        <v>65</v>
      </c>
      <c r="AT434" s="4" t="n">
        <v>8</v>
      </c>
      <c r="AU434" s="4" t="s">
        <v>66</v>
      </c>
      <c r="AV434" s="4" t="s">
        <v>208</v>
      </c>
      <c r="AW434" s="4" t="s">
        <v>1313</v>
      </c>
      <c r="AX434" s="4" t="s">
        <v>1314</v>
      </c>
      <c r="AY434" s="4" t="n">
        <v>10</v>
      </c>
      <c r="AZ434" s="4" t="s">
        <v>62</v>
      </c>
      <c r="BA434" s="4" t="s">
        <v>1315</v>
      </c>
      <c r="BB434" s="4" t="s">
        <v>760</v>
      </c>
      <c r="BC434" s="6" t="n">
        <v>0.4444</v>
      </c>
      <c r="BD434" s="4" t="n">
        <v>97</v>
      </c>
    </row>
    <row r="435" customFormat="false" ht="171.6" hidden="false" customHeight="false" outlineLevel="0" collapsed="false">
      <c r="A435" s="4"/>
      <c r="B435" s="4" t="s">
        <v>753</v>
      </c>
      <c r="C435" s="4" t="s">
        <v>57</v>
      </c>
      <c r="D435" s="4" t="s">
        <v>754</v>
      </c>
      <c r="E435" s="4" t="s">
        <v>828</v>
      </c>
      <c r="F435" s="4" t="n">
        <v>2488</v>
      </c>
      <c r="G435" s="5" t="s">
        <v>1312</v>
      </c>
      <c r="H435" s="5" t="s">
        <v>397</v>
      </c>
      <c r="I435" s="4"/>
      <c r="J435" s="4"/>
      <c r="K435" s="4"/>
      <c r="L435" s="4" t="n">
        <v>20</v>
      </c>
      <c r="M435" s="4" t="n">
        <v>20</v>
      </c>
      <c r="N435" s="4" t="n">
        <v>0</v>
      </c>
      <c r="O435" s="4" t="n">
        <v>18</v>
      </c>
      <c r="P435" s="4" t="n">
        <v>2</v>
      </c>
      <c r="Q435" s="4" t="n">
        <v>8</v>
      </c>
      <c r="R435" s="6" t="n">
        <f aca="false">IF(N(L435)=0,0,O435/L435)</f>
        <v>0.9</v>
      </c>
      <c r="S435" s="4" t="n">
        <f aca="false">IF(R435="","",IF(R435&gt;=0.8,50,IF(R435&gt;=0.5,30,IF(R435&gt;=0.01,10,0))))</f>
        <v>50</v>
      </c>
      <c r="T435" s="4" t="n">
        <f aca="false">IF(TRIM(AI435)="Yes",2.5,0)</f>
        <v>2.5</v>
      </c>
      <c r="U435" s="4" t="n">
        <f aca="false">IF(TRIM(AJ435)="Yes",10,0)</f>
        <v>10</v>
      </c>
      <c r="V435" s="4" t="n">
        <f aca="false">IF(TRIM(AK435)="Yes",5,0)</f>
        <v>5</v>
      </c>
      <c r="W435" s="4" t="n">
        <f aca="false">IF(TRIM(AM435)="Yes",5,0)</f>
        <v>0</v>
      </c>
      <c r="X435" s="4" t="n">
        <f aca="false">IF(OR(TRIM(AN435)="Fully Available",TRIM(AN435)="Not Applicable"),5,IF(TRIM(AN435)="Partially Available",2.5,0))</f>
        <v>5</v>
      </c>
      <c r="Y435" s="4" t="n">
        <f aca="false">IF(TRIM(AO435)="Yes",5,0)</f>
        <v>5</v>
      </c>
      <c r="Z435" s="4" t="n">
        <f aca="false">IF(TRIM(AP435)="Yes",2.5,0)</f>
        <v>2.5</v>
      </c>
      <c r="AA435" s="4" t="n">
        <f aca="false">IF(TRIM(AQ435)="Yes",5,0)</f>
        <v>5</v>
      </c>
      <c r="AB435" s="4" t="n">
        <f aca="false">IF(OR(TRIM(AR435)="Yes",TRIM(AR435)="Not Applicable"),5,0)</f>
        <v>5</v>
      </c>
      <c r="AC435" s="4" t="n">
        <f aca="false">IF(TRIM(AS435)="Excellent",5,IF(TRIM(AS435)="Very Good",4,IF(TRIM(AS435)="Good",3,IF(TRIM(AS435)="Average",2,0))))</f>
        <v>5</v>
      </c>
      <c r="AD435" s="7" t="n">
        <f aca="false">IF(COUNT(S435:AC435)=0,"",SUM(S435:AC435))</f>
        <v>95</v>
      </c>
      <c r="AE435" s="7"/>
      <c r="AF435" s="8"/>
      <c r="AG435" s="5"/>
      <c r="AH435" s="4"/>
      <c r="AI435" s="4" t="s">
        <v>62</v>
      </c>
      <c r="AJ435" s="4" t="s">
        <v>62</v>
      </c>
      <c r="AK435" s="4" t="s">
        <v>62</v>
      </c>
      <c r="AL435" s="4" t="s">
        <v>63</v>
      </c>
      <c r="AM435" s="4" t="s">
        <v>82</v>
      </c>
      <c r="AN435" s="4" t="s">
        <v>64</v>
      </c>
      <c r="AO435" s="4" t="s">
        <v>62</v>
      </c>
      <c r="AP435" s="4" t="s">
        <v>62</v>
      </c>
      <c r="AQ435" s="4" t="s">
        <v>62</v>
      </c>
      <c r="AR435" s="4" t="s">
        <v>62</v>
      </c>
      <c r="AS435" s="4" t="s">
        <v>65</v>
      </c>
      <c r="AT435" s="4" t="n">
        <v>5</v>
      </c>
      <c r="AU435" s="4" t="s">
        <v>66</v>
      </c>
      <c r="AV435" s="4" t="s">
        <v>208</v>
      </c>
      <c r="AW435" s="4" t="s">
        <v>1316</v>
      </c>
      <c r="AX435" s="4" t="s">
        <v>283</v>
      </c>
      <c r="AY435" s="4" t="n">
        <v>2</v>
      </c>
      <c r="AZ435" s="4" t="s">
        <v>62</v>
      </c>
      <c r="BA435" s="4" t="s">
        <v>1315</v>
      </c>
      <c r="BB435" s="4" t="s">
        <v>760</v>
      </c>
      <c r="BC435" s="6" t="n">
        <v>0.4444</v>
      </c>
      <c r="BD435" s="4" t="n">
        <v>97</v>
      </c>
    </row>
    <row r="436" customFormat="false" ht="44" hidden="false" customHeight="false" outlineLevel="0" collapsed="false">
      <c r="A436" s="4" t="n">
        <v>198</v>
      </c>
      <c r="B436" s="4" t="s">
        <v>753</v>
      </c>
      <c r="C436" s="4" t="s">
        <v>57</v>
      </c>
      <c r="D436" s="4" t="s">
        <v>754</v>
      </c>
      <c r="E436" s="4" t="s">
        <v>1317</v>
      </c>
      <c r="F436" s="4" t="n">
        <v>551</v>
      </c>
      <c r="G436" s="5" t="s">
        <v>1318</v>
      </c>
      <c r="H436" s="5" t="s">
        <v>298</v>
      </c>
      <c r="I436" s="4"/>
      <c r="J436" s="4"/>
      <c r="K436" s="4"/>
      <c r="L436" s="4" t="n">
        <v>20</v>
      </c>
      <c r="M436" s="4" t="n">
        <v>20</v>
      </c>
      <c r="N436" s="4" t="n">
        <v>0</v>
      </c>
      <c r="O436" s="4" t="n">
        <v>19</v>
      </c>
      <c r="P436" s="4" t="n">
        <v>1</v>
      </c>
      <c r="Q436" s="4" t="n">
        <v>8</v>
      </c>
      <c r="R436" s="6" t="n">
        <f aca="false">IF(N(L436)=0,0,O436/L436)</f>
        <v>0.95</v>
      </c>
      <c r="S436" s="4" t="n">
        <f aca="false">IF(R436="","",IF(R436&gt;=0.8,50,IF(R436&gt;=0.5,30,IF(R436&gt;=0.01,10,0))))</f>
        <v>50</v>
      </c>
      <c r="T436" s="4" t="n">
        <f aca="false">IF(TRIM(AI436)="Yes",2.5,0)</f>
        <v>0</v>
      </c>
      <c r="U436" s="4" t="n">
        <f aca="false">IF(TRIM(AJ436)="Yes",10,0)</f>
        <v>10</v>
      </c>
      <c r="V436" s="4" t="n">
        <f aca="false">IF(TRIM(AK436)="Yes",5,0)</f>
        <v>5</v>
      </c>
      <c r="W436" s="4" t="n">
        <f aca="false">IF(TRIM(AM436)="Yes",5,0)</f>
        <v>5</v>
      </c>
      <c r="X436" s="4" t="n">
        <f aca="false">IF(OR(TRIM(AN436)="Fully Available",TRIM(AN436)="Not Applicable"),5,IF(TRIM(AN436)="Partially Available",2.5,0))</f>
        <v>5</v>
      </c>
      <c r="Y436" s="4" t="n">
        <f aca="false">IF(TRIM(AO436)="Yes",5,0)</f>
        <v>5</v>
      </c>
      <c r="Z436" s="4" t="n">
        <f aca="false">IF(TRIM(AP436)="Yes",2.5,0)</f>
        <v>2.5</v>
      </c>
      <c r="AA436" s="4" t="n">
        <f aca="false">IF(TRIM(AQ436)="Yes",5,0)</f>
        <v>5</v>
      </c>
      <c r="AB436" s="4" t="n">
        <f aca="false">IF(OR(TRIM(AR436)="Yes",TRIM(AR436)="Not Applicable"),5,0)</f>
        <v>5</v>
      </c>
      <c r="AC436" s="4" t="n">
        <f aca="false">IF(TRIM(AS436)="Excellent",5,IF(TRIM(AS436)="Very Good",4,IF(TRIM(AS436)="Good",3,IF(TRIM(AS436)="Average",2,0))))</f>
        <v>3</v>
      </c>
      <c r="AD436" s="7" t="n">
        <f aca="false">IF(COUNT(S436:AC436)=0,"",SUM(S436:AC436))</f>
        <v>95.5</v>
      </c>
      <c r="AE436" s="7" t="n">
        <f aca="false">IF(COUNTIF($F$2:F436,F436)=1,IFERROR(AVERAGEIF($F:$F,F436,$AD:$AD),""),"")</f>
        <v>95.5</v>
      </c>
      <c r="AF436" s="8" t="str">
        <f aca="false">IF(AH436&lt;&gt;"",AH436,IF(AE436="","",IF(AE436&gt;=80,"Excellent",IF(AE436&gt;=70,"Very Good",IF(AE436&gt;=60,"Good",IF(AE436&gt;=50,"Average","Poor"))))))</f>
        <v>Excellent</v>
      </c>
      <c r="AG436" s="5"/>
      <c r="AH436" s="4"/>
      <c r="AI436" s="4" t="s">
        <v>82</v>
      </c>
      <c r="AJ436" s="4" t="s">
        <v>62</v>
      </c>
      <c r="AK436" s="4" t="s">
        <v>62</v>
      </c>
      <c r="AL436" s="4" t="s">
        <v>63</v>
      </c>
      <c r="AM436" s="4" t="s">
        <v>62</v>
      </c>
      <c r="AN436" s="4" t="s">
        <v>64</v>
      </c>
      <c r="AO436" s="4" t="s">
        <v>62</v>
      </c>
      <c r="AP436" s="4" t="s">
        <v>62</v>
      </c>
      <c r="AQ436" s="4" t="s">
        <v>62</v>
      </c>
      <c r="AR436" s="4" t="s">
        <v>62</v>
      </c>
      <c r="AS436" s="4" t="s">
        <v>185</v>
      </c>
      <c r="AT436" s="4" t="n">
        <v>5</v>
      </c>
      <c r="AU436" s="4" t="s">
        <v>66</v>
      </c>
      <c r="AV436" s="4" t="s">
        <v>186</v>
      </c>
      <c r="AW436" s="4" t="s">
        <v>1319</v>
      </c>
      <c r="AX436" s="4" t="s">
        <v>924</v>
      </c>
      <c r="AY436" s="4" t="n">
        <v>4</v>
      </c>
      <c r="AZ436" s="4" t="s">
        <v>62</v>
      </c>
      <c r="BA436" s="4" t="s">
        <v>1320</v>
      </c>
      <c r="BB436" s="4" t="s">
        <v>760</v>
      </c>
      <c r="BC436" s="6" t="n">
        <v>0.4211</v>
      </c>
      <c r="BD436" s="4" t="n">
        <v>99</v>
      </c>
    </row>
  </sheetData>
  <autoFilter ref="A1:BD436"/>
  <mergeCells count="488">
    <mergeCell ref="AE3:AE4"/>
    <mergeCell ref="AF3:AF4"/>
    <mergeCell ref="AG3:AG4"/>
    <mergeCell ref="AH3:AH4"/>
    <mergeCell ref="AE5:AE6"/>
    <mergeCell ref="AF5:AF6"/>
    <mergeCell ref="AG5:AG6"/>
    <mergeCell ref="AH5:AH6"/>
    <mergeCell ref="AE8:AE9"/>
    <mergeCell ref="AF8:AF9"/>
    <mergeCell ref="AG8:AG9"/>
    <mergeCell ref="AH8:AH9"/>
    <mergeCell ref="AE10:AE16"/>
    <mergeCell ref="AF10:AF16"/>
    <mergeCell ref="AG10:AG16"/>
    <mergeCell ref="AH10:AH16"/>
    <mergeCell ref="AE20:AE22"/>
    <mergeCell ref="AF20:AF22"/>
    <mergeCell ref="AG20:AG22"/>
    <mergeCell ref="AH20:AH22"/>
    <mergeCell ref="AE25:AE28"/>
    <mergeCell ref="AF25:AF28"/>
    <mergeCell ref="AG25:AG28"/>
    <mergeCell ref="AH25:AH28"/>
    <mergeCell ref="AE29:AE30"/>
    <mergeCell ref="AF29:AF30"/>
    <mergeCell ref="AG29:AG30"/>
    <mergeCell ref="AH29:AH30"/>
    <mergeCell ref="AE32:AE33"/>
    <mergeCell ref="AF32:AF33"/>
    <mergeCell ref="AG32:AG33"/>
    <mergeCell ref="AH32:AH33"/>
    <mergeCell ref="AE34:AE35"/>
    <mergeCell ref="AF34:AF35"/>
    <mergeCell ref="AG34:AG35"/>
    <mergeCell ref="AH34:AH35"/>
    <mergeCell ref="AE37:AE44"/>
    <mergeCell ref="AF37:AF44"/>
    <mergeCell ref="AG37:AG44"/>
    <mergeCell ref="AH37:AH44"/>
    <mergeCell ref="AE45:AE48"/>
    <mergeCell ref="AF45:AF48"/>
    <mergeCell ref="AG45:AG48"/>
    <mergeCell ref="AH45:AH48"/>
    <mergeCell ref="AE49:AE50"/>
    <mergeCell ref="AF49:AF50"/>
    <mergeCell ref="AG49:AG50"/>
    <mergeCell ref="AH49:AH50"/>
    <mergeCell ref="AE51:AE52"/>
    <mergeCell ref="AF51:AF52"/>
    <mergeCell ref="AG51:AG52"/>
    <mergeCell ref="AH51:AH52"/>
    <mergeCell ref="AE53:AE54"/>
    <mergeCell ref="AF53:AF54"/>
    <mergeCell ref="AG53:AG54"/>
    <mergeCell ref="AH53:AH54"/>
    <mergeCell ref="AE56:AE62"/>
    <mergeCell ref="AF56:AF62"/>
    <mergeCell ref="AG56:AG62"/>
    <mergeCell ref="AH56:AH62"/>
    <mergeCell ref="AE63:AE64"/>
    <mergeCell ref="AF63:AF64"/>
    <mergeCell ref="AG63:AG64"/>
    <mergeCell ref="AH63:AH64"/>
    <mergeCell ref="AE65:AE67"/>
    <mergeCell ref="AF65:AF67"/>
    <mergeCell ref="AG65:AG67"/>
    <mergeCell ref="AH65:AH67"/>
    <mergeCell ref="AE68:AE69"/>
    <mergeCell ref="AF68:AF69"/>
    <mergeCell ref="AG68:AG69"/>
    <mergeCell ref="AH68:AH69"/>
    <mergeCell ref="AE71:AE74"/>
    <mergeCell ref="AF71:AF74"/>
    <mergeCell ref="AG71:AG74"/>
    <mergeCell ref="AH71:AH74"/>
    <mergeCell ref="AE75:AE82"/>
    <mergeCell ref="AF75:AF82"/>
    <mergeCell ref="AG75:AG82"/>
    <mergeCell ref="AH75:AH82"/>
    <mergeCell ref="AE83:AE88"/>
    <mergeCell ref="AF83:AF88"/>
    <mergeCell ref="AG83:AG88"/>
    <mergeCell ref="AH83:AH88"/>
    <mergeCell ref="AE89:AE90"/>
    <mergeCell ref="AF89:AF90"/>
    <mergeCell ref="AG89:AG90"/>
    <mergeCell ref="AH89:AH90"/>
    <mergeCell ref="AE92:AE93"/>
    <mergeCell ref="AF92:AF93"/>
    <mergeCell ref="AG92:AG93"/>
    <mergeCell ref="AH92:AH93"/>
    <mergeCell ref="AE94:AE96"/>
    <mergeCell ref="AF94:AF96"/>
    <mergeCell ref="AG94:AG96"/>
    <mergeCell ref="AH94:AH96"/>
    <mergeCell ref="AE98:AE99"/>
    <mergeCell ref="AF98:AF99"/>
    <mergeCell ref="AG98:AG99"/>
    <mergeCell ref="AH98:AH99"/>
    <mergeCell ref="AE100:AE107"/>
    <mergeCell ref="AF100:AF107"/>
    <mergeCell ref="AG100:AG107"/>
    <mergeCell ref="AH100:AH107"/>
    <mergeCell ref="AE108:AE118"/>
    <mergeCell ref="AF108:AF118"/>
    <mergeCell ref="AG108:AG118"/>
    <mergeCell ref="AH108:AH118"/>
    <mergeCell ref="AE119:AE120"/>
    <mergeCell ref="AF119:AF120"/>
    <mergeCell ref="AG119:AG120"/>
    <mergeCell ref="AH119:AH120"/>
    <mergeCell ref="AE123:AE128"/>
    <mergeCell ref="AF123:AF128"/>
    <mergeCell ref="AG123:AG128"/>
    <mergeCell ref="AH123:AH128"/>
    <mergeCell ref="AE129:AE131"/>
    <mergeCell ref="AF129:AF131"/>
    <mergeCell ref="AG129:AG131"/>
    <mergeCell ref="AH129:AH131"/>
    <mergeCell ref="AE132:AE136"/>
    <mergeCell ref="AF132:AF136"/>
    <mergeCell ref="AG132:AG136"/>
    <mergeCell ref="AH132:AH136"/>
    <mergeCell ref="AE137:AE138"/>
    <mergeCell ref="AF137:AF138"/>
    <mergeCell ref="AG137:AG138"/>
    <mergeCell ref="AH137:AH138"/>
    <mergeCell ref="AE140:AE141"/>
    <mergeCell ref="AF140:AF141"/>
    <mergeCell ref="AG140:AG141"/>
    <mergeCell ref="AH140:AH141"/>
    <mergeCell ref="AE142:AE143"/>
    <mergeCell ref="AF142:AF143"/>
    <mergeCell ref="AG142:AG143"/>
    <mergeCell ref="AH142:AH143"/>
    <mergeCell ref="AE145:AE146"/>
    <mergeCell ref="AF145:AF146"/>
    <mergeCell ref="AG145:AG146"/>
    <mergeCell ref="AH145:AH146"/>
    <mergeCell ref="AE147:AE148"/>
    <mergeCell ref="AF147:AF148"/>
    <mergeCell ref="AG147:AG148"/>
    <mergeCell ref="AH147:AH148"/>
    <mergeCell ref="AE150:AE151"/>
    <mergeCell ref="AF150:AF151"/>
    <mergeCell ref="AG150:AG151"/>
    <mergeCell ref="AH150:AH151"/>
    <mergeCell ref="AE155:AE158"/>
    <mergeCell ref="AF155:AF158"/>
    <mergeCell ref="AG155:AG158"/>
    <mergeCell ref="AH155:AH158"/>
    <mergeCell ref="AE160:AE161"/>
    <mergeCell ref="AF160:AF161"/>
    <mergeCell ref="AG160:AG161"/>
    <mergeCell ref="AH160:AH161"/>
    <mergeCell ref="AE162:AE163"/>
    <mergeCell ref="AF162:AF163"/>
    <mergeCell ref="AG162:AG163"/>
    <mergeCell ref="AH162:AH163"/>
    <mergeCell ref="AE164:AE165"/>
    <mergeCell ref="AF164:AF165"/>
    <mergeCell ref="AG164:AG165"/>
    <mergeCell ref="AH164:AH165"/>
    <mergeCell ref="AE168:AE169"/>
    <mergeCell ref="AF168:AF169"/>
    <mergeCell ref="AG168:AG169"/>
    <mergeCell ref="AH168:AH169"/>
    <mergeCell ref="AE172:AE176"/>
    <mergeCell ref="AF172:AF176"/>
    <mergeCell ref="AG172:AG176"/>
    <mergeCell ref="AH172:AH176"/>
    <mergeCell ref="AE178:AE179"/>
    <mergeCell ref="AF178:AF179"/>
    <mergeCell ref="AG178:AG179"/>
    <mergeCell ref="AH178:AH179"/>
    <mergeCell ref="AE182:AE183"/>
    <mergeCell ref="AF182:AF183"/>
    <mergeCell ref="AG182:AG183"/>
    <mergeCell ref="AH182:AH183"/>
    <mergeCell ref="AE186:AE187"/>
    <mergeCell ref="AF186:AF187"/>
    <mergeCell ref="AG186:AG187"/>
    <mergeCell ref="AH186:AH187"/>
    <mergeCell ref="AE192:AE193"/>
    <mergeCell ref="AF192:AF193"/>
    <mergeCell ref="AG192:AG193"/>
    <mergeCell ref="AH192:AH193"/>
    <mergeCell ref="AE194:AE197"/>
    <mergeCell ref="AF194:AF197"/>
    <mergeCell ref="AG194:AG197"/>
    <mergeCell ref="AH194:AH197"/>
    <mergeCell ref="AE200:AE203"/>
    <mergeCell ref="AF200:AF203"/>
    <mergeCell ref="AG200:AG203"/>
    <mergeCell ref="AH200:AH203"/>
    <mergeCell ref="AE205:AE207"/>
    <mergeCell ref="AF205:AF207"/>
    <mergeCell ref="AG205:AG207"/>
    <mergeCell ref="AH205:AH207"/>
    <mergeCell ref="AE212:AE213"/>
    <mergeCell ref="AF212:AF213"/>
    <mergeCell ref="AG212:AG213"/>
    <mergeCell ref="AH212:AH213"/>
    <mergeCell ref="AE217:AE218"/>
    <mergeCell ref="AF217:AF218"/>
    <mergeCell ref="AG217:AG218"/>
    <mergeCell ref="AH217:AH218"/>
    <mergeCell ref="AE220:AE221"/>
    <mergeCell ref="AF220:AF221"/>
    <mergeCell ref="AG220:AG221"/>
    <mergeCell ref="AH220:AH221"/>
    <mergeCell ref="AE222:AE223"/>
    <mergeCell ref="AF222:AF223"/>
    <mergeCell ref="AG222:AG223"/>
    <mergeCell ref="AH222:AH223"/>
    <mergeCell ref="AE224:AE226"/>
    <mergeCell ref="AF224:AF226"/>
    <mergeCell ref="AG224:AG226"/>
    <mergeCell ref="AH224:AH226"/>
    <mergeCell ref="AE227:AE228"/>
    <mergeCell ref="AF227:AF228"/>
    <mergeCell ref="AG227:AG228"/>
    <mergeCell ref="AH227:AH228"/>
    <mergeCell ref="AE229:AE230"/>
    <mergeCell ref="AF229:AF230"/>
    <mergeCell ref="AG229:AG230"/>
    <mergeCell ref="AH229:AH230"/>
    <mergeCell ref="AE231:AE235"/>
    <mergeCell ref="AF231:AF235"/>
    <mergeCell ref="AG231:AG235"/>
    <mergeCell ref="AH231:AH235"/>
    <mergeCell ref="AE236:AE238"/>
    <mergeCell ref="AF236:AF238"/>
    <mergeCell ref="AG236:AG238"/>
    <mergeCell ref="AH236:AH238"/>
    <mergeCell ref="AE239:AE240"/>
    <mergeCell ref="AF239:AF240"/>
    <mergeCell ref="AG239:AG240"/>
    <mergeCell ref="AH239:AH240"/>
    <mergeCell ref="AE241:AE242"/>
    <mergeCell ref="AF241:AF242"/>
    <mergeCell ref="AG241:AG242"/>
    <mergeCell ref="AH241:AH242"/>
    <mergeCell ref="AE243:AE244"/>
    <mergeCell ref="AF243:AF244"/>
    <mergeCell ref="AG243:AG244"/>
    <mergeCell ref="AH243:AH244"/>
    <mergeCell ref="AE246:AE250"/>
    <mergeCell ref="AF246:AF250"/>
    <mergeCell ref="AG246:AG250"/>
    <mergeCell ref="AH246:AH250"/>
    <mergeCell ref="AE251:AE256"/>
    <mergeCell ref="AF251:AF256"/>
    <mergeCell ref="AG251:AG256"/>
    <mergeCell ref="AH251:AH256"/>
    <mergeCell ref="AE257:AE258"/>
    <mergeCell ref="AF257:AF258"/>
    <mergeCell ref="AG257:AG258"/>
    <mergeCell ref="AH257:AH258"/>
    <mergeCell ref="AE259:AE260"/>
    <mergeCell ref="AF259:AF260"/>
    <mergeCell ref="AG259:AG260"/>
    <mergeCell ref="AH259:AH260"/>
    <mergeCell ref="AE262:AE264"/>
    <mergeCell ref="AF262:AF264"/>
    <mergeCell ref="AG262:AG264"/>
    <mergeCell ref="AH262:AH264"/>
    <mergeCell ref="AE265:AE266"/>
    <mergeCell ref="AF265:AF266"/>
    <mergeCell ref="AG265:AG266"/>
    <mergeCell ref="AH265:AH266"/>
    <mergeCell ref="AE268:AE269"/>
    <mergeCell ref="AF268:AF269"/>
    <mergeCell ref="AG268:AG269"/>
    <mergeCell ref="AH268:AH269"/>
    <mergeCell ref="AE272:AE273"/>
    <mergeCell ref="AF272:AF273"/>
    <mergeCell ref="AG272:AG273"/>
    <mergeCell ref="AH272:AH273"/>
    <mergeCell ref="AE274:AE276"/>
    <mergeCell ref="AF274:AF276"/>
    <mergeCell ref="AG274:AG276"/>
    <mergeCell ref="AH274:AH276"/>
    <mergeCell ref="AE277:AE281"/>
    <mergeCell ref="AF277:AF281"/>
    <mergeCell ref="AG277:AG281"/>
    <mergeCell ref="AH277:AH281"/>
    <mergeCell ref="AE282:AE283"/>
    <mergeCell ref="AF282:AF283"/>
    <mergeCell ref="AG282:AG283"/>
    <mergeCell ref="AH282:AH283"/>
    <mergeCell ref="AE284:AE287"/>
    <mergeCell ref="AF284:AF287"/>
    <mergeCell ref="AG284:AG287"/>
    <mergeCell ref="AH284:AH287"/>
    <mergeCell ref="AE288:AE290"/>
    <mergeCell ref="AF288:AF290"/>
    <mergeCell ref="AG288:AG290"/>
    <mergeCell ref="AH288:AH290"/>
    <mergeCell ref="AE291:AE292"/>
    <mergeCell ref="AF291:AF292"/>
    <mergeCell ref="AG291:AG292"/>
    <mergeCell ref="AH291:AH292"/>
    <mergeCell ref="AE293:AE295"/>
    <mergeCell ref="AF293:AF295"/>
    <mergeCell ref="AG293:AG295"/>
    <mergeCell ref="AH293:AH295"/>
    <mergeCell ref="AE296:AE298"/>
    <mergeCell ref="AF296:AF298"/>
    <mergeCell ref="AG296:AG298"/>
    <mergeCell ref="AH296:AH298"/>
    <mergeCell ref="AE299:AE300"/>
    <mergeCell ref="AF299:AF300"/>
    <mergeCell ref="AG299:AG300"/>
    <mergeCell ref="AH299:AH300"/>
    <mergeCell ref="AE302:AE304"/>
    <mergeCell ref="AF302:AF304"/>
    <mergeCell ref="AG302:AG304"/>
    <mergeCell ref="AH302:AH304"/>
    <mergeCell ref="AE305:AE308"/>
    <mergeCell ref="AF305:AF308"/>
    <mergeCell ref="AG305:AG308"/>
    <mergeCell ref="AH305:AH308"/>
    <mergeCell ref="AE309:AE310"/>
    <mergeCell ref="AF309:AF310"/>
    <mergeCell ref="AG309:AG310"/>
    <mergeCell ref="AH309:AH310"/>
    <mergeCell ref="AE311:AE314"/>
    <mergeCell ref="AF311:AF314"/>
    <mergeCell ref="AG311:AG314"/>
    <mergeCell ref="AH311:AH314"/>
    <mergeCell ref="AE315:AE316"/>
    <mergeCell ref="AF315:AF316"/>
    <mergeCell ref="AG315:AG316"/>
    <mergeCell ref="AH315:AH316"/>
    <mergeCell ref="AE317:AE322"/>
    <mergeCell ref="AF317:AF322"/>
    <mergeCell ref="AG317:AG322"/>
    <mergeCell ref="AH317:AH322"/>
    <mergeCell ref="AE323:AE324"/>
    <mergeCell ref="AF323:AF324"/>
    <mergeCell ref="AG323:AG324"/>
    <mergeCell ref="AH323:AH324"/>
    <mergeCell ref="AE326:AE328"/>
    <mergeCell ref="AF326:AF328"/>
    <mergeCell ref="AG326:AG328"/>
    <mergeCell ref="AH326:AH328"/>
    <mergeCell ref="AE329:AE331"/>
    <mergeCell ref="AF329:AF331"/>
    <mergeCell ref="AG329:AG331"/>
    <mergeCell ref="AH329:AH331"/>
    <mergeCell ref="AE332:AE334"/>
    <mergeCell ref="AF332:AF334"/>
    <mergeCell ref="AG332:AG334"/>
    <mergeCell ref="AH332:AH334"/>
    <mergeCell ref="AE335:AE339"/>
    <mergeCell ref="AF335:AF339"/>
    <mergeCell ref="AG335:AG339"/>
    <mergeCell ref="AH335:AH339"/>
    <mergeCell ref="AE340:AE342"/>
    <mergeCell ref="AF340:AF342"/>
    <mergeCell ref="AG340:AG342"/>
    <mergeCell ref="AH340:AH342"/>
    <mergeCell ref="AE343:AE346"/>
    <mergeCell ref="AF343:AF346"/>
    <mergeCell ref="AG343:AG346"/>
    <mergeCell ref="AH343:AH346"/>
    <mergeCell ref="AE347:AE348"/>
    <mergeCell ref="AF347:AF348"/>
    <mergeCell ref="AG347:AG348"/>
    <mergeCell ref="AH347:AH348"/>
    <mergeCell ref="AE351:AE352"/>
    <mergeCell ref="AF351:AF352"/>
    <mergeCell ref="AG351:AG352"/>
    <mergeCell ref="AH351:AH352"/>
    <mergeCell ref="AE355:AE356"/>
    <mergeCell ref="AF355:AF356"/>
    <mergeCell ref="AG355:AG356"/>
    <mergeCell ref="AH355:AH356"/>
    <mergeCell ref="AE357:AE358"/>
    <mergeCell ref="AF357:AF358"/>
    <mergeCell ref="AG357:AG358"/>
    <mergeCell ref="AH357:AH358"/>
    <mergeCell ref="AE359:AE365"/>
    <mergeCell ref="AF359:AF365"/>
    <mergeCell ref="AG359:AG365"/>
    <mergeCell ref="AH359:AH365"/>
    <mergeCell ref="AE368:AE369"/>
    <mergeCell ref="AF368:AF369"/>
    <mergeCell ref="AG368:AG369"/>
    <mergeCell ref="AH368:AH369"/>
    <mergeCell ref="AE370:AE371"/>
    <mergeCell ref="AF370:AF371"/>
    <mergeCell ref="AG370:AG371"/>
    <mergeCell ref="AH370:AH371"/>
    <mergeCell ref="AE372:AE374"/>
    <mergeCell ref="AF372:AF374"/>
    <mergeCell ref="AG372:AG374"/>
    <mergeCell ref="AH372:AH374"/>
    <mergeCell ref="AE375:AE376"/>
    <mergeCell ref="AF375:AF376"/>
    <mergeCell ref="AG375:AG376"/>
    <mergeCell ref="AH375:AH376"/>
    <mergeCell ref="AE378:AE379"/>
    <mergeCell ref="AF378:AF379"/>
    <mergeCell ref="AG378:AG379"/>
    <mergeCell ref="AH378:AH379"/>
    <mergeCell ref="AE380:AE381"/>
    <mergeCell ref="AF380:AF381"/>
    <mergeCell ref="AG380:AG381"/>
    <mergeCell ref="AH380:AH381"/>
    <mergeCell ref="AE382:AE383"/>
    <mergeCell ref="AF382:AF383"/>
    <mergeCell ref="AG382:AG383"/>
    <mergeCell ref="AH382:AH383"/>
    <mergeCell ref="AE385:AE386"/>
    <mergeCell ref="AF385:AF386"/>
    <mergeCell ref="AG385:AG386"/>
    <mergeCell ref="AH385:AH386"/>
    <mergeCell ref="AE387:AE389"/>
    <mergeCell ref="AF387:AF389"/>
    <mergeCell ref="AG387:AG389"/>
    <mergeCell ref="AH387:AH389"/>
    <mergeCell ref="AE390:AE391"/>
    <mergeCell ref="AF390:AF391"/>
    <mergeCell ref="AG390:AG391"/>
    <mergeCell ref="AH390:AH391"/>
    <mergeCell ref="AE392:AE393"/>
    <mergeCell ref="AF392:AF393"/>
    <mergeCell ref="AG392:AG393"/>
    <mergeCell ref="AH392:AH393"/>
    <mergeCell ref="AE394:AE395"/>
    <mergeCell ref="AF394:AF395"/>
    <mergeCell ref="AG394:AG395"/>
    <mergeCell ref="AH394:AH395"/>
    <mergeCell ref="AE400:AE401"/>
    <mergeCell ref="AF400:AF401"/>
    <mergeCell ref="AG400:AG401"/>
    <mergeCell ref="AH400:AH401"/>
    <mergeCell ref="AE408:AE409"/>
    <mergeCell ref="AF408:AF409"/>
    <mergeCell ref="AG408:AG409"/>
    <mergeCell ref="AH408:AH409"/>
    <mergeCell ref="AE410:AE411"/>
    <mergeCell ref="AF410:AF411"/>
    <mergeCell ref="AG410:AG411"/>
    <mergeCell ref="AH410:AH411"/>
    <mergeCell ref="AE412:AE413"/>
    <mergeCell ref="AF412:AF413"/>
    <mergeCell ref="AG412:AG413"/>
    <mergeCell ref="AH412:AH413"/>
    <mergeCell ref="AE414:AE415"/>
    <mergeCell ref="AF414:AF415"/>
    <mergeCell ref="AG414:AG415"/>
    <mergeCell ref="AH414:AH415"/>
    <mergeCell ref="AE416:AE417"/>
    <mergeCell ref="AF416:AF417"/>
    <mergeCell ref="AG416:AG417"/>
    <mergeCell ref="AH416:AH417"/>
    <mergeCell ref="AE418:AE419"/>
    <mergeCell ref="AF418:AF419"/>
    <mergeCell ref="AG418:AG419"/>
    <mergeCell ref="AH418:AH419"/>
    <mergeCell ref="AE421:AE422"/>
    <mergeCell ref="AF421:AF422"/>
    <mergeCell ref="AG421:AG422"/>
    <mergeCell ref="AH421:AH422"/>
    <mergeCell ref="AE423:AE424"/>
    <mergeCell ref="AF423:AF424"/>
    <mergeCell ref="AG423:AG424"/>
    <mergeCell ref="AH423:AH424"/>
    <mergeCell ref="AE427:AE428"/>
    <mergeCell ref="AF427:AF428"/>
    <mergeCell ref="AG427:AG428"/>
    <mergeCell ref="AH427:AH428"/>
    <mergeCell ref="AE429:AE430"/>
    <mergeCell ref="AF429:AF430"/>
    <mergeCell ref="AG429:AG430"/>
    <mergeCell ref="AH429:AH430"/>
    <mergeCell ref="AE432:AE433"/>
    <mergeCell ref="AF432:AF433"/>
    <mergeCell ref="AG432:AG433"/>
    <mergeCell ref="AH432:AH433"/>
    <mergeCell ref="AE434:AE435"/>
    <mergeCell ref="AF434:AF435"/>
    <mergeCell ref="AG434:AG435"/>
    <mergeCell ref="AH434:AH435"/>
  </mergeCells>
  <conditionalFormatting sqref="AF2:AF436">
    <cfRule type="expression" priority="2" aboveAverage="0" equalAverage="0" bottom="0" percent="0" rank="0" text="" dxfId="11">
      <formula>AF2="Excellent"</formula>
    </cfRule>
    <cfRule type="expression" priority="3" aboveAverage="0" equalAverage="0" bottom="0" percent="0" rank="0" text="" dxfId="12">
      <formula>AF2="Very Good"</formula>
    </cfRule>
    <cfRule type="expression" priority="4" aboveAverage="0" equalAverage="0" bottom="0" percent="0" rank="0" text="" dxfId="13">
      <formula>AF2="Good"</formula>
    </cfRule>
    <cfRule type="expression" priority="5" aboveAverage="0" equalAverage="0" bottom="0" percent="0" rank="0" text="" dxfId="14">
      <formula>AF2="Average"</formula>
    </cfRule>
    <cfRule type="expression" priority="6" aboveAverage="0" equalAverage="0" bottom="0" percent="0" rank="0" text="" dxfId="15">
      <formula>AF2="Poor"</formula>
    </cfRule>
  </conditionalFormatting>
  <dataValidations count="1">
    <dataValidation allowBlank="true" errorStyle="stop" operator="between" showDropDown="false" showErrorMessage="false" showInputMessage="false" sqref="AH2:AH936" type="list">
      <formula1>"Excellent,Very Good,Good,Average,Poor,Closed,No Classes"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60"/>
    <col collapsed="false" customWidth="true" hidden="false" outlineLevel="0" max="4" min="4" style="0" width="8"/>
    <col collapsed="false" customWidth="true" hidden="false" outlineLevel="0" max="5" min="5" style="0" width="14"/>
    <col collapsed="false" customWidth="true" hidden="false" outlineLevel="0" max="6" min="6" style="0" width="60"/>
  </cols>
  <sheetData>
    <row r="1" customFormat="false" ht="17.35" hidden="false" customHeight="false" outlineLevel="0" collapsed="false">
      <c r="A1" s="10" t="s">
        <v>1321</v>
      </c>
    </row>
    <row r="2" customFormat="false" ht="15" hidden="false" customHeight="false" outlineLevel="0" collapsed="false">
      <c r="A2" s="11" t="s">
        <v>1322</v>
      </c>
    </row>
    <row r="4" customFormat="false" ht="15" hidden="false" customHeight="false" outlineLevel="0" collapsed="false">
      <c r="A4" s="12" t="s">
        <v>1323</v>
      </c>
      <c r="B4" s="12" t="s">
        <v>1324</v>
      </c>
      <c r="C4" s="12" t="s">
        <v>1325</v>
      </c>
      <c r="D4" s="12" t="s">
        <v>1326</v>
      </c>
      <c r="E4" s="12" t="s">
        <v>1327</v>
      </c>
      <c r="F4" s="12" t="s">
        <v>1328</v>
      </c>
    </row>
    <row r="5" customFormat="false" ht="25.35" hidden="false" customHeight="false" outlineLevel="0" collapsed="false">
      <c r="A5" s="13" t="s">
        <v>1329</v>
      </c>
      <c r="B5" s="13" t="s">
        <v>1330</v>
      </c>
      <c r="C5" s="13" t="s">
        <v>1331</v>
      </c>
      <c r="D5" s="13" t="n">
        <v>50</v>
      </c>
      <c r="E5" s="13" t="s">
        <v>1332</v>
      </c>
      <c r="F5" s="13" t="s">
        <v>1333</v>
      </c>
    </row>
    <row r="6" customFormat="false" ht="25.35" hidden="false" customHeight="false" outlineLevel="0" collapsed="false">
      <c r="A6" s="13" t="s">
        <v>1334</v>
      </c>
      <c r="B6" s="13" t="s">
        <v>1335</v>
      </c>
      <c r="C6" s="13" t="s">
        <v>1336</v>
      </c>
      <c r="D6" s="13" t="n">
        <v>2.5</v>
      </c>
      <c r="E6" s="13" t="s">
        <v>1332</v>
      </c>
      <c r="F6" s="13" t="s">
        <v>1337</v>
      </c>
    </row>
    <row r="7" customFormat="false" ht="25.35" hidden="false" customHeight="false" outlineLevel="0" collapsed="false">
      <c r="A7" s="13" t="s">
        <v>1338</v>
      </c>
      <c r="B7" s="13" t="s">
        <v>1339</v>
      </c>
      <c r="C7" s="13" t="s">
        <v>1340</v>
      </c>
      <c r="D7" s="13" t="n">
        <v>10</v>
      </c>
      <c r="E7" s="13" t="s">
        <v>1332</v>
      </c>
      <c r="F7" s="13" t="s">
        <v>1341</v>
      </c>
    </row>
    <row r="8" customFormat="false" ht="37.3" hidden="false" customHeight="false" outlineLevel="0" collapsed="false">
      <c r="A8" s="13" t="s">
        <v>1342</v>
      </c>
      <c r="B8" s="13" t="s">
        <v>1343</v>
      </c>
      <c r="C8" s="13" t="s">
        <v>1344</v>
      </c>
      <c r="D8" s="13" t="n">
        <v>5</v>
      </c>
      <c r="E8" s="13" t="s">
        <v>1332</v>
      </c>
      <c r="F8" s="13" t="s">
        <v>1345</v>
      </c>
    </row>
    <row r="9" customFormat="false" ht="25.35" hidden="false" customHeight="false" outlineLevel="0" collapsed="false">
      <c r="A9" s="13" t="s">
        <v>1346</v>
      </c>
      <c r="B9" s="13" t="s">
        <v>1347</v>
      </c>
      <c r="C9" s="13" t="s">
        <v>1348</v>
      </c>
      <c r="D9" s="13" t="n">
        <v>5</v>
      </c>
      <c r="E9" s="13" t="s">
        <v>1332</v>
      </c>
      <c r="F9" s="13" t="s">
        <v>1349</v>
      </c>
    </row>
    <row r="10" customFormat="false" ht="61.15" hidden="false" customHeight="false" outlineLevel="0" collapsed="false">
      <c r="A10" s="13" t="s">
        <v>1350</v>
      </c>
      <c r="B10" s="13" t="s">
        <v>1351</v>
      </c>
      <c r="C10" s="13" t="s">
        <v>1352</v>
      </c>
      <c r="D10" s="13" t="n">
        <v>5</v>
      </c>
      <c r="E10" s="13" t="s">
        <v>1332</v>
      </c>
      <c r="F10" s="13" t="s">
        <v>1353</v>
      </c>
    </row>
    <row r="11" customFormat="false" ht="25.35" hidden="false" customHeight="false" outlineLevel="0" collapsed="false">
      <c r="A11" s="13" t="s">
        <v>1354</v>
      </c>
      <c r="B11" s="13" t="s">
        <v>1355</v>
      </c>
      <c r="C11" s="13" t="s">
        <v>1356</v>
      </c>
      <c r="D11" s="13" t="n">
        <v>5</v>
      </c>
      <c r="E11" s="13" t="s">
        <v>1332</v>
      </c>
      <c r="F11" s="13" t="s">
        <v>1357</v>
      </c>
    </row>
    <row r="12" customFormat="false" ht="25.35" hidden="false" customHeight="false" outlineLevel="0" collapsed="false">
      <c r="A12" s="13" t="s">
        <v>1358</v>
      </c>
      <c r="B12" s="13" t="s">
        <v>1359</v>
      </c>
      <c r="C12" s="13" t="s">
        <v>1360</v>
      </c>
      <c r="D12" s="13" t="n">
        <v>2.5</v>
      </c>
      <c r="E12" s="13" t="s">
        <v>1332</v>
      </c>
      <c r="F12" s="13" t="s">
        <v>1361</v>
      </c>
    </row>
    <row r="13" customFormat="false" ht="25.35" hidden="false" customHeight="false" outlineLevel="0" collapsed="false">
      <c r="A13" s="13" t="s">
        <v>1362</v>
      </c>
      <c r="B13" s="13" t="s">
        <v>1363</v>
      </c>
      <c r="C13" s="13" t="s">
        <v>1364</v>
      </c>
      <c r="D13" s="13" t="n">
        <v>5</v>
      </c>
      <c r="E13" s="13" t="s">
        <v>1332</v>
      </c>
      <c r="F13" s="13" t="s">
        <v>1365</v>
      </c>
    </row>
    <row r="14" customFormat="false" ht="37.3" hidden="false" customHeight="false" outlineLevel="0" collapsed="false">
      <c r="A14" s="13" t="s">
        <v>1366</v>
      </c>
      <c r="B14" s="13" t="s">
        <v>1367</v>
      </c>
      <c r="C14" s="13" t="s">
        <v>1368</v>
      </c>
      <c r="D14" s="13" t="n">
        <v>5</v>
      </c>
      <c r="E14" s="13" t="s">
        <v>1332</v>
      </c>
      <c r="F14" s="13" t="s">
        <v>1369</v>
      </c>
    </row>
    <row r="15" customFormat="false" ht="49.25" hidden="false" customHeight="false" outlineLevel="0" collapsed="false">
      <c r="A15" s="13" t="s">
        <v>1370</v>
      </c>
      <c r="B15" s="13" t="s">
        <v>1371</v>
      </c>
      <c r="C15" s="13" t="s">
        <v>1372</v>
      </c>
      <c r="D15" s="13" t="n">
        <v>5</v>
      </c>
      <c r="E15" s="13" t="s">
        <v>1332</v>
      </c>
      <c r="F15" s="13" t="s">
        <v>1373</v>
      </c>
    </row>
    <row r="16" customFormat="false" ht="15" hidden="false" customHeight="false" outlineLevel="0" collapsed="false">
      <c r="A16" s="14"/>
      <c r="B16" s="14" t="s">
        <v>1374</v>
      </c>
      <c r="C16" s="14"/>
      <c r="D16" s="14" t="n">
        <v>100</v>
      </c>
      <c r="E16" s="14"/>
      <c r="F16" s="14"/>
    </row>
    <row r="18" customFormat="false" ht="15" hidden="false" customHeight="false" outlineLevel="0" collapsed="false">
      <c r="A18" s="15" t="s">
        <v>1323</v>
      </c>
      <c r="B18" s="15" t="s">
        <v>1375</v>
      </c>
      <c r="C18" s="15" t="s">
        <v>1376</v>
      </c>
      <c r="D18" s="15"/>
      <c r="E18" s="15"/>
      <c r="F18" s="15" t="s">
        <v>1377</v>
      </c>
    </row>
    <row r="19" customFormat="false" ht="49.25" hidden="false" customHeight="true" outlineLevel="0" collapsed="false">
      <c r="A19" s="13" t="s">
        <v>1378</v>
      </c>
      <c r="B19" s="13" t="s">
        <v>1379</v>
      </c>
      <c r="C19" s="13" t="s">
        <v>1380</v>
      </c>
      <c r="D19" s="13"/>
      <c r="E19" s="13"/>
      <c r="F19" s="13" t="s">
        <v>1381</v>
      </c>
    </row>
    <row r="20" customFormat="false" ht="15" hidden="false" customHeight="true" outlineLevel="0" collapsed="false">
      <c r="A20" s="13" t="s">
        <v>1382</v>
      </c>
      <c r="B20" s="13" t="s">
        <v>29</v>
      </c>
      <c r="C20" s="13" t="s">
        <v>1383</v>
      </c>
      <c r="D20" s="13"/>
      <c r="E20" s="13"/>
      <c r="F20" s="13" t="s">
        <v>1384</v>
      </c>
    </row>
    <row r="21" customFormat="false" ht="25.35" hidden="false" customHeight="true" outlineLevel="0" collapsed="false">
      <c r="A21" s="13" t="s">
        <v>1385</v>
      </c>
      <c r="B21" s="13" t="s">
        <v>30</v>
      </c>
      <c r="C21" s="13" t="s">
        <v>1386</v>
      </c>
      <c r="D21" s="13"/>
      <c r="E21" s="13"/>
      <c r="F21" s="13" t="s">
        <v>1387</v>
      </c>
    </row>
    <row r="22" customFormat="false" ht="25.35" hidden="false" customHeight="true" outlineLevel="0" collapsed="false">
      <c r="A22" s="13" t="s">
        <v>1388</v>
      </c>
      <c r="B22" s="13" t="s">
        <v>31</v>
      </c>
      <c r="C22" s="13" t="s">
        <v>1389</v>
      </c>
      <c r="D22" s="13"/>
      <c r="E22" s="13"/>
      <c r="F22" s="13" t="s">
        <v>1390</v>
      </c>
    </row>
    <row r="23" customFormat="false" ht="25.35" hidden="false" customHeight="true" outlineLevel="0" collapsed="false">
      <c r="A23" s="13" t="s">
        <v>1391</v>
      </c>
      <c r="B23" s="13" t="s">
        <v>32</v>
      </c>
      <c r="C23" s="13" t="s">
        <v>1392</v>
      </c>
      <c r="D23" s="13"/>
      <c r="E23" s="13"/>
      <c r="F23" s="13" t="s">
        <v>1393</v>
      </c>
    </row>
    <row r="24" customFormat="false" ht="25.35" hidden="false" customHeight="true" outlineLevel="0" collapsed="false">
      <c r="A24" s="13" t="s">
        <v>1394</v>
      </c>
      <c r="B24" s="13" t="s">
        <v>33</v>
      </c>
      <c r="C24" s="13" t="s">
        <v>1395</v>
      </c>
      <c r="D24" s="13"/>
      <c r="E24" s="13"/>
      <c r="F24" s="13" t="s">
        <v>1396</v>
      </c>
    </row>
    <row r="26" customFormat="false" ht="15" hidden="false" customHeight="false" outlineLevel="0" collapsed="false">
      <c r="A26" s="15" t="s">
        <v>1397</v>
      </c>
      <c r="B26" s="15" t="s">
        <v>1398</v>
      </c>
      <c r="C26" s="15"/>
      <c r="D26" s="15"/>
      <c r="E26" s="15"/>
      <c r="F26" s="15"/>
    </row>
    <row r="27" customFormat="false" ht="15" hidden="false" customHeight="false" outlineLevel="0" collapsed="false">
      <c r="A27" s="16" t="s">
        <v>65</v>
      </c>
      <c r="B27" s="13" t="s">
        <v>1399</v>
      </c>
      <c r="C27" s="13"/>
      <c r="D27" s="13"/>
      <c r="E27" s="13"/>
      <c r="F27" s="13"/>
    </row>
    <row r="28" customFormat="false" ht="25.35" hidden="false" customHeight="false" outlineLevel="0" collapsed="false">
      <c r="A28" s="17" t="s">
        <v>74</v>
      </c>
      <c r="B28" s="13" t="s">
        <v>1400</v>
      </c>
      <c r="C28" s="13"/>
      <c r="D28" s="13"/>
      <c r="E28" s="13"/>
      <c r="F28" s="13"/>
    </row>
    <row r="29" customFormat="false" ht="15" hidden="false" customHeight="false" outlineLevel="0" collapsed="false">
      <c r="A29" s="18" t="s">
        <v>185</v>
      </c>
      <c r="B29" s="13" t="s">
        <v>1401</v>
      </c>
      <c r="C29" s="13"/>
      <c r="D29" s="13"/>
      <c r="E29" s="13"/>
      <c r="F29" s="13"/>
    </row>
    <row r="30" customFormat="false" ht="15" hidden="false" customHeight="false" outlineLevel="0" collapsed="false">
      <c r="A30" s="19" t="s">
        <v>173</v>
      </c>
      <c r="B30" s="13" t="s">
        <v>1402</v>
      </c>
      <c r="C30" s="13"/>
      <c r="D30" s="13"/>
      <c r="E30" s="13"/>
      <c r="F30" s="13"/>
    </row>
    <row r="31" customFormat="false" ht="15" hidden="false" customHeight="false" outlineLevel="0" collapsed="false">
      <c r="A31" s="20" t="s">
        <v>203</v>
      </c>
      <c r="B31" s="13" t="s">
        <v>1403</v>
      </c>
      <c r="C31" s="13"/>
      <c r="D31" s="13"/>
      <c r="E31" s="13"/>
      <c r="F31" s="13"/>
    </row>
    <row r="33" customFormat="false" ht="25.35" hidden="false" customHeight="false" outlineLevel="0" collapsed="false">
      <c r="A33" s="15" t="s">
        <v>1404</v>
      </c>
      <c r="B33" s="15" t="s">
        <v>1405</v>
      </c>
      <c r="C33" s="15"/>
      <c r="D33" s="15"/>
      <c r="E33" s="15"/>
      <c r="F33" s="15"/>
    </row>
    <row r="34" customFormat="false" ht="45" hidden="false" customHeight="true" outlineLevel="0" collapsed="false">
      <c r="A34" s="21" t="n">
        <v>1</v>
      </c>
      <c r="B34" s="22" t="s">
        <v>1406</v>
      </c>
      <c r="C34" s="22"/>
      <c r="D34" s="22"/>
      <c r="E34" s="22"/>
      <c r="F34" s="22"/>
    </row>
    <row r="35" customFormat="false" ht="45" hidden="false" customHeight="true" outlineLevel="0" collapsed="false">
      <c r="A35" s="21" t="n">
        <v>2</v>
      </c>
      <c r="B35" s="22" t="s">
        <v>1407</v>
      </c>
      <c r="C35" s="22"/>
      <c r="D35" s="22"/>
      <c r="E35" s="22"/>
      <c r="F35" s="22"/>
    </row>
    <row r="36" customFormat="false" ht="45" hidden="false" customHeight="true" outlineLevel="0" collapsed="false">
      <c r="A36" s="21" t="n">
        <v>3</v>
      </c>
      <c r="B36" s="22" t="s">
        <v>1408</v>
      </c>
      <c r="C36" s="22"/>
      <c r="D36" s="22"/>
      <c r="E36" s="22"/>
      <c r="F36" s="22"/>
    </row>
    <row r="37" customFormat="false" ht="45" hidden="false" customHeight="true" outlineLevel="0" collapsed="false">
      <c r="A37" s="21" t="n">
        <v>4</v>
      </c>
      <c r="B37" s="22" t="s">
        <v>1409</v>
      </c>
      <c r="C37" s="22"/>
      <c r="D37" s="22"/>
      <c r="E37" s="22"/>
      <c r="F37" s="22"/>
    </row>
    <row r="38" customFormat="false" ht="30" hidden="false" customHeight="true" outlineLevel="0" collapsed="false">
      <c r="A38" s="21" t="n">
        <v>5</v>
      </c>
      <c r="B38" s="22" t="s">
        <v>1410</v>
      </c>
      <c r="C38" s="22"/>
      <c r="D38" s="22"/>
      <c r="E38" s="22"/>
      <c r="F38" s="22"/>
    </row>
    <row r="39" customFormat="false" ht="30" hidden="false" customHeight="true" outlineLevel="0" collapsed="false">
      <c r="A39" s="21" t="n">
        <v>6</v>
      </c>
      <c r="B39" s="22" t="s">
        <v>1411</v>
      </c>
      <c r="C39" s="22"/>
      <c r="D39" s="22"/>
      <c r="E39" s="22"/>
      <c r="F39" s="22"/>
    </row>
    <row r="40" customFormat="false" ht="15" hidden="false" customHeight="true" outlineLevel="0" collapsed="false">
      <c r="A40" s="21" t="n">
        <v>7</v>
      </c>
      <c r="B40" s="22" t="s">
        <v>1412</v>
      </c>
      <c r="C40" s="22"/>
      <c r="D40" s="22"/>
      <c r="E40" s="22"/>
      <c r="F40" s="22"/>
    </row>
  </sheetData>
  <mergeCells count="13">
    <mergeCell ref="C19:E19"/>
    <mergeCell ref="C20:E20"/>
    <mergeCell ref="C21:E21"/>
    <mergeCell ref="C22:E22"/>
    <mergeCell ref="C23:E23"/>
    <mergeCell ref="C24:E24"/>
    <mergeCell ref="B34:F34"/>
    <mergeCell ref="B35:F35"/>
    <mergeCell ref="B36:F36"/>
    <mergeCell ref="B37:F37"/>
    <mergeCell ref="B38:F38"/>
    <mergeCell ref="B39:F39"/>
    <mergeCell ref="B40:F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40"/>
    <col collapsed="false" customWidth="true" hidden="false" outlineLevel="0" max="4" min="4" style="0" width="30"/>
    <col collapsed="false" customWidth="true" hidden="false" outlineLevel="0" max="5" min="5" style="0" width="22"/>
    <col collapsed="false" customWidth="true" hidden="false" outlineLevel="0" max="7" min="6" style="0" width="16"/>
    <col collapsed="false" customWidth="true" hidden="false" outlineLevel="0" max="8" min="8" style="0" width="70"/>
  </cols>
  <sheetData>
    <row r="1" customFormat="false" ht="17.35" hidden="false" customHeight="false" outlineLevel="0" collapsed="false">
      <c r="A1" s="10" t="s">
        <v>1413</v>
      </c>
    </row>
    <row r="3" customFormat="false" ht="49.25" hidden="false" customHeight="false" outlineLevel="0" collapsed="false">
      <c r="A3" s="12" t="s">
        <v>1404</v>
      </c>
      <c r="B3" s="12" t="s">
        <v>1414</v>
      </c>
      <c r="C3" s="12" t="s">
        <v>1415</v>
      </c>
      <c r="D3" s="12" t="s">
        <v>1416</v>
      </c>
      <c r="E3" s="12" t="s">
        <v>1417</v>
      </c>
      <c r="F3" s="12" t="s">
        <v>1418</v>
      </c>
      <c r="G3" s="12" t="s">
        <v>1419</v>
      </c>
      <c r="H3" s="12" t="s">
        <v>1420</v>
      </c>
    </row>
    <row r="4" customFormat="false" ht="37.3" hidden="false" customHeight="false" outlineLevel="0" collapsed="false">
      <c r="A4" s="13" t="n">
        <v>1</v>
      </c>
      <c r="B4" s="13" t="s">
        <v>1421</v>
      </c>
      <c r="C4" s="13" t="s">
        <v>1422</v>
      </c>
      <c r="D4" s="13"/>
      <c r="E4" s="13" t="s">
        <v>1379</v>
      </c>
      <c r="F4" s="13" t="s">
        <v>1423</v>
      </c>
      <c r="G4" s="13" t="s">
        <v>1424</v>
      </c>
      <c r="H4" s="13" t="s">
        <v>1425</v>
      </c>
    </row>
    <row r="5" customFormat="false" ht="25.35" hidden="false" customHeight="false" outlineLevel="0" collapsed="false">
      <c r="A5" s="13" t="n">
        <v>2</v>
      </c>
      <c r="B5" s="13" t="s">
        <v>1421</v>
      </c>
      <c r="C5" s="13" t="s">
        <v>1422</v>
      </c>
      <c r="D5" s="13"/>
      <c r="E5" s="13" t="s">
        <v>1</v>
      </c>
      <c r="F5" s="13" t="s">
        <v>1426</v>
      </c>
      <c r="G5" s="13" t="s">
        <v>1427</v>
      </c>
      <c r="H5" s="13" t="s">
        <v>1428</v>
      </c>
    </row>
    <row r="6" customFormat="false" ht="49.25" hidden="false" customHeight="false" outlineLevel="0" collapsed="false">
      <c r="A6" s="13" t="n">
        <v>3</v>
      </c>
      <c r="B6" s="13" t="s">
        <v>1421</v>
      </c>
      <c r="C6" s="13" t="s">
        <v>1422</v>
      </c>
      <c r="D6" s="13"/>
      <c r="E6" s="13" t="s">
        <v>3</v>
      </c>
      <c r="F6" s="13" t="s">
        <v>1429</v>
      </c>
      <c r="G6" s="13" t="s">
        <v>1430</v>
      </c>
      <c r="H6" s="13" t="s">
        <v>1431</v>
      </c>
    </row>
    <row r="7" customFormat="false" ht="15" hidden="false" customHeight="false" outlineLevel="0" collapsed="false">
      <c r="A7" s="13" t="n">
        <v>4</v>
      </c>
      <c r="B7" s="13" t="s">
        <v>1432</v>
      </c>
      <c r="C7" s="13" t="s">
        <v>540</v>
      </c>
      <c r="D7" s="13" t="s">
        <v>168</v>
      </c>
      <c r="E7" s="13" t="s">
        <v>1433</v>
      </c>
      <c r="F7" s="13" t="s">
        <v>1434</v>
      </c>
      <c r="G7" s="13" t="s">
        <v>1435</v>
      </c>
      <c r="H7" s="13" t="s">
        <v>1436</v>
      </c>
    </row>
    <row r="8" customFormat="false" ht="15" hidden="false" customHeight="false" outlineLevel="0" collapsed="false">
      <c r="A8" s="13" t="n">
        <v>5</v>
      </c>
      <c r="B8" s="13" t="s">
        <v>1437</v>
      </c>
      <c r="C8" s="13" t="s">
        <v>540</v>
      </c>
      <c r="D8" s="13" t="s">
        <v>169</v>
      </c>
      <c r="E8" s="13" t="s">
        <v>1433</v>
      </c>
      <c r="F8" s="13" t="s">
        <v>1434</v>
      </c>
      <c r="G8" s="13" t="s">
        <v>1435</v>
      </c>
      <c r="H8" s="13" t="s">
        <v>1436</v>
      </c>
    </row>
    <row r="9" customFormat="false" ht="25.35" hidden="false" customHeight="false" outlineLevel="0" collapsed="false">
      <c r="A9" s="13" t="n">
        <v>6</v>
      </c>
      <c r="B9" s="13" t="n">
        <v>3</v>
      </c>
      <c r="C9" s="13" t="s">
        <v>71</v>
      </c>
      <c r="D9" s="13" t="s">
        <v>1438</v>
      </c>
      <c r="E9" s="13" t="s">
        <v>1439</v>
      </c>
      <c r="F9" s="13" t="s">
        <v>1440</v>
      </c>
      <c r="G9" s="13" t="s">
        <v>1441</v>
      </c>
      <c r="H9" s="13" t="s">
        <v>1442</v>
      </c>
    </row>
    <row r="10" customFormat="false" ht="25.35" hidden="false" customHeight="false" outlineLevel="0" collapsed="false">
      <c r="A10" s="13" t="n">
        <v>7</v>
      </c>
      <c r="B10" s="13" t="n">
        <v>5</v>
      </c>
      <c r="C10" s="13" t="s">
        <v>80</v>
      </c>
      <c r="D10" s="13" t="s">
        <v>1438</v>
      </c>
      <c r="E10" s="13" t="s">
        <v>1439</v>
      </c>
      <c r="F10" s="13" t="s">
        <v>1443</v>
      </c>
      <c r="G10" s="13" t="s">
        <v>1444</v>
      </c>
      <c r="H10" s="13" t="s">
        <v>1442</v>
      </c>
    </row>
    <row r="11" customFormat="false" ht="25.35" hidden="false" customHeight="false" outlineLevel="0" collapsed="false">
      <c r="A11" s="13" t="n">
        <v>8</v>
      </c>
      <c r="B11" s="13" t="n">
        <v>10</v>
      </c>
      <c r="C11" s="13" t="s">
        <v>103</v>
      </c>
      <c r="D11" s="13" t="s">
        <v>1438</v>
      </c>
      <c r="E11" s="13" t="s">
        <v>1439</v>
      </c>
      <c r="F11" s="13" t="s">
        <v>1445</v>
      </c>
      <c r="G11" s="13" t="s">
        <v>1446</v>
      </c>
      <c r="H11" s="13" t="s">
        <v>1442</v>
      </c>
    </row>
    <row r="12" customFormat="false" ht="25.35" hidden="false" customHeight="false" outlineLevel="0" collapsed="false">
      <c r="A12" s="13" t="n">
        <v>9</v>
      </c>
      <c r="B12" s="13" t="n">
        <v>17</v>
      </c>
      <c r="C12" s="13" t="s">
        <v>126</v>
      </c>
      <c r="D12" s="13" t="s">
        <v>1438</v>
      </c>
      <c r="E12" s="13" t="s">
        <v>1439</v>
      </c>
      <c r="F12" s="13" t="s">
        <v>1447</v>
      </c>
      <c r="G12" s="13" t="s">
        <v>1448</v>
      </c>
      <c r="H12" s="13" t="s">
        <v>1442</v>
      </c>
    </row>
    <row r="13" customFormat="false" ht="25.35" hidden="false" customHeight="false" outlineLevel="0" collapsed="false">
      <c r="A13" s="13" t="n">
        <v>10</v>
      </c>
      <c r="B13" s="13" t="n">
        <v>20</v>
      </c>
      <c r="C13" s="13" t="s">
        <v>140</v>
      </c>
      <c r="D13" s="13" t="s">
        <v>1438</v>
      </c>
      <c r="E13" s="13" t="s">
        <v>1439</v>
      </c>
      <c r="F13" s="13" t="s">
        <v>1449</v>
      </c>
      <c r="G13" s="13" t="s">
        <v>1450</v>
      </c>
      <c r="H13" s="13" t="s">
        <v>1442</v>
      </c>
    </row>
    <row r="14" customFormat="false" ht="25.35" hidden="false" customHeight="false" outlineLevel="0" collapsed="false">
      <c r="A14" s="13" t="n">
        <v>11</v>
      </c>
      <c r="B14" s="13" t="n">
        <v>23</v>
      </c>
      <c r="C14" s="13" t="s">
        <v>150</v>
      </c>
      <c r="D14" s="13" t="s">
        <v>1438</v>
      </c>
      <c r="E14" s="13" t="s">
        <v>1439</v>
      </c>
      <c r="F14" s="13" t="s">
        <v>1451</v>
      </c>
      <c r="G14" s="13" t="s">
        <v>1452</v>
      </c>
      <c r="H14" s="13" t="s">
        <v>1442</v>
      </c>
    </row>
    <row r="15" customFormat="false" ht="25.35" hidden="false" customHeight="false" outlineLevel="0" collapsed="false">
      <c r="A15" s="13" t="n">
        <v>12</v>
      </c>
      <c r="B15" s="13" t="n">
        <v>24</v>
      </c>
      <c r="C15" s="13" t="s">
        <v>155</v>
      </c>
      <c r="D15" s="13" t="s">
        <v>1438</v>
      </c>
      <c r="E15" s="13" t="s">
        <v>1439</v>
      </c>
      <c r="F15" s="13" t="s">
        <v>1443</v>
      </c>
      <c r="G15" s="13" t="s">
        <v>1453</v>
      </c>
      <c r="H15" s="13" t="s">
        <v>1442</v>
      </c>
    </row>
    <row r="16" customFormat="false" ht="25.35" hidden="false" customHeight="false" outlineLevel="0" collapsed="false">
      <c r="A16" s="13" t="n">
        <v>13</v>
      </c>
      <c r="B16" s="13" t="n">
        <v>25</v>
      </c>
      <c r="C16" s="13" t="s">
        <v>160</v>
      </c>
      <c r="D16" s="13" t="s">
        <v>1438</v>
      </c>
      <c r="E16" s="13" t="s">
        <v>1439</v>
      </c>
      <c r="F16" s="13" t="s">
        <v>1454</v>
      </c>
      <c r="G16" s="13" t="s">
        <v>1455</v>
      </c>
      <c r="H16" s="13" t="s">
        <v>1442</v>
      </c>
    </row>
    <row r="17" customFormat="false" ht="25.35" hidden="false" customHeight="false" outlineLevel="0" collapsed="false">
      <c r="A17" s="13" t="n">
        <v>14</v>
      </c>
      <c r="B17" s="13" t="n">
        <v>29</v>
      </c>
      <c r="C17" s="13" t="s">
        <v>171</v>
      </c>
      <c r="D17" s="13" t="s">
        <v>1438</v>
      </c>
      <c r="E17" s="13" t="s">
        <v>1439</v>
      </c>
      <c r="F17" s="13" t="s">
        <v>1456</v>
      </c>
      <c r="G17" s="13" t="s">
        <v>1457</v>
      </c>
      <c r="H17" s="13" t="s">
        <v>1442</v>
      </c>
    </row>
    <row r="18" customFormat="false" ht="25.35" hidden="false" customHeight="false" outlineLevel="0" collapsed="false">
      <c r="A18" s="13" t="n">
        <v>15</v>
      </c>
      <c r="B18" s="13" t="n">
        <v>31</v>
      </c>
      <c r="C18" s="13" t="s">
        <v>180</v>
      </c>
      <c r="D18" s="13" t="s">
        <v>1438</v>
      </c>
      <c r="E18" s="13" t="s">
        <v>1439</v>
      </c>
      <c r="F18" s="13" t="s">
        <v>1458</v>
      </c>
      <c r="G18" s="13" t="s">
        <v>1448</v>
      </c>
      <c r="H18" s="13" t="s">
        <v>1442</v>
      </c>
    </row>
    <row r="19" customFormat="false" ht="25.35" hidden="false" customHeight="false" outlineLevel="0" collapsed="false">
      <c r="A19" s="13" t="n">
        <v>16</v>
      </c>
      <c r="B19" s="13" t="n">
        <v>32</v>
      </c>
      <c r="C19" s="13" t="s">
        <v>184</v>
      </c>
      <c r="D19" s="13" t="s">
        <v>1438</v>
      </c>
      <c r="E19" s="13" t="s">
        <v>1439</v>
      </c>
      <c r="F19" s="13" t="s">
        <v>1447</v>
      </c>
      <c r="G19" s="13" t="s">
        <v>1459</v>
      </c>
      <c r="H19" s="13" t="s">
        <v>1442</v>
      </c>
    </row>
    <row r="20" customFormat="false" ht="25.35" hidden="false" customHeight="false" outlineLevel="0" collapsed="false">
      <c r="A20" s="13" t="n">
        <v>17</v>
      </c>
      <c r="B20" s="13" t="n">
        <v>51</v>
      </c>
      <c r="C20" s="13" t="s">
        <v>249</v>
      </c>
      <c r="D20" s="13" t="s">
        <v>1438</v>
      </c>
      <c r="E20" s="13" t="s">
        <v>1439</v>
      </c>
      <c r="F20" s="13" t="s">
        <v>1460</v>
      </c>
      <c r="G20" s="13" t="s">
        <v>1461</v>
      </c>
      <c r="H20" s="13" t="s">
        <v>1442</v>
      </c>
    </row>
    <row r="21" customFormat="false" ht="25.35" hidden="false" customHeight="false" outlineLevel="0" collapsed="false">
      <c r="A21" s="13" t="n">
        <v>18</v>
      </c>
      <c r="B21" s="13" t="n">
        <v>56</v>
      </c>
      <c r="C21" s="13" t="s">
        <v>269</v>
      </c>
      <c r="D21" s="13" t="s">
        <v>1438</v>
      </c>
      <c r="E21" s="13" t="s">
        <v>1439</v>
      </c>
      <c r="F21" s="13" t="s">
        <v>1462</v>
      </c>
      <c r="G21" s="13" t="s">
        <v>1463</v>
      </c>
      <c r="H21" s="13" t="s">
        <v>1442</v>
      </c>
    </row>
    <row r="22" customFormat="false" ht="25.35" hidden="false" customHeight="false" outlineLevel="0" collapsed="false">
      <c r="A22" s="13" t="n">
        <v>19</v>
      </c>
      <c r="B22" s="13" t="n">
        <v>65</v>
      </c>
      <c r="C22" s="13" t="s">
        <v>294</v>
      </c>
      <c r="D22" s="13" t="s">
        <v>1438</v>
      </c>
      <c r="E22" s="13" t="s">
        <v>1439</v>
      </c>
      <c r="F22" s="13" t="s">
        <v>1449</v>
      </c>
      <c r="G22" s="13" t="s">
        <v>1464</v>
      </c>
      <c r="H22" s="13" t="s">
        <v>1442</v>
      </c>
    </row>
    <row r="23" customFormat="false" ht="25.35" hidden="false" customHeight="false" outlineLevel="0" collapsed="false">
      <c r="A23" s="13" t="n">
        <v>20</v>
      </c>
      <c r="B23" s="13" t="n">
        <v>68</v>
      </c>
      <c r="C23" s="13" t="s">
        <v>302</v>
      </c>
      <c r="D23" s="13" t="s">
        <v>1438</v>
      </c>
      <c r="E23" s="13" t="s">
        <v>1439</v>
      </c>
      <c r="F23" s="13" t="s">
        <v>1456</v>
      </c>
      <c r="G23" s="13" t="s">
        <v>1465</v>
      </c>
      <c r="H23" s="13" t="s">
        <v>1442</v>
      </c>
    </row>
    <row r="24" customFormat="false" ht="25.35" hidden="false" customHeight="false" outlineLevel="0" collapsed="false">
      <c r="A24" s="13" t="n">
        <v>21</v>
      </c>
      <c r="B24" s="13" t="n">
        <v>71</v>
      </c>
      <c r="C24" s="13" t="s">
        <v>313</v>
      </c>
      <c r="D24" s="13" t="s">
        <v>1438</v>
      </c>
      <c r="E24" s="13" t="s">
        <v>1439</v>
      </c>
      <c r="F24" s="13" t="s">
        <v>1466</v>
      </c>
      <c r="G24" s="13" t="s">
        <v>1467</v>
      </c>
      <c r="H24" s="13" t="s">
        <v>1442</v>
      </c>
    </row>
    <row r="25" customFormat="false" ht="25.35" hidden="false" customHeight="false" outlineLevel="0" collapsed="false">
      <c r="A25" s="13" t="n">
        <v>22</v>
      </c>
      <c r="B25" s="13" t="n">
        <v>75</v>
      </c>
      <c r="C25" s="13" t="s">
        <v>323</v>
      </c>
      <c r="D25" s="13" t="s">
        <v>1438</v>
      </c>
      <c r="E25" s="13" t="s">
        <v>1439</v>
      </c>
      <c r="F25" s="13" t="s">
        <v>1468</v>
      </c>
      <c r="G25" s="13" t="s">
        <v>1469</v>
      </c>
      <c r="H25" s="13" t="s">
        <v>1442</v>
      </c>
    </row>
    <row r="26" customFormat="false" ht="25.35" hidden="false" customHeight="false" outlineLevel="0" collapsed="false">
      <c r="A26" s="13" t="n">
        <v>23</v>
      </c>
      <c r="B26" s="13" t="n">
        <v>83</v>
      </c>
      <c r="C26" s="13" t="s">
        <v>338</v>
      </c>
      <c r="D26" s="13" t="s">
        <v>1438</v>
      </c>
      <c r="E26" s="13" t="s">
        <v>1439</v>
      </c>
      <c r="F26" s="13" t="s">
        <v>1470</v>
      </c>
      <c r="G26" s="13" t="s">
        <v>1471</v>
      </c>
      <c r="H26" s="13" t="s">
        <v>1442</v>
      </c>
    </row>
    <row r="27" customFormat="false" ht="25.35" hidden="false" customHeight="false" outlineLevel="0" collapsed="false">
      <c r="A27" s="13" t="n">
        <v>24</v>
      </c>
      <c r="B27" s="13" t="n">
        <v>89</v>
      </c>
      <c r="C27" s="13" t="s">
        <v>349</v>
      </c>
      <c r="D27" s="13" t="s">
        <v>1438</v>
      </c>
      <c r="E27" s="13" t="s">
        <v>1439</v>
      </c>
      <c r="F27" s="13" t="s">
        <v>1460</v>
      </c>
      <c r="G27" s="13" t="s">
        <v>1472</v>
      </c>
      <c r="H27" s="13" t="s">
        <v>1442</v>
      </c>
    </row>
    <row r="28" customFormat="false" ht="25.35" hidden="false" customHeight="false" outlineLevel="0" collapsed="false">
      <c r="A28" s="13" t="n">
        <v>25</v>
      </c>
      <c r="B28" s="13" t="n">
        <v>91</v>
      </c>
      <c r="C28" s="13" t="s">
        <v>356</v>
      </c>
      <c r="D28" s="13" t="s">
        <v>1438</v>
      </c>
      <c r="E28" s="13" t="s">
        <v>1439</v>
      </c>
      <c r="F28" s="13" t="s">
        <v>1456</v>
      </c>
      <c r="G28" s="13" t="s">
        <v>1473</v>
      </c>
      <c r="H28" s="13" t="s">
        <v>1442</v>
      </c>
    </row>
    <row r="29" customFormat="false" ht="25.35" hidden="false" customHeight="false" outlineLevel="0" collapsed="false">
      <c r="A29" s="13" t="n">
        <v>26</v>
      </c>
      <c r="B29" s="13" t="n">
        <v>97</v>
      </c>
      <c r="C29" s="13" t="s">
        <v>373</v>
      </c>
      <c r="D29" s="13" t="s">
        <v>1438</v>
      </c>
      <c r="E29" s="13" t="s">
        <v>1439</v>
      </c>
      <c r="F29" s="13" t="s">
        <v>1454</v>
      </c>
      <c r="G29" s="13" t="s">
        <v>1474</v>
      </c>
      <c r="H29" s="13" t="s">
        <v>1442</v>
      </c>
    </row>
    <row r="30" customFormat="false" ht="25.35" hidden="false" customHeight="false" outlineLevel="0" collapsed="false">
      <c r="A30" s="13" t="n">
        <v>27</v>
      </c>
      <c r="B30" s="13" t="n">
        <v>108</v>
      </c>
      <c r="C30" s="13" t="s">
        <v>401</v>
      </c>
      <c r="D30" s="13" t="s">
        <v>1438</v>
      </c>
      <c r="E30" s="13" t="s">
        <v>1439</v>
      </c>
      <c r="F30" s="13" t="s">
        <v>1449</v>
      </c>
      <c r="G30" s="13" t="s">
        <v>1475</v>
      </c>
      <c r="H30" s="13" t="s">
        <v>1442</v>
      </c>
    </row>
    <row r="31" customFormat="false" ht="25.35" hidden="false" customHeight="false" outlineLevel="0" collapsed="false">
      <c r="A31" s="13" t="n">
        <v>28</v>
      </c>
      <c r="B31" s="13" t="n">
        <v>129</v>
      </c>
      <c r="C31" s="13" t="s">
        <v>455</v>
      </c>
      <c r="D31" s="13" t="s">
        <v>1438</v>
      </c>
      <c r="E31" s="13" t="s">
        <v>1439</v>
      </c>
      <c r="F31" s="13" t="s">
        <v>1466</v>
      </c>
      <c r="G31" s="13" t="s">
        <v>1476</v>
      </c>
      <c r="H31" s="13" t="s">
        <v>1442</v>
      </c>
    </row>
    <row r="32" customFormat="false" ht="25.35" hidden="false" customHeight="false" outlineLevel="0" collapsed="false">
      <c r="A32" s="13" t="n">
        <v>29</v>
      </c>
      <c r="B32" s="13" t="n">
        <v>142</v>
      </c>
      <c r="C32" s="13" t="s">
        <v>493</v>
      </c>
      <c r="D32" s="13" t="s">
        <v>1438</v>
      </c>
      <c r="E32" s="13" t="s">
        <v>1439</v>
      </c>
      <c r="F32" s="13" t="s">
        <v>1477</v>
      </c>
      <c r="G32" s="13" t="s">
        <v>1478</v>
      </c>
      <c r="H32" s="13" t="s">
        <v>1442</v>
      </c>
    </row>
    <row r="33" customFormat="false" ht="25.35" hidden="false" customHeight="false" outlineLevel="0" collapsed="false">
      <c r="A33" s="13" t="n">
        <v>30</v>
      </c>
      <c r="B33" s="13" t="n">
        <v>145</v>
      </c>
      <c r="C33" s="13" t="s">
        <v>506</v>
      </c>
      <c r="D33" s="13" t="s">
        <v>1438</v>
      </c>
      <c r="E33" s="13" t="s">
        <v>1439</v>
      </c>
      <c r="F33" s="13" t="s">
        <v>1479</v>
      </c>
      <c r="G33" s="13" t="s">
        <v>1441</v>
      </c>
      <c r="H33" s="13" t="s">
        <v>1442</v>
      </c>
    </row>
    <row r="34" customFormat="false" ht="25.35" hidden="false" customHeight="false" outlineLevel="0" collapsed="false">
      <c r="A34" s="13" t="n">
        <v>31</v>
      </c>
      <c r="B34" s="13" t="n">
        <v>147</v>
      </c>
      <c r="C34" s="13" t="s">
        <v>512</v>
      </c>
      <c r="D34" s="13" t="s">
        <v>1438</v>
      </c>
      <c r="E34" s="13" t="s">
        <v>1439</v>
      </c>
      <c r="F34" s="13" t="s">
        <v>1445</v>
      </c>
      <c r="G34" s="13" t="s">
        <v>1480</v>
      </c>
      <c r="H34" s="13" t="s">
        <v>1442</v>
      </c>
    </row>
    <row r="35" customFormat="false" ht="25.35" hidden="false" customHeight="false" outlineLevel="0" collapsed="false">
      <c r="A35" s="13" t="n">
        <v>32</v>
      </c>
      <c r="B35" s="13" t="n">
        <v>162</v>
      </c>
      <c r="C35" s="13" t="s">
        <v>558</v>
      </c>
      <c r="D35" s="13" t="s">
        <v>1438</v>
      </c>
      <c r="E35" s="13" t="s">
        <v>1439</v>
      </c>
      <c r="F35" s="13" t="s">
        <v>1481</v>
      </c>
      <c r="G35" s="13" t="s">
        <v>1473</v>
      </c>
      <c r="H35" s="13" t="s">
        <v>1442</v>
      </c>
    </row>
    <row r="36" customFormat="false" ht="25.35" hidden="false" customHeight="false" outlineLevel="0" collapsed="false">
      <c r="A36" s="13" t="n">
        <v>33</v>
      </c>
      <c r="B36" s="13" t="n">
        <v>167</v>
      </c>
      <c r="C36" s="13" t="s">
        <v>573</v>
      </c>
      <c r="D36" s="13" t="s">
        <v>1438</v>
      </c>
      <c r="E36" s="13" t="s">
        <v>1439</v>
      </c>
      <c r="F36" s="13" t="s">
        <v>1470</v>
      </c>
      <c r="G36" s="13" t="s">
        <v>1482</v>
      </c>
      <c r="H36" s="13" t="s">
        <v>1442</v>
      </c>
    </row>
    <row r="37" customFormat="false" ht="25.35" hidden="false" customHeight="false" outlineLevel="0" collapsed="false">
      <c r="A37" s="13" t="n">
        <v>34</v>
      </c>
      <c r="B37" s="13" t="n">
        <v>168</v>
      </c>
      <c r="C37" s="13" t="s">
        <v>576</v>
      </c>
      <c r="D37" s="13" t="s">
        <v>1438</v>
      </c>
      <c r="E37" s="13" t="s">
        <v>1439</v>
      </c>
      <c r="F37" s="13" t="s">
        <v>1449</v>
      </c>
      <c r="G37" s="13" t="s">
        <v>1478</v>
      </c>
      <c r="H37" s="13" t="s">
        <v>1442</v>
      </c>
    </row>
    <row r="38" customFormat="false" ht="25.35" hidden="false" customHeight="false" outlineLevel="0" collapsed="false">
      <c r="A38" s="13" t="n">
        <v>35</v>
      </c>
      <c r="B38" s="13" t="n">
        <v>172</v>
      </c>
      <c r="C38" s="13" t="s">
        <v>590</v>
      </c>
      <c r="D38" s="13" t="s">
        <v>1438</v>
      </c>
      <c r="E38" s="13" t="s">
        <v>1439</v>
      </c>
      <c r="F38" s="13" t="s">
        <v>1479</v>
      </c>
      <c r="G38" s="13" t="s">
        <v>1483</v>
      </c>
      <c r="H38" s="13" t="s">
        <v>1442</v>
      </c>
    </row>
    <row r="39" customFormat="false" ht="25.35" hidden="false" customHeight="false" outlineLevel="0" collapsed="false">
      <c r="A39" s="13" t="n">
        <v>36</v>
      </c>
      <c r="B39" s="13" t="n">
        <v>186</v>
      </c>
      <c r="C39" s="13" t="s">
        <v>631</v>
      </c>
      <c r="D39" s="13" t="s">
        <v>1438</v>
      </c>
      <c r="E39" s="13" t="s">
        <v>1439</v>
      </c>
      <c r="F39" s="13" t="s">
        <v>1484</v>
      </c>
      <c r="G39" s="13" t="s">
        <v>1485</v>
      </c>
      <c r="H39" s="13" t="s">
        <v>1442</v>
      </c>
    </row>
    <row r="40" customFormat="false" ht="25.35" hidden="false" customHeight="false" outlineLevel="0" collapsed="false">
      <c r="A40" s="13" t="n">
        <v>37</v>
      </c>
      <c r="B40" s="13" t="n">
        <v>189</v>
      </c>
      <c r="C40" s="13" t="s">
        <v>643</v>
      </c>
      <c r="D40" s="13" t="s">
        <v>1438</v>
      </c>
      <c r="E40" s="13" t="s">
        <v>1439</v>
      </c>
      <c r="F40" s="13" t="s">
        <v>1484</v>
      </c>
      <c r="G40" s="13" t="s">
        <v>1486</v>
      </c>
      <c r="H40" s="13" t="s">
        <v>1442</v>
      </c>
    </row>
    <row r="41" customFormat="false" ht="25.35" hidden="false" customHeight="false" outlineLevel="0" collapsed="false">
      <c r="A41" s="13" t="n">
        <v>38</v>
      </c>
      <c r="B41" s="13" t="n">
        <v>191</v>
      </c>
      <c r="C41" s="13" t="s">
        <v>653</v>
      </c>
      <c r="D41" s="13" t="s">
        <v>1438</v>
      </c>
      <c r="E41" s="13" t="s">
        <v>1439</v>
      </c>
      <c r="F41" s="13" t="s">
        <v>1487</v>
      </c>
      <c r="G41" s="13" t="s">
        <v>1488</v>
      </c>
      <c r="H41" s="13" t="s">
        <v>1442</v>
      </c>
    </row>
    <row r="42" customFormat="false" ht="25.35" hidden="false" customHeight="false" outlineLevel="0" collapsed="false">
      <c r="A42" s="13" t="n">
        <v>39</v>
      </c>
      <c r="B42" s="13" t="n">
        <v>192</v>
      </c>
      <c r="C42" s="13" t="s">
        <v>658</v>
      </c>
      <c r="D42" s="13" t="s">
        <v>1438</v>
      </c>
      <c r="E42" s="13" t="s">
        <v>1439</v>
      </c>
      <c r="F42" s="13" t="s">
        <v>1489</v>
      </c>
      <c r="G42" s="13" t="s">
        <v>1490</v>
      </c>
      <c r="H42" s="13" t="s">
        <v>1442</v>
      </c>
    </row>
    <row r="43" customFormat="false" ht="25.35" hidden="false" customHeight="false" outlineLevel="0" collapsed="false">
      <c r="A43" s="13" t="n">
        <v>40</v>
      </c>
      <c r="B43" s="13" t="n">
        <v>198</v>
      </c>
      <c r="C43" s="13" t="s">
        <v>675</v>
      </c>
      <c r="D43" s="13" t="s">
        <v>1438</v>
      </c>
      <c r="E43" s="13" t="s">
        <v>1439</v>
      </c>
      <c r="F43" s="13" t="s">
        <v>1451</v>
      </c>
      <c r="G43" s="13" t="s">
        <v>1491</v>
      </c>
      <c r="H43" s="13" t="s">
        <v>1442</v>
      </c>
    </row>
    <row r="44" customFormat="false" ht="25.35" hidden="false" customHeight="false" outlineLevel="0" collapsed="false">
      <c r="A44" s="13" t="n">
        <v>41</v>
      </c>
      <c r="B44" s="13" t="n">
        <v>204</v>
      </c>
      <c r="C44" s="13" t="s">
        <v>697</v>
      </c>
      <c r="D44" s="13" t="s">
        <v>1438</v>
      </c>
      <c r="E44" s="13" t="s">
        <v>1439</v>
      </c>
      <c r="F44" s="13" t="s">
        <v>1492</v>
      </c>
      <c r="G44" s="13" t="s">
        <v>1493</v>
      </c>
      <c r="H44" s="13" t="s">
        <v>1442</v>
      </c>
    </row>
    <row r="45" customFormat="false" ht="25.35" hidden="false" customHeight="false" outlineLevel="0" collapsed="false">
      <c r="A45" s="13" t="n">
        <v>42</v>
      </c>
      <c r="B45" s="13" t="n">
        <v>210</v>
      </c>
      <c r="C45" s="13" t="s">
        <v>716</v>
      </c>
      <c r="D45" s="13" t="s">
        <v>1438</v>
      </c>
      <c r="E45" s="13" t="s">
        <v>1439</v>
      </c>
      <c r="F45" s="13" t="s">
        <v>1484</v>
      </c>
      <c r="G45" s="13" t="s">
        <v>1494</v>
      </c>
      <c r="H45" s="13" t="s">
        <v>1442</v>
      </c>
    </row>
    <row r="46" customFormat="false" ht="25.35" hidden="false" customHeight="false" outlineLevel="0" collapsed="false">
      <c r="A46" s="13" t="n">
        <v>43</v>
      </c>
      <c r="B46" s="13" t="n">
        <v>241</v>
      </c>
      <c r="C46" s="13" t="s">
        <v>811</v>
      </c>
      <c r="D46" s="13" t="s">
        <v>1438</v>
      </c>
      <c r="E46" s="13" t="s">
        <v>1439</v>
      </c>
      <c r="F46" s="13" t="s">
        <v>1479</v>
      </c>
      <c r="G46" s="13" t="s">
        <v>1495</v>
      </c>
      <c r="H46" s="13" t="s">
        <v>1442</v>
      </c>
    </row>
    <row r="47" customFormat="false" ht="25.35" hidden="false" customHeight="false" outlineLevel="0" collapsed="false">
      <c r="A47" s="13" t="n">
        <v>44</v>
      </c>
      <c r="B47" s="13" t="n">
        <v>243</v>
      </c>
      <c r="C47" s="13" t="s">
        <v>818</v>
      </c>
      <c r="D47" s="13" t="s">
        <v>1438</v>
      </c>
      <c r="E47" s="13" t="s">
        <v>1439</v>
      </c>
      <c r="F47" s="13" t="s">
        <v>1496</v>
      </c>
      <c r="G47" s="13" t="s">
        <v>1497</v>
      </c>
      <c r="H47" s="13" t="s">
        <v>1442</v>
      </c>
    </row>
    <row r="48" customFormat="false" ht="25.35" hidden="false" customHeight="false" outlineLevel="0" collapsed="false">
      <c r="A48" s="13" t="n">
        <v>45</v>
      </c>
      <c r="B48" s="13" t="n">
        <v>261</v>
      </c>
      <c r="C48" s="13" t="s">
        <v>868</v>
      </c>
      <c r="D48" s="13" t="s">
        <v>1438</v>
      </c>
      <c r="E48" s="13" t="s">
        <v>1439</v>
      </c>
      <c r="F48" s="13" t="s">
        <v>1454</v>
      </c>
      <c r="G48" s="13" t="s">
        <v>1498</v>
      </c>
      <c r="H48" s="13" t="s">
        <v>1442</v>
      </c>
    </row>
    <row r="49" customFormat="false" ht="25.35" hidden="false" customHeight="false" outlineLevel="0" collapsed="false">
      <c r="A49" s="13" t="n">
        <v>46</v>
      </c>
      <c r="B49" s="13" t="n">
        <v>272</v>
      </c>
      <c r="C49" s="13" t="s">
        <v>902</v>
      </c>
      <c r="D49" s="13" t="s">
        <v>1438</v>
      </c>
      <c r="E49" s="13" t="s">
        <v>1439</v>
      </c>
      <c r="F49" s="13" t="s">
        <v>1447</v>
      </c>
      <c r="G49" s="13" t="s">
        <v>1459</v>
      </c>
      <c r="H49" s="13" t="s">
        <v>1442</v>
      </c>
    </row>
    <row r="50" customFormat="false" ht="25.35" hidden="false" customHeight="false" outlineLevel="0" collapsed="false">
      <c r="A50" s="13" t="n">
        <v>47</v>
      </c>
      <c r="B50" s="13" t="n">
        <v>274</v>
      </c>
      <c r="C50" s="13" t="s">
        <v>907</v>
      </c>
      <c r="D50" s="13" t="s">
        <v>1438</v>
      </c>
      <c r="E50" s="13" t="s">
        <v>1439</v>
      </c>
      <c r="F50" s="13" t="s">
        <v>1466</v>
      </c>
      <c r="G50" s="13" t="s">
        <v>1486</v>
      </c>
      <c r="H50" s="13" t="s">
        <v>1442</v>
      </c>
    </row>
    <row r="51" customFormat="false" ht="25.35" hidden="false" customHeight="false" outlineLevel="0" collapsed="false">
      <c r="A51" s="13" t="n">
        <v>48</v>
      </c>
      <c r="B51" s="13" t="n">
        <v>301</v>
      </c>
      <c r="C51" s="13" t="s">
        <v>973</v>
      </c>
      <c r="D51" s="13" t="s">
        <v>1438</v>
      </c>
      <c r="E51" s="13" t="s">
        <v>1439</v>
      </c>
      <c r="F51" s="13" t="s">
        <v>1499</v>
      </c>
      <c r="G51" s="13" t="s">
        <v>1452</v>
      </c>
      <c r="H51" s="13" t="s">
        <v>1442</v>
      </c>
    </row>
    <row r="52" customFormat="false" ht="25.35" hidden="false" customHeight="false" outlineLevel="0" collapsed="false">
      <c r="A52" s="13" t="n">
        <v>49</v>
      </c>
      <c r="B52" s="13" t="n">
        <v>302</v>
      </c>
      <c r="C52" s="13" t="s">
        <v>977</v>
      </c>
      <c r="D52" s="13" t="s">
        <v>1438</v>
      </c>
      <c r="E52" s="13" t="s">
        <v>1439</v>
      </c>
      <c r="F52" s="13" t="s">
        <v>1460</v>
      </c>
      <c r="G52" s="13" t="s">
        <v>1500</v>
      </c>
      <c r="H52" s="13" t="s">
        <v>1442</v>
      </c>
    </row>
    <row r="53" customFormat="false" ht="25.35" hidden="false" customHeight="false" outlineLevel="0" collapsed="false">
      <c r="A53" s="13" t="n">
        <v>50</v>
      </c>
      <c r="B53" s="13" t="n">
        <v>309</v>
      </c>
      <c r="C53" s="13" t="s">
        <v>994</v>
      </c>
      <c r="D53" s="13" t="s">
        <v>1438</v>
      </c>
      <c r="E53" s="13" t="s">
        <v>1439</v>
      </c>
      <c r="F53" s="13" t="s">
        <v>1460</v>
      </c>
      <c r="G53" s="13" t="s">
        <v>1501</v>
      </c>
      <c r="H53" s="13" t="s">
        <v>1442</v>
      </c>
    </row>
    <row r="54" customFormat="false" ht="25.35" hidden="false" customHeight="false" outlineLevel="0" collapsed="false">
      <c r="A54" s="13" t="n">
        <v>51</v>
      </c>
      <c r="B54" s="13" t="n">
        <v>325</v>
      </c>
      <c r="C54" s="13" t="s">
        <v>1025</v>
      </c>
      <c r="D54" s="13" t="s">
        <v>1438</v>
      </c>
      <c r="E54" s="13" t="s">
        <v>1439</v>
      </c>
      <c r="F54" s="13" t="s">
        <v>1487</v>
      </c>
      <c r="G54" s="13" t="s">
        <v>1502</v>
      </c>
      <c r="H54" s="13" t="s">
        <v>1442</v>
      </c>
    </row>
    <row r="55" customFormat="false" ht="25.35" hidden="false" customHeight="false" outlineLevel="0" collapsed="false">
      <c r="A55" s="13" t="n">
        <v>52</v>
      </c>
      <c r="B55" s="13" t="n">
        <v>347</v>
      </c>
      <c r="C55" s="13" t="s">
        <v>1077</v>
      </c>
      <c r="D55" s="13" t="s">
        <v>1438</v>
      </c>
      <c r="E55" s="13" t="s">
        <v>1439</v>
      </c>
      <c r="F55" s="13" t="s">
        <v>1447</v>
      </c>
      <c r="G55" s="13" t="s">
        <v>1459</v>
      </c>
      <c r="H55" s="13" t="s">
        <v>1442</v>
      </c>
    </row>
    <row r="56" customFormat="false" ht="25.35" hidden="false" customHeight="false" outlineLevel="0" collapsed="false">
      <c r="A56" s="13" t="n">
        <v>53</v>
      </c>
      <c r="B56" s="13" t="n">
        <v>351</v>
      </c>
      <c r="C56" s="13" t="s">
        <v>1089</v>
      </c>
      <c r="D56" s="13" t="s">
        <v>1438</v>
      </c>
      <c r="E56" s="13" t="s">
        <v>1439</v>
      </c>
      <c r="F56" s="13" t="s">
        <v>1479</v>
      </c>
      <c r="G56" s="13" t="s">
        <v>1503</v>
      </c>
      <c r="H56" s="13" t="s">
        <v>1442</v>
      </c>
    </row>
    <row r="57" customFormat="false" ht="25.35" hidden="false" customHeight="false" outlineLevel="0" collapsed="false">
      <c r="A57" s="13" t="n">
        <v>54</v>
      </c>
      <c r="B57" s="13" t="n">
        <v>355</v>
      </c>
      <c r="C57" s="13" t="s">
        <v>1102</v>
      </c>
      <c r="D57" s="13" t="s">
        <v>1438</v>
      </c>
      <c r="E57" s="13" t="s">
        <v>1439</v>
      </c>
      <c r="F57" s="13" t="s">
        <v>1504</v>
      </c>
      <c r="G57" s="13" t="s">
        <v>1448</v>
      </c>
      <c r="H57" s="13" t="s">
        <v>1442</v>
      </c>
    </row>
    <row r="58" customFormat="false" ht="25.35" hidden="false" customHeight="false" outlineLevel="0" collapsed="false">
      <c r="A58" s="13" t="n">
        <v>55</v>
      </c>
      <c r="B58" s="13" t="n">
        <v>368</v>
      </c>
      <c r="C58" s="13" t="s">
        <v>1132</v>
      </c>
      <c r="D58" s="13" t="s">
        <v>1438</v>
      </c>
      <c r="E58" s="13" t="s">
        <v>1439</v>
      </c>
      <c r="F58" s="13" t="s">
        <v>1505</v>
      </c>
      <c r="G58" s="13" t="s">
        <v>1459</v>
      </c>
      <c r="H58" s="13" t="s">
        <v>1442</v>
      </c>
    </row>
    <row r="59" customFormat="false" ht="25.35" hidden="false" customHeight="false" outlineLevel="0" collapsed="false">
      <c r="A59" s="13" t="n">
        <v>56</v>
      </c>
      <c r="B59" s="13" t="n">
        <v>372</v>
      </c>
      <c r="C59" s="13" t="s">
        <v>1143</v>
      </c>
      <c r="D59" s="13" t="s">
        <v>1438</v>
      </c>
      <c r="E59" s="13" t="s">
        <v>1439</v>
      </c>
      <c r="F59" s="13" t="s">
        <v>1492</v>
      </c>
      <c r="G59" s="13" t="s">
        <v>1506</v>
      </c>
      <c r="H59" s="13" t="s">
        <v>1442</v>
      </c>
    </row>
    <row r="60" customFormat="false" ht="25.35" hidden="false" customHeight="false" outlineLevel="0" collapsed="false">
      <c r="A60" s="13" t="n">
        <v>57</v>
      </c>
      <c r="B60" s="13" t="n">
        <v>377</v>
      </c>
      <c r="C60" s="13" t="s">
        <v>1155</v>
      </c>
      <c r="D60" s="13" t="s">
        <v>1438</v>
      </c>
      <c r="E60" s="13" t="s">
        <v>1439</v>
      </c>
      <c r="F60" s="13" t="s">
        <v>1456</v>
      </c>
      <c r="G60" s="13" t="s">
        <v>1507</v>
      </c>
      <c r="H60" s="13" t="s">
        <v>1442</v>
      </c>
    </row>
    <row r="61" customFormat="false" ht="25.35" hidden="false" customHeight="false" outlineLevel="0" collapsed="false">
      <c r="A61" s="13" t="n">
        <v>58</v>
      </c>
      <c r="B61" s="13" t="n">
        <v>382</v>
      </c>
      <c r="C61" s="13" t="s">
        <v>1169</v>
      </c>
      <c r="D61" s="13" t="s">
        <v>1438</v>
      </c>
      <c r="E61" s="13" t="s">
        <v>1439</v>
      </c>
      <c r="F61" s="13" t="s">
        <v>1477</v>
      </c>
      <c r="G61" s="13" t="s">
        <v>1508</v>
      </c>
      <c r="H61" s="13" t="s">
        <v>1442</v>
      </c>
    </row>
    <row r="62" customFormat="false" ht="25.35" hidden="false" customHeight="false" outlineLevel="0" collapsed="false">
      <c r="A62" s="13" t="n">
        <v>59</v>
      </c>
      <c r="B62" s="13" t="n">
        <v>384</v>
      </c>
      <c r="C62" s="13" t="s">
        <v>1174</v>
      </c>
      <c r="D62" s="13" t="s">
        <v>1438</v>
      </c>
      <c r="E62" s="13" t="s">
        <v>1439</v>
      </c>
      <c r="F62" s="13" t="s">
        <v>1458</v>
      </c>
      <c r="G62" s="13" t="s">
        <v>1452</v>
      </c>
      <c r="H62" s="13" t="s">
        <v>1442</v>
      </c>
    </row>
    <row r="63" customFormat="false" ht="25.35" hidden="false" customHeight="false" outlineLevel="0" collapsed="false">
      <c r="A63" s="13" t="n">
        <v>60</v>
      </c>
      <c r="B63" s="13" t="n">
        <v>385</v>
      </c>
      <c r="C63" s="13" t="s">
        <v>1177</v>
      </c>
      <c r="D63" s="13" t="s">
        <v>1438</v>
      </c>
      <c r="E63" s="13" t="s">
        <v>1439</v>
      </c>
      <c r="F63" s="13" t="s">
        <v>1462</v>
      </c>
      <c r="G63" s="13" t="s">
        <v>1452</v>
      </c>
      <c r="H63" s="13" t="s">
        <v>1442</v>
      </c>
    </row>
    <row r="64" customFormat="false" ht="25.35" hidden="false" customHeight="false" outlineLevel="0" collapsed="false">
      <c r="A64" s="13" t="n">
        <v>61</v>
      </c>
      <c r="B64" s="13" t="n">
        <v>392</v>
      </c>
      <c r="C64" s="13" t="s">
        <v>1196</v>
      </c>
      <c r="D64" s="13" t="s">
        <v>1438</v>
      </c>
      <c r="E64" s="13" t="s">
        <v>1439</v>
      </c>
      <c r="F64" s="13" t="s">
        <v>1449</v>
      </c>
      <c r="G64" s="13" t="s">
        <v>1509</v>
      </c>
      <c r="H64" s="13" t="s">
        <v>1442</v>
      </c>
    </row>
    <row r="65" customFormat="false" ht="25.35" hidden="false" customHeight="false" outlineLevel="0" collapsed="false">
      <c r="A65" s="13" t="n">
        <v>62</v>
      </c>
      <c r="B65" s="13" t="n">
        <v>399</v>
      </c>
      <c r="C65" s="13" t="s">
        <v>1215</v>
      </c>
      <c r="D65" s="13" t="s">
        <v>1438</v>
      </c>
      <c r="E65" s="13" t="s">
        <v>1439</v>
      </c>
      <c r="F65" s="13" t="s">
        <v>1466</v>
      </c>
      <c r="G65" s="13" t="s">
        <v>1474</v>
      </c>
      <c r="H65" s="13" t="s">
        <v>1442</v>
      </c>
    </row>
    <row r="66" customFormat="false" ht="25.35" hidden="false" customHeight="false" outlineLevel="0" collapsed="false">
      <c r="A66" s="13" t="n">
        <v>63</v>
      </c>
      <c r="B66" s="13" t="n">
        <v>405</v>
      </c>
      <c r="C66" s="13" t="s">
        <v>1232</v>
      </c>
      <c r="D66" s="13" t="s">
        <v>1438</v>
      </c>
      <c r="E66" s="13" t="s">
        <v>1439</v>
      </c>
      <c r="F66" s="13" t="s">
        <v>1458</v>
      </c>
      <c r="G66" s="13" t="s">
        <v>1510</v>
      </c>
      <c r="H66" s="13" t="s">
        <v>1442</v>
      </c>
    </row>
    <row r="67" customFormat="false" ht="25.35" hidden="false" customHeight="false" outlineLevel="0" collapsed="false">
      <c r="A67" s="13" t="n">
        <v>64</v>
      </c>
      <c r="B67" s="13" t="n">
        <v>410</v>
      </c>
      <c r="C67" s="13" t="s">
        <v>1247</v>
      </c>
      <c r="D67" s="13" t="s">
        <v>1438</v>
      </c>
      <c r="E67" s="13" t="s">
        <v>1439</v>
      </c>
      <c r="F67" s="13" t="s">
        <v>1504</v>
      </c>
      <c r="G67" s="13" t="s">
        <v>1452</v>
      </c>
      <c r="H67" s="13" t="s">
        <v>1442</v>
      </c>
    </row>
    <row r="68" customFormat="false" ht="25.35" hidden="false" customHeight="false" outlineLevel="0" collapsed="false">
      <c r="A68" s="13" t="n">
        <v>65</v>
      </c>
      <c r="B68" s="13" t="n">
        <v>416</v>
      </c>
      <c r="C68" s="13" t="s">
        <v>1264</v>
      </c>
      <c r="D68" s="13" t="s">
        <v>1438</v>
      </c>
      <c r="E68" s="13" t="s">
        <v>1439</v>
      </c>
      <c r="F68" s="13" t="s">
        <v>1511</v>
      </c>
      <c r="G68" s="13" t="s">
        <v>1459</v>
      </c>
      <c r="H68" s="13" t="s">
        <v>1442</v>
      </c>
    </row>
  </sheetData>
  <autoFilter ref="A3:H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2026-10-06T05:38:36Z</dcterms:created>
  <dc:creator>openpyxl</dc:creator>
  <dc:description/>
  <dc:language>en-US</dc:language>
  <cp:lastModifiedBy/>
  <dcterms:modified xsi:type="dcterms:W3CDTF">2026-10-06T05:38:37Z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